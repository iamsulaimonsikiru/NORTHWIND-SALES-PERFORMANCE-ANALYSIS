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2001_{6D37A42A-3519-4D8A-B44C-1E7E7F50F504}" xr6:coauthVersionLast="47" xr6:coauthVersionMax="47" xr10:uidLastSave="{00000000-0000-0000-0000-000000000000}"/>
  <bookViews>
    <workbookView xWindow="-98" yWindow="-98" windowWidth="19396" windowHeight="10395" tabRatio="645" activeTab="1" xr2:uid="{9CD93775-5981-4342-8603-F98640EE5269}"/>
  </bookViews>
  <sheets>
    <sheet name="Pivot Table" sheetId="9" r:id="rId1"/>
    <sheet name="Dashboard" sheetId="12" r:id="rId2"/>
    <sheet name="orders" sheetId="2" r:id="rId3"/>
    <sheet name="products" sheetId="1" r:id="rId4"/>
    <sheet name="order_details" sheetId="3" r:id="rId5"/>
    <sheet name="employees" sheetId="4" r:id="rId6"/>
    <sheet name="customers" sheetId="5" r:id="rId7"/>
    <sheet name="shippers" sheetId="6" r:id="rId8"/>
    <sheet name="categories" sheetId="7" r:id="rId9"/>
  </sheets>
  <definedNames>
    <definedName name="_xlnm._FilterDatabase" localSheetId="4" hidden="1">order_details!$H$2:$H$832</definedName>
    <definedName name="_xlnm._FilterDatabase" localSheetId="0" hidden="1">'Pivot Table'!$A$250:$B$299</definedName>
    <definedName name="Slicer_Customer_name">#N/A</definedName>
    <definedName name="Slicer_Delivery_Status">#N/A</definedName>
    <definedName name="Slicer_Employee_Name">#N/A</definedName>
    <definedName name="Slicer_Product_Availability">#N/A</definedName>
    <definedName name="Slicer_productName">#N/A</definedName>
    <definedName name="Slicer_shipper_name">#N/A</definedName>
    <definedName name="Slicer_year_quarter">#N/A</definedName>
  </definedNames>
  <calcPr calcId="191029"/>
  <pivotCaches>
    <pivotCache cacheId="4" r:id="rId10"/>
    <pivotCache cacheId="5" r:id="rId11"/>
  </pivotCaches>
  <fileRecoveryPr repairLoad="1"/>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56" i="3" l="1"/>
  <c r="F2155" i="3"/>
  <c r="F2154" i="3"/>
  <c r="F2153" i="3"/>
  <c r="F2152" i="3"/>
  <c r="F2151" i="3"/>
  <c r="F2150" i="3"/>
  <c r="F2149" i="3"/>
  <c r="F2148" i="3"/>
  <c r="F2147" i="3"/>
  <c r="F2146" i="3"/>
  <c r="F2145" i="3"/>
  <c r="F2144" i="3"/>
  <c r="F2143" i="3"/>
  <c r="F2142" i="3"/>
  <c r="F2141" i="3"/>
  <c r="F2140" i="3"/>
  <c r="F2139" i="3"/>
  <c r="F2138" i="3"/>
  <c r="F2137" i="3"/>
  <c r="F2136" i="3"/>
  <c r="F2135" i="3"/>
  <c r="F2134" i="3"/>
  <c r="F2133" i="3"/>
  <c r="F2132" i="3"/>
  <c r="F2131" i="3"/>
  <c r="F2130" i="3"/>
  <c r="F2129" i="3"/>
  <c r="F2128" i="3"/>
  <c r="F2127" i="3"/>
  <c r="F2126" i="3"/>
  <c r="F2125" i="3"/>
  <c r="F2124" i="3"/>
  <c r="F2123" i="3"/>
  <c r="F2122" i="3"/>
  <c r="F2121" i="3"/>
  <c r="F2120" i="3"/>
  <c r="F2119" i="3"/>
  <c r="F2118" i="3"/>
  <c r="F2117" i="3"/>
  <c r="F2116" i="3"/>
  <c r="F2115" i="3"/>
  <c r="F2114" i="3"/>
  <c r="F2113" i="3"/>
  <c r="F2112" i="3"/>
  <c r="F2111" i="3"/>
  <c r="F2110" i="3"/>
  <c r="F2109" i="3"/>
  <c r="F2108" i="3"/>
  <c r="F2107" i="3"/>
  <c r="F2106" i="3"/>
  <c r="F2105" i="3"/>
  <c r="F2104" i="3"/>
  <c r="F2103" i="3"/>
  <c r="F2102" i="3"/>
  <c r="F2101" i="3"/>
  <c r="F2100" i="3"/>
  <c r="F2099" i="3"/>
  <c r="F2098" i="3"/>
  <c r="F2097" i="3"/>
  <c r="F2096" i="3"/>
  <c r="F2095" i="3"/>
  <c r="F2094" i="3"/>
  <c r="F2093" i="3"/>
  <c r="F2092" i="3"/>
  <c r="F2091" i="3"/>
  <c r="F2090" i="3"/>
  <c r="F2089" i="3"/>
  <c r="F2088" i="3"/>
  <c r="F2087" i="3"/>
  <c r="F2086" i="3"/>
  <c r="F2085" i="3"/>
  <c r="F2084" i="3"/>
  <c r="F2083" i="3"/>
  <c r="F2082" i="3"/>
  <c r="F2081" i="3"/>
  <c r="F2080" i="3"/>
  <c r="F2079" i="3"/>
  <c r="F2078" i="3"/>
  <c r="F2077" i="3"/>
  <c r="F2076" i="3"/>
  <c r="F2075" i="3"/>
  <c r="F2074" i="3"/>
  <c r="F2073" i="3"/>
  <c r="F2072" i="3"/>
  <c r="F2071" i="3"/>
  <c r="F2070" i="3"/>
  <c r="F2069" i="3"/>
  <c r="F2068" i="3"/>
  <c r="F2067" i="3"/>
  <c r="F2066" i="3"/>
  <c r="F2065" i="3"/>
  <c r="F2064" i="3"/>
  <c r="F2063" i="3"/>
  <c r="F2062" i="3"/>
  <c r="F2061" i="3"/>
  <c r="F2060" i="3"/>
  <c r="F2059" i="3"/>
  <c r="F2058" i="3"/>
  <c r="F2057" i="3"/>
  <c r="F2056" i="3"/>
  <c r="F2055" i="3"/>
  <c r="F2054" i="3"/>
  <c r="F2053" i="3"/>
  <c r="F2052" i="3"/>
  <c r="F2051" i="3"/>
  <c r="F2050" i="3"/>
  <c r="F2049" i="3"/>
  <c r="F2048" i="3"/>
  <c r="F2047" i="3"/>
  <c r="F2046" i="3"/>
  <c r="F2045" i="3"/>
  <c r="F2044" i="3"/>
  <c r="F2043" i="3"/>
  <c r="F2042" i="3"/>
  <c r="F2041" i="3"/>
  <c r="F2040" i="3"/>
  <c r="F2039" i="3"/>
  <c r="F2038" i="3"/>
  <c r="F2037" i="3"/>
  <c r="F2036" i="3"/>
  <c r="F2035" i="3"/>
  <c r="F2034" i="3"/>
  <c r="F2033" i="3"/>
  <c r="F2032" i="3"/>
  <c r="F2031" i="3"/>
  <c r="F2030" i="3"/>
  <c r="F2029" i="3"/>
  <c r="F2028" i="3"/>
  <c r="F2027" i="3"/>
  <c r="F2026" i="3"/>
  <c r="F2025" i="3"/>
  <c r="F2024" i="3"/>
  <c r="F2023" i="3"/>
  <c r="F2022" i="3"/>
  <c r="F2021" i="3"/>
  <c r="F2020" i="3"/>
  <c r="F2019" i="3"/>
  <c r="F2018" i="3"/>
  <c r="F2017" i="3"/>
  <c r="F2016" i="3"/>
  <c r="F2015" i="3"/>
  <c r="F2014" i="3"/>
  <c r="F2013" i="3"/>
  <c r="F2012" i="3"/>
  <c r="F2011" i="3"/>
  <c r="F2010" i="3"/>
  <c r="F2009" i="3"/>
  <c r="F2008" i="3"/>
  <c r="F2007" i="3"/>
  <c r="F2006" i="3"/>
  <c r="F2005" i="3"/>
  <c r="F2004" i="3"/>
  <c r="F2003" i="3"/>
  <c r="F2002" i="3"/>
  <c r="F2001" i="3"/>
  <c r="F2000" i="3"/>
  <c r="F1999" i="3"/>
  <c r="F1998" i="3"/>
  <c r="F1997" i="3"/>
  <c r="F1996" i="3"/>
  <c r="F1995" i="3"/>
  <c r="F1994" i="3"/>
  <c r="F1993" i="3"/>
  <c r="F1992" i="3"/>
  <c r="F1991" i="3"/>
  <c r="F1990" i="3"/>
  <c r="F1989" i="3"/>
  <c r="F1988" i="3"/>
  <c r="F1987" i="3"/>
  <c r="F1986" i="3"/>
  <c r="F1985" i="3"/>
  <c r="F1984" i="3"/>
  <c r="F1983" i="3"/>
  <c r="F1982" i="3"/>
  <c r="F1981" i="3"/>
  <c r="F1980" i="3"/>
  <c r="F1979" i="3"/>
  <c r="F1978" i="3"/>
  <c r="F1977" i="3"/>
  <c r="F1976" i="3"/>
  <c r="F1975" i="3"/>
  <c r="F1974" i="3"/>
  <c r="F1973" i="3"/>
  <c r="F1972" i="3"/>
  <c r="F1971" i="3"/>
  <c r="F1970" i="3"/>
  <c r="F1969" i="3"/>
  <c r="F1968" i="3"/>
  <c r="F1967" i="3"/>
  <c r="F1966" i="3"/>
  <c r="F1965" i="3"/>
  <c r="F1964" i="3"/>
  <c r="F1963" i="3"/>
  <c r="F1962" i="3"/>
  <c r="F1961" i="3"/>
  <c r="F1960" i="3"/>
  <c r="F1959" i="3"/>
  <c r="F1958" i="3"/>
  <c r="F1957" i="3"/>
  <c r="F1956" i="3"/>
  <c r="F1955" i="3"/>
  <c r="F1954" i="3"/>
  <c r="F1953" i="3"/>
  <c r="F1952" i="3"/>
  <c r="F1951" i="3"/>
  <c r="F1950" i="3"/>
  <c r="F1949" i="3"/>
  <c r="F1948" i="3"/>
  <c r="F1947" i="3"/>
  <c r="F1946" i="3"/>
  <c r="F1945" i="3"/>
  <c r="F1944" i="3"/>
  <c r="F1943" i="3"/>
  <c r="F1942" i="3"/>
  <c r="F1941" i="3"/>
  <c r="F1940" i="3"/>
  <c r="F1939" i="3"/>
  <c r="F1938" i="3"/>
  <c r="F1937" i="3"/>
  <c r="F1936" i="3"/>
  <c r="F1935" i="3"/>
  <c r="F1934" i="3"/>
  <c r="F1933" i="3"/>
  <c r="F1932" i="3"/>
  <c r="F1931" i="3"/>
  <c r="F1930" i="3"/>
  <c r="F1929" i="3"/>
  <c r="F1928" i="3"/>
  <c r="F1927" i="3"/>
  <c r="F1926" i="3"/>
  <c r="F1925" i="3"/>
  <c r="F1924" i="3"/>
  <c r="F1923" i="3"/>
  <c r="F1922" i="3"/>
  <c r="F1921" i="3"/>
  <c r="F1920" i="3"/>
  <c r="F1919" i="3"/>
  <c r="F1918" i="3"/>
  <c r="F1917" i="3"/>
  <c r="F1916" i="3"/>
  <c r="F1915" i="3"/>
  <c r="F1914" i="3"/>
  <c r="F1913" i="3"/>
  <c r="F1912" i="3"/>
  <c r="F1911" i="3"/>
  <c r="F1910" i="3"/>
  <c r="F1909" i="3"/>
  <c r="F1908" i="3"/>
  <c r="F1907" i="3"/>
  <c r="F1906" i="3"/>
  <c r="F1905" i="3"/>
  <c r="F1904" i="3"/>
  <c r="F1903" i="3"/>
  <c r="F1902" i="3"/>
  <c r="F1901" i="3"/>
  <c r="F1900" i="3"/>
  <c r="F1899" i="3"/>
  <c r="F1898" i="3"/>
  <c r="F1897" i="3"/>
  <c r="F1896" i="3"/>
  <c r="F1895" i="3"/>
  <c r="F1894" i="3"/>
  <c r="F1893" i="3"/>
  <c r="F1892" i="3"/>
  <c r="F1891" i="3"/>
  <c r="F1890" i="3"/>
  <c r="F1889" i="3"/>
  <c r="F1888" i="3"/>
  <c r="F1887" i="3"/>
  <c r="F1886" i="3"/>
  <c r="F1885" i="3"/>
  <c r="F1884" i="3"/>
  <c r="F1883" i="3"/>
  <c r="F1882" i="3"/>
  <c r="F1881" i="3"/>
  <c r="F1880" i="3"/>
  <c r="F1879" i="3"/>
  <c r="F1878" i="3"/>
  <c r="F1877" i="3"/>
  <c r="F1876" i="3"/>
  <c r="F1875" i="3"/>
  <c r="F1874" i="3"/>
  <c r="F1873" i="3"/>
  <c r="F1872" i="3"/>
  <c r="F1871" i="3"/>
  <c r="F1870" i="3"/>
  <c r="F1869" i="3"/>
  <c r="F1868" i="3"/>
  <c r="F1867" i="3"/>
  <c r="F1866" i="3"/>
  <c r="F1865" i="3"/>
  <c r="F1864" i="3"/>
  <c r="F1863" i="3"/>
  <c r="F1862" i="3"/>
  <c r="F1861" i="3"/>
  <c r="F1860" i="3"/>
  <c r="F1859" i="3"/>
  <c r="F1858" i="3"/>
  <c r="F1857" i="3"/>
  <c r="F1856" i="3"/>
  <c r="F1855" i="3"/>
  <c r="F1854" i="3"/>
  <c r="F1853" i="3"/>
  <c r="F1852" i="3"/>
  <c r="F1851" i="3"/>
  <c r="F1850" i="3"/>
  <c r="F1849" i="3"/>
  <c r="F1848" i="3"/>
  <c r="F1847" i="3"/>
  <c r="F1846" i="3"/>
  <c r="F1845" i="3"/>
  <c r="F1844" i="3"/>
  <c r="F1843" i="3"/>
  <c r="F1842" i="3"/>
  <c r="F1841" i="3"/>
  <c r="F1840" i="3"/>
  <c r="F1839" i="3"/>
  <c r="F1838" i="3"/>
  <c r="F1837" i="3"/>
  <c r="F1836" i="3"/>
  <c r="F1835" i="3"/>
  <c r="F1834" i="3"/>
  <c r="F1833" i="3"/>
  <c r="F1832" i="3"/>
  <c r="F1831" i="3"/>
  <c r="F1830" i="3"/>
  <c r="F1829" i="3"/>
  <c r="F1828" i="3"/>
  <c r="F1827" i="3"/>
  <c r="F1826" i="3"/>
  <c r="F1825" i="3"/>
  <c r="F1824" i="3"/>
  <c r="F1823" i="3"/>
  <c r="F1822" i="3"/>
  <c r="F1821" i="3"/>
  <c r="F1820" i="3"/>
  <c r="F1819" i="3"/>
  <c r="F1818" i="3"/>
  <c r="F1817" i="3"/>
  <c r="F1816" i="3"/>
  <c r="F1815" i="3"/>
  <c r="F1814" i="3"/>
  <c r="F1813" i="3"/>
  <c r="F1812" i="3"/>
  <c r="F1811" i="3"/>
  <c r="F1810" i="3"/>
  <c r="F1809" i="3"/>
  <c r="F1808" i="3"/>
  <c r="F1807" i="3"/>
  <c r="F1806" i="3"/>
  <c r="F1805" i="3"/>
  <c r="F1804" i="3"/>
  <c r="F1803" i="3"/>
  <c r="F1802" i="3"/>
  <c r="F1801" i="3"/>
  <c r="F1800" i="3"/>
  <c r="F1799" i="3"/>
  <c r="F1798" i="3"/>
  <c r="F1797" i="3"/>
  <c r="F1796" i="3"/>
  <c r="F1795" i="3"/>
  <c r="F1794" i="3"/>
  <c r="F1793" i="3"/>
  <c r="F1792" i="3"/>
  <c r="F1791" i="3"/>
  <c r="F1790" i="3"/>
  <c r="F1789" i="3"/>
  <c r="F1788" i="3"/>
  <c r="F1787" i="3"/>
  <c r="F1786" i="3"/>
  <c r="F1785" i="3"/>
  <c r="F1784" i="3"/>
  <c r="F1783" i="3"/>
  <c r="F1782" i="3"/>
  <c r="F1781" i="3"/>
  <c r="F1780" i="3"/>
  <c r="F1779" i="3"/>
  <c r="F1778" i="3"/>
  <c r="F1777" i="3"/>
  <c r="F1776" i="3"/>
  <c r="F1775" i="3"/>
  <c r="F1774" i="3"/>
  <c r="F1773" i="3"/>
  <c r="F1772" i="3"/>
  <c r="F1771" i="3"/>
  <c r="F1770" i="3"/>
  <c r="F1769" i="3"/>
  <c r="F1768" i="3"/>
  <c r="F1767" i="3"/>
  <c r="F1766" i="3"/>
  <c r="F1765" i="3"/>
  <c r="F1764" i="3"/>
  <c r="F1763" i="3"/>
  <c r="F1762" i="3"/>
  <c r="F1761" i="3"/>
  <c r="F1760" i="3"/>
  <c r="F1759" i="3"/>
  <c r="F1758" i="3"/>
  <c r="F1757" i="3"/>
  <c r="F1756" i="3"/>
  <c r="F1755" i="3"/>
  <c r="F1754" i="3"/>
  <c r="F1753" i="3"/>
  <c r="F1752" i="3"/>
  <c r="F1751" i="3"/>
  <c r="F1750" i="3"/>
  <c r="F1749" i="3"/>
  <c r="F1748" i="3"/>
  <c r="F1747" i="3"/>
  <c r="F1746" i="3"/>
  <c r="F1745" i="3"/>
  <c r="F1744" i="3"/>
  <c r="F1743" i="3"/>
  <c r="F1742" i="3"/>
  <c r="F1741" i="3"/>
  <c r="F1740" i="3"/>
  <c r="F1739" i="3"/>
  <c r="F1738" i="3"/>
  <c r="F1737" i="3"/>
  <c r="F1736" i="3"/>
  <c r="F1735" i="3"/>
  <c r="F1734" i="3"/>
  <c r="F1733" i="3"/>
  <c r="F1732" i="3"/>
  <c r="F1731" i="3"/>
  <c r="F1730" i="3"/>
  <c r="F1729" i="3"/>
  <c r="F1728" i="3"/>
  <c r="F1727" i="3"/>
  <c r="F1726" i="3"/>
  <c r="F1725" i="3"/>
  <c r="F1724" i="3"/>
  <c r="F1723" i="3"/>
  <c r="F1722" i="3"/>
  <c r="F1721" i="3"/>
  <c r="F1720" i="3"/>
  <c r="F1719" i="3"/>
  <c r="F1718" i="3"/>
  <c r="F1717" i="3"/>
  <c r="F1716" i="3"/>
  <c r="F1715" i="3"/>
  <c r="F1714" i="3"/>
  <c r="F1713" i="3"/>
  <c r="F1712" i="3"/>
  <c r="F1711" i="3"/>
  <c r="F1710" i="3"/>
  <c r="F1709" i="3"/>
  <c r="F1708" i="3"/>
  <c r="F1707" i="3"/>
  <c r="F1706" i="3"/>
  <c r="F1705" i="3"/>
  <c r="F1704" i="3"/>
  <c r="F1703" i="3"/>
  <c r="F1702" i="3"/>
  <c r="F1701" i="3"/>
  <c r="F1700" i="3"/>
  <c r="F1699" i="3"/>
  <c r="F1698" i="3"/>
  <c r="F1697" i="3"/>
  <c r="F1696" i="3"/>
  <c r="F1695" i="3"/>
  <c r="F1694" i="3"/>
  <c r="F1693" i="3"/>
  <c r="F1692" i="3"/>
  <c r="F1691" i="3"/>
  <c r="F1690" i="3"/>
  <c r="F1689" i="3"/>
  <c r="F1688" i="3"/>
  <c r="F1687" i="3"/>
  <c r="F1686" i="3"/>
  <c r="F1685" i="3"/>
  <c r="F1684" i="3"/>
  <c r="F1683" i="3"/>
  <c r="F1682" i="3"/>
  <c r="F1681" i="3"/>
  <c r="F1680" i="3"/>
  <c r="F1679" i="3"/>
  <c r="F1678" i="3"/>
  <c r="F1677" i="3"/>
  <c r="F1676" i="3"/>
  <c r="F1675" i="3"/>
  <c r="F1674" i="3"/>
  <c r="F1673" i="3"/>
  <c r="F1672" i="3"/>
  <c r="F1671" i="3"/>
  <c r="F1670" i="3"/>
  <c r="F1669" i="3"/>
  <c r="F1668" i="3"/>
  <c r="F1667" i="3"/>
  <c r="F1666" i="3"/>
  <c r="F1665" i="3"/>
  <c r="F1664" i="3"/>
  <c r="F1663" i="3"/>
  <c r="F1662" i="3"/>
  <c r="F1661" i="3"/>
  <c r="F1660" i="3"/>
  <c r="F1659" i="3"/>
  <c r="F1658" i="3"/>
  <c r="F1657" i="3"/>
  <c r="F1656" i="3"/>
  <c r="F1655" i="3"/>
  <c r="F1654" i="3"/>
  <c r="F1653" i="3"/>
  <c r="F1652" i="3"/>
  <c r="F1651" i="3"/>
  <c r="F1650" i="3"/>
  <c r="F1649" i="3"/>
  <c r="F1648" i="3"/>
  <c r="F1647" i="3"/>
  <c r="F1646" i="3"/>
  <c r="F1645" i="3"/>
  <c r="F1644" i="3"/>
  <c r="F1643" i="3"/>
  <c r="F1642" i="3"/>
  <c r="F1641" i="3"/>
  <c r="F1640" i="3"/>
  <c r="F1639" i="3"/>
  <c r="F1638" i="3"/>
  <c r="F1637" i="3"/>
  <c r="F1636" i="3"/>
  <c r="F1635" i="3"/>
  <c r="F1634" i="3"/>
  <c r="F1633" i="3"/>
  <c r="F1632" i="3"/>
  <c r="F1631" i="3"/>
  <c r="F1630" i="3"/>
  <c r="F1629" i="3"/>
  <c r="F1628" i="3"/>
  <c r="F1627" i="3"/>
  <c r="F1626" i="3"/>
  <c r="F1625" i="3"/>
  <c r="F1624" i="3"/>
  <c r="F1623" i="3"/>
  <c r="F1622" i="3"/>
  <c r="F1621" i="3"/>
  <c r="F1620" i="3"/>
  <c r="F1619" i="3"/>
  <c r="F1618" i="3"/>
  <c r="F1617" i="3"/>
  <c r="F1616" i="3"/>
  <c r="F1615" i="3"/>
  <c r="F1614" i="3"/>
  <c r="F1613" i="3"/>
  <c r="F1612" i="3"/>
  <c r="F1611" i="3"/>
  <c r="F1610" i="3"/>
  <c r="F1609" i="3"/>
  <c r="F1608" i="3"/>
  <c r="F1607" i="3"/>
  <c r="F1606" i="3"/>
  <c r="F1605" i="3"/>
  <c r="F1604" i="3"/>
  <c r="F1603" i="3"/>
  <c r="F1602" i="3"/>
  <c r="F1601" i="3"/>
  <c r="F1600" i="3"/>
  <c r="F1599" i="3"/>
  <c r="F1598" i="3"/>
  <c r="F1597" i="3"/>
  <c r="F1596" i="3"/>
  <c r="F1595" i="3"/>
  <c r="F1594" i="3"/>
  <c r="F1593" i="3"/>
  <c r="F1592" i="3"/>
  <c r="F1591" i="3"/>
  <c r="F1590" i="3"/>
  <c r="F1589" i="3"/>
  <c r="F1588" i="3"/>
  <c r="F1587" i="3"/>
  <c r="F1586" i="3"/>
  <c r="F1585" i="3"/>
  <c r="F1584" i="3"/>
  <c r="F1583" i="3"/>
  <c r="F1582" i="3"/>
  <c r="F1581" i="3"/>
  <c r="F1580" i="3"/>
  <c r="F1579" i="3"/>
  <c r="F1578" i="3"/>
  <c r="F1577" i="3"/>
  <c r="F1576" i="3"/>
  <c r="F1575" i="3"/>
  <c r="F1574" i="3"/>
  <c r="F1573" i="3"/>
  <c r="F1572" i="3"/>
  <c r="F1571" i="3"/>
  <c r="F1570" i="3"/>
  <c r="F1569" i="3"/>
  <c r="F1568" i="3"/>
  <c r="F1567" i="3"/>
  <c r="F1566" i="3"/>
  <c r="F1565" i="3"/>
  <c r="F1564" i="3"/>
  <c r="F1563" i="3"/>
  <c r="F1562" i="3"/>
  <c r="F1561" i="3"/>
  <c r="F1560" i="3"/>
  <c r="F1559" i="3"/>
  <c r="F1558" i="3"/>
  <c r="F1557" i="3"/>
  <c r="F1556" i="3"/>
  <c r="F1555" i="3"/>
  <c r="F1554" i="3"/>
  <c r="F1553" i="3"/>
  <c r="F1552" i="3"/>
  <c r="F1551" i="3"/>
  <c r="F1550" i="3"/>
  <c r="F1549" i="3"/>
  <c r="F1548" i="3"/>
  <c r="F1547" i="3"/>
  <c r="F1546" i="3"/>
  <c r="F1545" i="3"/>
  <c r="F1544" i="3"/>
  <c r="F1543" i="3"/>
  <c r="F1542" i="3"/>
  <c r="F1541" i="3"/>
  <c r="F1540" i="3"/>
  <c r="F1539" i="3"/>
  <c r="F1538" i="3"/>
  <c r="F1537" i="3"/>
  <c r="F1536" i="3"/>
  <c r="F1535" i="3"/>
  <c r="F1534" i="3"/>
  <c r="F1533" i="3"/>
  <c r="F1532" i="3"/>
  <c r="F1531" i="3"/>
  <c r="F1530" i="3"/>
  <c r="F1529" i="3"/>
  <c r="F1528" i="3"/>
  <c r="F1527" i="3"/>
  <c r="F1526" i="3"/>
  <c r="F1525" i="3"/>
  <c r="F1524" i="3"/>
  <c r="F1523" i="3"/>
  <c r="F1522" i="3"/>
  <c r="F1521" i="3"/>
  <c r="F1520" i="3"/>
  <c r="F1519" i="3"/>
  <c r="F1518" i="3"/>
  <c r="F1517" i="3"/>
  <c r="F1516" i="3"/>
  <c r="F1515" i="3"/>
  <c r="F1514" i="3"/>
  <c r="F1513" i="3"/>
  <c r="F1512" i="3"/>
  <c r="F1511" i="3"/>
  <c r="F1510" i="3"/>
  <c r="F1509" i="3"/>
  <c r="F1508" i="3"/>
  <c r="F1507" i="3"/>
  <c r="F1506" i="3"/>
  <c r="F1505" i="3"/>
  <c r="F1504" i="3"/>
  <c r="F1503" i="3"/>
  <c r="F1502" i="3"/>
  <c r="F1501" i="3"/>
  <c r="F1500" i="3"/>
  <c r="F1499" i="3"/>
  <c r="F1498" i="3"/>
  <c r="F1497" i="3"/>
  <c r="F1496" i="3"/>
  <c r="F1495" i="3"/>
  <c r="F1494" i="3"/>
  <c r="F1493" i="3"/>
  <c r="F1492" i="3"/>
  <c r="F1491" i="3"/>
  <c r="F1490" i="3"/>
  <c r="F1489" i="3"/>
  <c r="F1488" i="3"/>
  <c r="F1487" i="3"/>
  <c r="F1486" i="3"/>
  <c r="F1485" i="3"/>
  <c r="F1484" i="3"/>
  <c r="F1483" i="3"/>
  <c r="F1482" i="3"/>
  <c r="F1481" i="3"/>
  <c r="F1480" i="3"/>
  <c r="F1479" i="3"/>
  <c r="F1478" i="3"/>
  <c r="F1477" i="3"/>
  <c r="F1476" i="3"/>
  <c r="F1475" i="3"/>
  <c r="F1474" i="3"/>
  <c r="F1473" i="3"/>
  <c r="F1472" i="3"/>
  <c r="F1471" i="3"/>
  <c r="F1470" i="3"/>
  <c r="F1469" i="3"/>
  <c r="F1468" i="3"/>
  <c r="F1467" i="3"/>
  <c r="F1466" i="3"/>
  <c r="F1465" i="3"/>
  <c r="F1464" i="3"/>
  <c r="F1463" i="3"/>
  <c r="F1462" i="3"/>
  <c r="F1461" i="3"/>
  <c r="F1460" i="3"/>
  <c r="F1459" i="3"/>
  <c r="F1458" i="3"/>
  <c r="F1457" i="3"/>
  <c r="F1456" i="3"/>
  <c r="F1455" i="3"/>
  <c r="F1454" i="3"/>
  <c r="F1453" i="3"/>
  <c r="F1452" i="3"/>
  <c r="F1451" i="3"/>
  <c r="F1450" i="3"/>
  <c r="F1449" i="3"/>
  <c r="F1448" i="3"/>
  <c r="F1447" i="3"/>
  <c r="F1446" i="3"/>
  <c r="F1445" i="3"/>
  <c r="F1444" i="3"/>
  <c r="F1443" i="3"/>
  <c r="F1442" i="3"/>
  <c r="F1441" i="3"/>
  <c r="F1440" i="3"/>
  <c r="F1439" i="3"/>
  <c r="F1438" i="3"/>
  <c r="F1437" i="3"/>
  <c r="F1436" i="3"/>
  <c r="F1435" i="3"/>
  <c r="F1434" i="3"/>
  <c r="F1433" i="3"/>
  <c r="F1432" i="3"/>
  <c r="F1431" i="3"/>
  <c r="F1430" i="3"/>
  <c r="F1429" i="3"/>
  <c r="F1428" i="3"/>
  <c r="F1427" i="3"/>
  <c r="F1426" i="3"/>
  <c r="F1425" i="3"/>
  <c r="F1424" i="3"/>
  <c r="F1423" i="3"/>
  <c r="F1422" i="3"/>
  <c r="F1421" i="3"/>
  <c r="F1420" i="3"/>
  <c r="F1419" i="3"/>
  <c r="F1418" i="3"/>
  <c r="F1417" i="3"/>
  <c r="F1416" i="3"/>
  <c r="F1415" i="3"/>
  <c r="F1414" i="3"/>
  <c r="F1413" i="3"/>
  <c r="F1412" i="3"/>
  <c r="F1411" i="3"/>
  <c r="F1410" i="3"/>
  <c r="F1409" i="3"/>
  <c r="F1408" i="3"/>
  <c r="F1407" i="3"/>
  <c r="F1406" i="3"/>
  <c r="F1405" i="3"/>
  <c r="F1404" i="3"/>
  <c r="F1403" i="3"/>
  <c r="F1402" i="3"/>
  <c r="F1401" i="3"/>
  <c r="F1400" i="3"/>
  <c r="F1399" i="3"/>
  <c r="F1398" i="3"/>
  <c r="F1397" i="3"/>
  <c r="F1396" i="3"/>
  <c r="F1395" i="3"/>
  <c r="F1394" i="3"/>
  <c r="F1393" i="3"/>
  <c r="F1392" i="3"/>
  <c r="F1391" i="3"/>
  <c r="F1390" i="3"/>
  <c r="F1389" i="3"/>
  <c r="F1388" i="3"/>
  <c r="F1387" i="3"/>
  <c r="F1386" i="3"/>
  <c r="F1385" i="3"/>
  <c r="F1384" i="3"/>
  <c r="F1383" i="3"/>
  <c r="F1382" i="3"/>
  <c r="F1381" i="3"/>
  <c r="F1380" i="3"/>
  <c r="F1379" i="3"/>
  <c r="F1378" i="3"/>
  <c r="F1377" i="3"/>
  <c r="F1376" i="3"/>
  <c r="F1375" i="3"/>
  <c r="F1374" i="3"/>
  <c r="F1373" i="3"/>
  <c r="F1372" i="3"/>
  <c r="F1371" i="3"/>
  <c r="F1370" i="3"/>
  <c r="F1369" i="3"/>
  <c r="F1368" i="3"/>
  <c r="F1367" i="3"/>
  <c r="F1366" i="3"/>
  <c r="F1365" i="3"/>
  <c r="F1364" i="3"/>
  <c r="F1363" i="3"/>
  <c r="F1362" i="3"/>
  <c r="F1361" i="3"/>
  <c r="F1360" i="3"/>
  <c r="F1359" i="3"/>
  <c r="F1358" i="3"/>
  <c r="F1357" i="3"/>
  <c r="F1356" i="3"/>
  <c r="F1355" i="3"/>
  <c r="F1354" i="3"/>
  <c r="F1353" i="3"/>
  <c r="F1352" i="3"/>
  <c r="F1351" i="3"/>
  <c r="F1350" i="3"/>
  <c r="F1349" i="3"/>
  <c r="F1348" i="3"/>
  <c r="F1347" i="3"/>
  <c r="F1346" i="3"/>
  <c r="F1345" i="3"/>
  <c r="F1344" i="3"/>
  <c r="F1343" i="3"/>
  <c r="F1342" i="3"/>
  <c r="F1341" i="3"/>
  <c r="F1340" i="3"/>
  <c r="F1339" i="3"/>
  <c r="F1338" i="3"/>
  <c r="F1337" i="3"/>
  <c r="F1336" i="3"/>
  <c r="F1335" i="3"/>
  <c r="F1334" i="3"/>
  <c r="F1333" i="3"/>
  <c r="F1332" i="3"/>
  <c r="F1331" i="3"/>
  <c r="F1330" i="3"/>
  <c r="F1329" i="3"/>
  <c r="F1328" i="3"/>
  <c r="F1327" i="3"/>
  <c r="F1326" i="3"/>
  <c r="F1325" i="3"/>
  <c r="F1324" i="3"/>
  <c r="F1323" i="3"/>
  <c r="F1322" i="3"/>
  <c r="F1321" i="3"/>
  <c r="F1320" i="3"/>
  <c r="F1319" i="3"/>
  <c r="F1318" i="3"/>
  <c r="F1317" i="3"/>
  <c r="F1316" i="3"/>
  <c r="F1315" i="3"/>
  <c r="F1314" i="3"/>
  <c r="F1313" i="3"/>
  <c r="F1312" i="3"/>
  <c r="F1311" i="3"/>
  <c r="F1310" i="3"/>
  <c r="F1309" i="3"/>
  <c r="F1308" i="3"/>
  <c r="F1307" i="3"/>
  <c r="F1306" i="3"/>
  <c r="F1305" i="3"/>
  <c r="F1304" i="3"/>
  <c r="F1303" i="3"/>
  <c r="F1302" i="3"/>
  <c r="F1301" i="3"/>
  <c r="F1300" i="3"/>
  <c r="F1299" i="3"/>
  <c r="F1298" i="3"/>
  <c r="F1297" i="3"/>
  <c r="F1296" i="3"/>
  <c r="F1295" i="3"/>
  <c r="F1294" i="3"/>
  <c r="F1293" i="3"/>
  <c r="F1292" i="3"/>
  <c r="F1291" i="3"/>
  <c r="F1290" i="3"/>
  <c r="F1289" i="3"/>
  <c r="F1288" i="3"/>
  <c r="F1287" i="3"/>
  <c r="F1286" i="3"/>
  <c r="F1285" i="3"/>
  <c r="F1284" i="3"/>
  <c r="F1283" i="3"/>
  <c r="F1282" i="3"/>
  <c r="F1281" i="3"/>
  <c r="F1280" i="3"/>
  <c r="F1279" i="3"/>
  <c r="F1278" i="3"/>
  <c r="F1277" i="3"/>
  <c r="F1276" i="3"/>
  <c r="F1275" i="3"/>
  <c r="F1274" i="3"/>
  <c r="F1273" i="3"/>
  <c r="F1272" i="3"/>
  <c r="F1271" i="3"/>
  <c r="F1270" i="3"/>
  <c r="F1269" i="3"/>
  <c r="F1268" i="3"/>
  <c r="F1267" i="3"/>
  <c r="F1266" i="3"/>
  <c r="F1265" i="3"/>
  <c r="F1264" i="3"/>
  <c r="F1263" i="3"/>
  <c r="F1262" i="3"/>
  <c r="F1261" i="3"/>
  <c r="F1260" i="3"/>
  <c r="F1259" i="3"/>
  <c r="F1258" i="3"/>
  <c r="F1257" i="3"/>
  <c r="F1256" i="3"/>
  <c r="F1255" i="3"/>
  <c r="F1254" i="3"/>
  <c r="F1253" i="3"/>
  <c r="F1252" i="3"/>
  <c r="F1251" i="3"/>
  <c r="F1250" i="3"/>
  <c r="F1249" i="3"/>
  <c r="F1248" i="3"/>
  <c r="F1247" i="3"/>
  <c r="F1246" i="3"/>
  <c r="F1245" i="3"/>
  <c r="F1244" i="3"/>
  <c r="F1243" i="3"/>
  <c r="F1242" i="3"/>
  <c r="F1241" i="3"/>
  <c r="F1240" i="3"/>
  <c r="F1239" i="3"/>
  <c r="F1238" i="3"/>
  <c r="F1237" i="3"/>
  <c r="F1236" i="3"/>
  <c r="F1235" i="3"/>
  <c r="F1234" i="3"/>
  <c r="F1233" i="3"/>
  <c r="F1232" i="3"/>
  <c r="F1231" i="3"/>
  <c r="F1230" i="3"/>
  <c r="F1229" i="3"/>
  <c r="F1228" i="3"/>
  <c r="F1227" i="3"/>
  <c r="F1226" i="3"/>
  <c r="F1225" i="3"/>
  <c r="F1224" i="3"/>
  <c r="F1223" i="3"/>
  <c r="F1222" i="3"/>
  <c r="F1221" i="3"/>
  <c r="F1220" i="3"/>
  <c r="F1219" i="3"/>
  <c r="F1218" i="3"/>
  <c r="F1217" i="3"/>
  <c r="F1216" i="3"/>
  <c r="F1215" i="3"/>
  <c r="F1214" i="3"/>
  <c r="F1213" i="3"/>
  <c r="F1212" i="3"/>
  <c r="F1211" i="3"/>
  <c r="F1210" i="3"/>
  <c r="F1209" i="3"/>
  <c r="F1208" i="3"/>
  <c r="F1207" i="3"/>
  <c r="F1206" i="3"/>
  <c r="F1205" i="3"/>
  <c r="F1204" i="3"/>
  <c r="F1203" i="3"/>
  <c r="F1202" i="3"/>
  <c r="F1201" i="3"/>
  <c r="F1200" i="3"/>
  <c r="F1199" i="3"/>
  <c r="F1198" i="3"/>
  <c r="F1197" i="3"/>
  <c r="F1196" i="3"/>
  <c r="F1195" i="3"/>
  <c r="F1194" i="3"/>
  <c r="F1193" i="3"/>
  <c r="F1192" i="3"/>
  <c r="F1191" i="3"/>
  <c r="F1190" i="3"/>
  <c r="F1189" i="3"/>
  <c r="F1188" i="3"/>
  <c r="F1187" i="3"/>
  <c r="F1186" i="3"/>
  <c r="F1185" i="3"/>
  <c r="F1184" i="3"/>
  <c r="F1183" i="3"/>
  <c r="F1182" i="3"/>
  <c r="F1181" i="3"/>
  <c r="F1180" i="3"/>
  <c r="F1179" i="3"/>
  <c r="F1178" i="3"/>
  <c r="F1177" i="3"/>
  <c r="F1176" i="3"/>
  <c r="F1175" i="3"/>
  <c r="F1174" i="3"/>
  <c r="F1173" i="3"/>
  <c r="F1172" i="3"/>
  <c r="F1171" i="3"/>
  <c r="F1170" i="3"/>
  <c r="F1169" i="3"/>
  <c r="F1168" i="3"/>
  <c r="F1167" i="3"/>
  <c r="F1166" i="3"/>
  <c r="F1165" i="3"/>
  <c r="F1164" i="3"/>
  <c r="F1163" i="3"/>
  <c r="F1162" i="3"/>
  <c r="F1161" i="3"/>
  <c r="F1160" i="3"/>
  <c r="F1159" i="3"/>
  <c r="F1158" i="3"/>
  <c r="F1157" i="3"/>
  <c r="F1156" i="3"/>
  <c r="F1155" i="3"/>
  <c r="F1154" i="3"/>
  <c r="F1153" i="3"/>
  <c r="F1152" i="3"/>
  <c r="F1151" i="3"/>
  <c r="F1150" i="3"/>
  <c r="F1149" i="3"/>
  <c r="F1148" i="3"/>
  <c r="F1147" i="3"/>
  <c r="F1146" i="3"/>
  <c r="F1145" i="3"/>
  <c r="F1144" i="3"/>
  <c r="F1143" i="3"/>
  <c r="F1142" i="3"/>
  <c r="F1141" i="3"/>
  <c r="F1140" i="3"/>
  <c r="F1139" i="3"/>
  <c r="F1138" i="3"/>
  <c r="F1137" i="3"/>
  <c r="F1136" i="3"/>
  <c r="F1135" i="3"/>
  <c r="F1134" i="3"/>
  <c r="F1133" i="3"/>
  <c r="F1132" i="3"/>
  <c r="F1131" i="3"/>
  <c r="F1130" i="3"/>
  <c r="F1129" i="3"/>
  <c r="F1128" i="3"/>
  <c r="F1127" i="3"/>
  <c r="F1126" i="3"/>
  <c r="F1125" i="3"/>
  <c r="F1124" i="3"/>
  <c r="F1123" i="3"/>
  <c r="F1122" i="3"/>
  <c r="F1121" i="3"/>
  <c r="F1120" i="3"/>
  <c r="F1119" i="3"/>
  <c r="F1118" i="3"/>
  <c r="F1117" i="3"/>
  <c r="F1116" i="3"/>
  <c r="F1115" i="3"/>
  <c r="F1114" i="3"/>
  <c r="F1113" i="3"/>
  <c r="F1112" i="3"/>
  <c r="F1111" i="3"/>
  <c r="F1110" i="3"/>
  <c r="F1109" i="3"/>
  <c r="F1108" i="3"/>
  <c r="F1107" i="3"/>
  <c r="F1106" i="3"/>
  <c r="F1105" i="3"/>
  <c r="F1104" i="3"/>
  <c r="F1103" i="3"/>
  <c r="F1102" i="3"/>
  <c r="F1101" i="3"/>
  <c r="F1100" i="3"/>
  <c r="F1099" i="3"/>
  <c r="F1098" i="3"/>
  <c r="F1097" i="3"/>
  <c r="F1096" i="3"/>
  <c r="F1095" i="3"/>
  <c r="F1094" i="3"/>
  <c r="F1093" i="3"/>
  <c r="F1092" i="3"/>
  <c r="F1091" i="3"/>
  <c r="F1090" i="3"/>
  <c r="F1089" i="3"/>
  <c r="F1088" i="3"/>
  <c r="F1087" i="3"/>
  <c r="F1086" i="3"/>
  <c r="F1085" i="3"/>
  <c r="F1084" i="3"/>
  <c r="F1083" i="3"/>
  <c r="F1082" i="3"/>
  <c r="F1081" i="3"/>
  <c r="F1080" i="3"/>
  <c r="F1079" i="3"/>
  <c r="F1078" i="3"/>
  <c r="F1077" i="3"/>
  <c r="F1076" i="3"/>
  <c r="F1075" i="3"/>
  <c r="F1074" i="3"/>
  <c r="F1073" i="3"/>
  <c r="F1072" i="3"/>
  <c r="F1071" i="3"/>
  <c r="F1070" i="3"/>
  <c r="F1069" i="3"/>
  <c r="F1068" i="3"/>
  <c r="F1067" i="3"/>
  <c r="F1066" i="3"/>
  <c r="F1065" i="3"/>
  <c r="F1064" i="3"/>
  <c r="F1063" i="3"/>
  <c r="F1062" i="3"/>
  <c r="F1061" i="3"/>
  <c r="F1060" i="3"/>
  <c r="F1059" i="3"/>
  <c r="F1058" i="3"/>
  <c r="F1057" i="3"/>
  <c r="F1056" i="3"/>
  <c r="F1055" i="3"/>
  <c r="F1054" i="3"/>
  <c r="F1053" i="3"/>
  <c r="F1052" i="3"/>
  <c r="F1051" i="3"/>
  <c r="F1050" i="3"/>
  <c r="F1049" i="3"/>
  <c r="F1048" i="3"/>
  <c r="F1047" i="3"/>
  <c r="F1046" i="3"/>
  <c r="F1045" i="3"/>
  <c r="F1044" i="3"/>
  <c r="F1043" i="3"/>
  <c r="F1042" i="3"/>
  <c r="F1041" i="3"/>
  <c r="F1040" i="3"/>
  <c r="F1039" i="3"/>
  <c r="F1038" i="3"/>
  <c r="F1037" i="3"/>
  <c r="F1036" i="3"/>
  <c r="F1035" i="3"/>
  <c r="F1034" i="3"/>
  <c r="F1033" i="3"/>
  <c r="F1032" i="3"/>
  <c r="F1031" i="3"/>
  <c r="F1030" i="3"/>
  <c r="F1029" i="3"/>
  <c r="F1028" i="3"/>
  <c r="F1027" i="3"/>
  <c r="F1026" i="3"/>
  <c r="F1025" i="3"/>
  <c r="F1024" i="3"/>
  <c r="F1023" i="3"/>
  <c r="F1022" i="3"/>
  <c r="F1021" i="3"/>
  <c r="F1020" i="3"/>
  <c r="F1019" i="3"/>
  <c r="F1018" i="3"/>
  <c r="F1017" i="3"/>
  <c r="F1016" i="3"/>
  <c r="F1015" i="3"/>
  <c r="F1014" i="3"/>
  <c r="F1013" i="3"/>
  <c r="F1012" i="3"/>
  <c r="F1011" i="3"/>
  <c r="F1010" i="3"/>
  <c r="F1009" i="3"/>
  <c r="F1008" i="3"/>
  <c r="F1007" i="3"/>
  <c r="F1006" i="3"/>
  <c r="F1005" i="3"/>
  <c r="F1004" i="3"/>
  <c r="F1003" i="3"/>
  <c r="F1002" i="3"/>
  <c r="F1001" i="3"/>
  <c r="F1000" i="3"/>
  <c r="F999" i="3"/>
  <c r="F998" i="3"/>
  <c r="F997" i="3"/>
  <c r="F996" i="3"/>
  <c r="F995" i="3"/>
  <c r="F994" i="3"/>
  <c r="F993" i="3"/>
  <c r="F992" i="3"/>
  <c r="F991" i="3"/>
  <c r="F990" i="3"/>
  <c r="F989" i="3"/>
  <c r="F988" i="3"/>
  <c r="F987" i="3"/>
  <c r="F986" i="3"/>
  <c r="F985" i="3"/>
  <c r="F984" i="3"/>
  <c r="F983" i="3"/>
  <c r="F982" i="3"/>
  <c r="F981" i="3"/>
  <c r="F980" i="3"/>
  <c r="F979" i="3"/>
  <c r="F978" i="3"/>
  <c r="F977" i="3"/>
  <c r="F976" i="3"/>
  <c r="F975" i="3"/>
  <c r="F974" i="3"/>
  <c r="F973" i="3"/>
  <c r="F972" i="3"/>
  <c r="F971" i="3"/>
  <c r="F970" i="3"/>
  <c r="F969" i="3"/>
  <c r="F968" i="3"/>
  <c r="F967" i="3"/>
  <c r="F966" i="3"/>
  <c r="F965" i="3"/>
  <c r="F964" i="3"/>
  <c r="F963" i="3"/>
  <c r="F962" i="3"/>
  <c r="F961" i="3"/>
  <c r="F960" i="3"/>
  <c r="F959" i="3"/>
  <c r="F958" i="3"/>
  <c r="F957" i="3"/>
  <c r="F956" i="3"/>
  <c r="F955" i="3"/>
  <c r="F954" i="3"/>
  <c r="F953" i="3"/>
  <c r="F952" i="3"/>
  <c r="F951" i="3"/>
  <c r="F950" i="3"/>
  <c r="F949" i="3"/>
  <c r="F948" i="3"/>
  <c r="F947" i="3"/>
  <c r="F946" i="3"/>
  <c r="F945" i="3"/>
  <c r="F944" i="3"/>
  <c r="F943" i="3"/>
  <c r="F942" i="3"/>
  <c r="F941" i="3"/>
  <c r="F940" i="3"/>
  <c r="F939" i="3"/>
  <c r="F938" i="3"/>
  <c r="F937" i="3"/>
  <c r="F936" i="3"/>
  <c r="F935" i="3"/>
  <c r="F934" i="3"/>
  <c r="F933" i="3"/>
  <c r="F932" i="3"/>
  <c r="F931" i="3"/>
  <c r="F930" i="3"/>
  <c r="F929" i="3"/>
  <c r="F928" i="3"/>
  <c r="F927" i="3"/>
  <c r="F926" i="3"/>
  <c r="F925" i="3"/>
  <c r="F924" i="3"/>
  <c r="F923" i="3"/>
  <c r="F922" i="3"/>
  <c r="F921" i="3"/>
  <c r="F920" i="3"/>
  <c r="F919" i="3"/>
  <c r="F918" i="3"/>
  <c r="F917" i="3"/>
  <c r="F916" i="3"/>
  <c r="F915" i="3"/>
  <c r="F914" i="3"/>
  <c r="F913" i="3"/>
  <c r="F912" i="3"/>
  <c r="F911" i="3"/>
  <c r="F910" i="3"/>
  <c r="F909" i="3"/>
  <c r="F908" i="3"/>
  <c r="F907" i="3"/>
  <c r="F906" i="3"/>
  <c r="F905" i="3"/>
  <c r="F904" i="3"/>
  <c r="F903" i="3"/>
  <c r="F902" i="3"/>
  <c r="F901" i="3"/>
  <c r="F900" i="3"/>
  <c r="F899" i="3"/>
  <c r="F898" i="3"/>
  <c r="F897" i="3"/>
  <c r="F896" i="3"/>
  <c r="F895" i="3"/>
  <c r="F894" i="3"/>
  <c r="F893" i="3"/>
  <c r="F892" i="3"/>
  <c r="F891" i="3"/>
  <c r="F890" i="3"/>
  <c r="F889" i="3"/>
  <c r="F888" i="3"/>
  <c r="F887" i="3"/>
  <c r="F886" i="3"/>
  <c r="F885" i="3"/>
  <c r="F884" i="3"/>
  <c r="F883" i="3"/>
  <c r="F882" i="3"/>
  <c r="F881" i="3"/>
  <c r="F880" i="3"/>
  <c r="F879" i="3"/>
  <c r="F878" i="3"/>
  <c r="F877" i="3"/>
  <c r="F876" i="3"/>
  <c r="F875" i="3"/>
  <c r="F874" i="3"/>
  <c r="F873" i="3"/>
  <c r="F872" i="3"/>
  <c r="F871" i="3"/>
  <c r="F870" i="3"/>
  <c r="F869" i="3"/>
  <c r="F868" i="3"/>
  <c r="F867" i="3"/>
  <c r="F866" i="3"/>
  <c r="F865" i="3"/>
  <c r="F864" i="3"/>
  <c r="F863" i="3"/>
  <c r="F862" i="3"/>
  <c r="F861" i="3"/>
  <c r="F860" i="3"/>
  <c r="F859" i="3"/>
  <c r="F858" i="3"/>
  <c r="F857" i="3"/>
  <c r="F856" i="3"/>
  <c r="F855" i="3"/>
  <c r="F854" i="3"/>
  <c r="F853" i="3"/>
  <c r="F852" i="3"/>
  <c r="F851" i="3"/>
  <c r="F850" i="3"/>
  <c r="F849" i="3"/>
  <c r="F848" i="3"/>
  <c r="F847" i="3"/>
  <c r="F846" i="3"/>
  <c r="F845" i="3"/>
  <c r="F844" i="3"/>
  <c r="F843" i="3"/>
  <c r="F842" i="3"/>
  <c r="F841" i="3"/>
  <c r="F840" i="3"/>
  <c r="F839" i="3"/>
  <c r="F838" i="3"/>
  <c r="F837" i="3"/>
  <c r="F836" i="3"/>
  <c r="F835" i="3"/>
  <c r="F834" i="3"/>
  <c r="F833" i="3"/>
  <c r="F832" i="3"/>
  <c r="F831" i="3"/>
  <c r="F830" i="3"/>
  <c r="F829" i="3"/>
  <c r="F828" i="3"/>
  <c r="F827" i="3"/>
  <c r="F826" i="3"/>
  <c r="F825" i="3"/>
  <c r="F824" i="3"/>
  <c r="F823" i="3"/>
  <c r="F822" i="3"/>
  <c r="F821" i="3"/>
  <c r="F820" i="3"/>
  <c r="F819" i="3"/>
  <c r="F818" i="3"/>
  <c r="F817" i="3"/>
  <c r="F816" i="3"/>
  <c r="F815" i="3"/>
  <c r="F814" i="3"/>
  <c r="F813" i="3"/>
  <c r="F812" i="3"/>
  <c r="F811" i="3"/>
  <c r="F810" i="3"/>
  <c r="F809" i="3"/>
  <c r="F808" i="3"/>
  <c r="F807" i="3"/>
  <c r="F806" i="3"/>
  <c r="F805" i="3"/>
  <c r="F804" i="3"/>
  <c r="F803" i="3"/>
  <c r="F802" i="3"/>
  <c r="F801" i="3"/>
  <c r="F800" i="3"/>
  <c r="F799" i="3"/>
  <c r="F798" i="3"/>
  <c r="F797" i="3"/>
  <c r="F796" i="3"/>
  <c r="F795" i="3"/>
  <c r="F794" i="3"/>
  <c r="F793" i="3"/>
  <c r="F792" i="3"/>
  <c r="F791" i="3"/>
  <c r="F790" i="3"/>
  <c r="F789" i="3"/>
  <c r="F788" i="3"/>
  <c r="F787" i="3"/>
  <c r="F786" i="3"/>
  <c r="F785" i="3"/>
  <c r="F784" i="3"/>
  <c r="F783" i="3"/>
  <c r="F782" i="3"/>
  <c r="F781" i="3"/>
  <c r="F780" i="3"/>
  <c r="F779" i="3"/>
  <c r="F778" i="3"/>
  <c r="F777" i="3"/>
  <c r="F776" i="3"/>
  <c r="F775" i="3"/>
  <c r="F774" i="3"/>
  <c r="F773" i="3"/>
  <c r="F772" i="3"/>
  <c r="F771" i="3"/>
  <c r="F770" i="3"/>
  <c r="F769" i="3"/>
  <c r="F768" i="3"/>
  <c r="F767" i="3"/>
  <c r="F766" i="3"/>
  <c r="F765" i="3"/>
  <c r="F764" i="3"/>
  <c r="F763" i="3"/>
  <c r="F762" i="3"/>
  <c r="F761" i="3"/>
  <c r="F760" i="3"/>
  <c r="F759" i="3"/>
  <c r="F758" i="3"/>
  <c r="F757" i="3"/>
  <c r="F756" i="3"/>
  <c r="F755" i="3"/>
  <c r="F754" i="3"/>
  <c r="F753" i="3"/>
  <c r="F752" i="3"/>
  <c r="F751" i="3"/>
  <c r="F750" i="3"/>
  <c r="F749" i="3"/>
  <c r="F748" i="3"/>
  <c r="F747" i="3"/>
  <c r="F746" i="3"/>
  <c r="F745" i="3"/>
  <c r="F744" i="3"/>
  <c r="F743" i="3"/>
  <c r="F742" i="3"/>
  <c r="F741" i="3"/>
  <c r="F740" i="3"/>
  <c r="F739" i="3"/>
  <c r="F738" i="3"/>
  <c r="F737" i="3"/>
  <c r="F736" i="3"/>
  <c r="F735" i="3"/>
  <c r="F734" i="3"/>
  <c r="F733" i="3"/>
  <c r="F732" i="3"/>
  <c r="F731" i="3"/>
  <c r="F730" i="3"/>
  <c r="F729" i="3"/>
  <c r="F728" i="3"/>
  <c r="F727" i="3"/>
  <c r="F726" i="3"/>
  <c r="F725" i="3"/>
  <c r="F724" i="3"/>
  <c r="F723" i="3"/>
  <c r="F722" i="3"/>
  <c r="F721" i="3"/>
  <c r="F720" i="3"/>
  <c r="F719" i="3"/>
  <c r="F718" i="3"/>
  <c r="F717" i="3"/>
  <c r="F716" i="3"/>
  <c r="F715" i="3"/>
  <c r="F714" i="3"/>
  <c r="F713" i="3"/>
  <c r="F712" i="3"/>
  <c r="F711" i="3"/>
  <c r="F710" i="3"/>
  <c r="F709" i="3"/>
  <c r="F708" i="3"/>
  <c r="F707" i="3"/>
  <c r="F706" i="3"/>
  <c r="F705" i="3"/>
  <c r="F704" i="3"/>
  <c r="F703" i="3"/>
  <c r="F702" i="3"/>
  <c r="F701" i="3"/>
  <c r="F700" i="3"/>
  <c r="F699" i="3"/>
  <c r="F698" i="3"/>
  <c r="F697" i="3"/>
  <c r="F696" i="3"/>
  <c r="F695" i="3"/>
  <c r="F694" i="3"/>
  <c r="F693" i="3"/>
  <c r="F692" i="3"/>
  <c r="F691" i="3"/>
  <c r="F690" i="3"/>
  <c r="F689" i="3"/>
  <c r="F688" i="3"/>
  <c r="F687" i="3"/>
  <c r="F686" i="3"/>
  <c r="F685" i="3"/>
  <c r="F684" i="3"/>
  <c r="F683" i="3"/>
  <c r="F682" i="3"/>
  <c r="F681" i="3"/>
  <c r="F680" i="3"/>
  <c r="F679" i="3"/>
  <c r="F678" i="3"/>
  <c r="F677" i="3"/>
  <c r="F676" i="3"/>
  <c r="F675" i="3"/>
  <c r="F674" i="3"/>
  <c r="F673" i="3"/>
  <c r="F672" i="3"/>
  <c r="F671" i="3"/>
  <c r="F670" i="3"/>
  <c r="F669" i="3"/>
  <c r="F668" i="3"/>
  <c r="F667" i="3"/>
  <c r="F666" i="3"/>
  <c r="F665" i="3"/>
  <c r="F664" i="3"/>
  <c r="F663" i="3"/>
  <c r="F662" i="3"/>
  <c r="F661" i="3"/>
  <c r="F660" i="3"/>
  <c r="F659" i="3"/>
  <c r="F658" i="3"/>
  <c r="F657" i="3"/>
  <c r="F656" i="3"/>
  <c r="F655" i="3"/>
  <c r="F654" i="3"/>
  <c r="F653" i="3"/>
  <c r="F652" i="3"/>
  <c r="F651" i="3"/>
  <c r="F650" i="3"/>
  <c r="F649" i="3"/>
  <c r="F648" i="3"/>
  <c r="F647" i="3"/>
  <c r="F646" i="3"/>
  <c r="F645" i="3"/>
  <c r="F644" i="3"/>
  <c r="F643" i="3"/>
  <c r="F642" i="3"/>
  <c r="F641" i="3"/>
  <c r="F640" i="3"/>
  <c r="F639" i="3"/>
  <c r="F638" i="3"/>
  <c r="F637" i="3"/>
  <c r="F636" i="3"/>
  <c r="F635" i="3"/>
  <c r="F634" i="3"/>
  <c r="F633" i="3"/>
  <c r="F632" i="3"/>
  <c r="F631" i="3"/>
  <c r="F630" i="3"/>
  <c r="F629" i="3"/>
  <c r="F628" i="3"/>
  <c r="F627" i="3"/>
  <c r="F626" i="3"/>
  <c r="F625" i="3"/>
  <c r="F624" i="3"/>
  <c r="F623" i="3"/>
  <c r="F622" i="3"/>
  <c r="F621" i="3"/>
  <c r="F620" i="3"/>
  <c r="F619" i="3"/>
  <c r="F618" i="3"/>
  <c r="F617" i="3"/>
  <c r="F616" i="3"/>
  <c r="F615" i="3"/>
  <c r="F614" i="3"/>
  <c r="F613" i="3"/>
  <c r="F612" i="3"/>
  <c r="F611" i="3"/>
  <c r="F610" i="3"/>
  <c r="F609" i="3"/>
  <c r="F608" i="3"/>
  <c r="F607" i="3"/>
  <c r="F606" i="3"/>
  <c r="F605" i="3"/>
  <c r="F604" i="3"/>
  <c r="F603" i="3"/>
  <c r="F602" i="3"/>
  <c r="F601" i="3"/>
  <c r="F600" i="3"/>
  <c r="F599" i="3"/>
  <c r="F598" i="3"/>
  <c r="F597" i="3"/>
  <c r="F596" i="3"/>
  <c r="F595" i="3"/>
  <c r="F594" i="3"/>
  <c r="F593" i="3"/>
  <c r="F592" i="3"/>
  <c r="F591" i="3"/>
  <c r="F590" i="3"/>
  <c r="F589" i="3"/>
  <c r="F588" i="3"/>
  <c r="F587" i="3"/>
  <c r="F586" i="3"/>
  <c r="F585" i="3"/>
  <c r="F584" i="3"/>
  <c r="F583" i="3"/>
  <c r="F582" i="3"/>
  <c r="F581" i="3"/>
  <c r="F580" i="3"/>
  <c r="F579" i="3"/>
  <c r="F578" i="3"/>
  <c r="F577" i="3"/>
  <c r="F576" i="3"/>
  <c r="F575" i="3"/>
  <c r="F574" i="3"/>
  <c r="F573" i="3"/>
  <c r="F572" i="3"/>
  <c r="F571" i="3"/>
  <c r="F570" i="3"/>
  <c r="F569" i="3"/>
  <c r="F568" i="3"/>
  <c r="F567" i="3"/>
  <c r="F566" i="3"/>
  <c r="F565" i="3"/>
  <c r="F564" i="3"/>
  <c r="F563" i="3"/>
  <c r="F562" i="3"/>
  <c r="F561" i="3"/>
  <c r="F560" i="3"/>
  <c r="F559" i="3"/>
  <c r="F558" i="3"/>
  <c r="F557" i="3"/>
  <c r="F556" i="3"/>
  <c r="F555" i="3"/>
  <c r="F554" i="3"/>
  <c r="F553" i="3"/>
  <c r="F552" i="3"/>
  <c r="F551" i="3"/>
  <c r="F550" i="3"/>
  <c r="F549" i="3"/>
  <c r="F548" i="3"/>
  <c r="F547" i="3"/>
  <c r="F546" i="3"/>
  <c r="F545" i="3"/>
  <c r="F544" i="3"/>
  <c r="F543" i="3"/>
  <c r="F542" i="3"/>
  <c r="F541" i="3"/>
  <c r="F540" i="3"/>
  <c r="F539" i="3"/>
  <c r="F538" i="3"/>
  <c r="F537" i="3"/>
  <c r="F536" i="3"/>
  <c r="F535" i="3"/>
  <c r="F534" i="3"/>
  <c r="F533" i="3"/>
  <c r="F532" i="3"/>
  <c r="F531" i="3"/>
  <c r="F530" i="3"/>
  <c r="F529" i="3"/>
  <c r="F528" i="3"/>
  <c r="F527" i="3"/>
  <c r="F526" i="3"/>
  <c r="F525" i="3"/>
  <c r="F524" i="3"/>
  <c r="F523" i="3"/>
  <c r="F522" i="3"/>
  <c r="F521" i="3"/>
  <c r="F520" i="3"/>
  <c r="F519" i="3"/>
  <c r="F518" i="3"/>
  <c r="F517" i="3"/>
  <c r="F516" i="3"/>
  <c r="F515" i="3"/>
  <c r="F514" i="3"/>
  <c r="F513" i="3"/>
  <c r="F512" i="3"/>
  <c r="F511" i="3"/>
  <c r="F510" i="3"/>
  <c r="F509" i="3"/>
  <c r="F508" i="3"/>
  <c r="F507" i="3"/>
  <c r="F506" i="3"/>
  <c r="F505" i="3"/>
  <c r="F504" i="3"/>
  <c r="F503" i="3"/>
  <c r="F502" i="3"/>
  <c r="F501" i="3"/>
  <c r="F500" i="3"/>
  <c r="F499" i="3"/>
  <c r="F498" i="3"/>
  <c r="F497" i="3"/>
  <c r="F496" i="3"/>
  <c r="F495" i="3"/>
  <c r="F494" i="3"/>
  <c r="F493" i="3"/>
  <c r="F492" i="3"/>
  <c r="F491" i="3"/>
  <c r="F490" i="3"/>
  <c r="F489" i="3"/>
  <c r="F488" i="3"/>
  <c r="F487" i="3"/>
  <c r="F486" i="3"/>
  <c r="F485" i="3"/>
  <c r="F484" i="3"/>
  <c r="F483" i="3"/>
  <c r="F482" i="3"/>
  <c r="F481" i="3"/>
  <c r="F480" i="3"/>
  <c r="F479" i="3"/>
  <c r="F478" i="3"/>
  <c r="F477" i="3"/>
  <c r="F476" i="3"/>
  <c r="F475" i="3"/>
  <c r="F474" i="3"/>
  <c r="F473" i="3"/>
  <c r="F472" i="3"/>
  <c r="F471" i="3"/>
  <c r="F470" i="3"/>
  <c r="F469" i="3"/>
  <c r="F468" i="3"/>
  <c r="F467" i="3"/>
  <c r="F466" i="3"/>
  <c r="F465" i="3"/>
  <c r="F464" i="3"/>
  <c r="F463" i="3"/>
  <c r="F462" i="3"/>
  <c r="F461" i="3"/>
  <c r="F460" i="3"/>
  <c r="F459" i="3"/>
  <c r="F458" i="3"/>
  <c r="F457" i="3"/>
  <c r="F456" i="3"/>
  <c r="F455" i="3"/>
  <c r="F454" i="3"/>
  <c r="F453" i="3"/>
  <c r="F452" i="3"/>
  <c r="F451" i="3"/>
  <c r="F450" i="3"/>
  <c r="F449" i="3"/>
  <c r="F448" i="3"/>
  <c r="F447" i="3"/>
  <c r="F446" i="3"/>
  <c r="F445" i="3"/>
  <c r="F444" i="3"/>
  <c r="F443" i="3"/>
  <c r="F442" i="3"/>
  <c r="F441" i="3"/>
  <c r="F440" i="3"/>
  <c r="F439" i="3"/>
  <c r="F438" i="3"/>
  <c r="F437" i="3"/>
  <c r="F436" i="3"/>
  <c r="F435" i="3"/>
  <c r="F434" i="3"/>
  <c r="F433" i="3"/>
  <c r="F432" i="3"/>
  <c r="F431" i="3"/>
  <c r="F430" i="3"/>
  <c r="F429" i="3"/>
  <c r="F428" i="3"/>
  <c r="F427" i="3"/>
  <c r="F426" i="3"/>
  <c r="F425" i="3"/>
  <c r="F424" i="3"/>
  <c r="F423" i="3"/>
  <c r="F422" i="3"/>
  <c r="F421" i="3"/>
  <c r="F420" i="3"/>
  <c r="F419" i="3"/>
  <c r="F418" i="3"/>
  <c r="F417" i="3"/>
  <c r="F416" i="3"/>
  <c r="F415" i="3"/>
  <c r="F414" i="3"/>
  <c r="F413" i="3"/>
  <c r="F412" i="3"/>
  <c r="F411" i="3"/>
  <c r="F410" i="3"/>
  <c r="F409" i="3"/>
  <c r="F408" i="3"/>
  <c r="F407" i="3"/>
  <c r="F406" i="3"/>
  <c r="F405" i="3"/>
  <c r="F404" i="3"/>
  <c r="F403" i="3"/>
  <c r="F402" i="3"/>
  <c r="F401" i="3"/>
  <c r="F400" i="3"/>
  <c r="F399" i="3"/>
  <c r="F398" i="3"/>
  <c r="F397" i="3"/>
  <c r="F396" i="3"/>
  <c r="F395" i="3"/>
  <c r="F394" i="3"/>
  <c r="F393" i="3"/>
  <c r="F392" i="3"/>
  <c r="F391" i="3"/>
  <c r="F390" i="3"/>
  <c r="F389" i="3"/>
  <c r="F388" i="3"/>
  <c r="F387" i="3"/>
  <c r="F386" i="3"/>
  <c r="F385" i="3"/>
  <c r="F384" i="3"/>
  <c r="F383" i="3"/>
  <c r="F382" i="3"/>
  <c r="F381" i="3"/>
  <c r="F380" i="3"/>
  <c r="F379" i="3"/>
  <c r="F378" i="3"/>
  <c r="F377" i="3"/>
  <c r="F376" i="3"/>
  <c r="F375" i="3"/>
  <c r="F374" i="3"/>
  <c r="F373" i="3"/>
  <c r="F372" i="3"/>
  <c r="F371" i="3"/>
  <c r="F370" i="3"/>
  <c r="F369" i="3"/>
  <c r="F368" i="3"/>
  <c r="F367" i="3"/>
  <c r="F366" i="3"/>
  <c r="F365" i="3"/>
  <c r="F364" i="3"/>
  <c r="F363" i="3"/>
  <c r="F362" i="3"/>
  <c r="F361" i="3"/>
  <c r="F360" i="3"/>
  <c r="F359" i="3"/>
  <c r="F358" i="3"/>
  <c r="F357" i="3"/>
  <c r="F356" i="3"/>
  <c r="F355" i="3"/>
  <c r="F354" i="3"/>
  <c r="F353" i="3"/>
  <c r="F352" i="3"/>
  <c r="F351" i="3"/>
  <c r="F350" i="3"/>
  <c r="F349" i="3"/>
  <c r="F348" i="3"/>
  <c r="F347" i="3"/>
  <c r="F346" i="3"/>
  <c r="F345" i="3"/>
  <c r="F344" i="3"/>
  <c r="F343" i="3"/>
  <c r="F342" i="3"/>
  <c r="F341" i="3"/>
  <c r="F340" i="3"/>
  <c r="F339" i="3"/>
  <c r="F338" i="3"/>
  <c r="F337" i="3"/>
  <c r="F336" i="3"/>
  <c r="F335" i="3"/>
  <c r="F334" i="3"/>
  <c r="F333" i="3"/>
  <c r="F332" i="3"/>
  <c r="F331" i="3"/>
  <c r="F330" i="3"/>
  <c r="F329" i="3"/>
  <c r="F328" i="3"/>
  <c r="F327" i="3"/>
  <c r="F326" i="3"/>
  <c r="F325" i="3"/>
  <c r="F324" i="3"/>
  <c r="F323" i="3"/>
  <c r="F322" i="3"/>
  <c r="F321" i="3"/>
  <c r="F320" i="3"/>
  <c r="F319" i="3"/>
  <c r="F318" i="3"/>
  <c r="F317" i="3"/>
  <c r="F316" i="3"/>
  <c r="F315" i="3"/>
  <c r="F314" i="3"/>
  <c r="F313" i="3"/>
  <c r="F312" i="3"/>
  <c r="F311" i="3"/>
  <c r="F310" i="3"/>
  <c r="F309" i="3"/>
  <c r="F308" i="3"/>
  <c r="F307" i="3"/>
  <c r="F306" i="3"/>
  <c r="F305" i="3"/>
  <c r="F304" i="3"/>
  <c r="F303" i="3"/>
  <c r="F302" i="3"/>
  <c r="F301" i="3"/>
  <c r="F300" i="3"/>
  <c r="F299" i="3"/>
  <c r="F298" i="3"/>
  <c r="F297" i="3"/>
  <c r="F296" i="3"/>
  <c r="F295" i="3"/>
  <c r="F294" i="3"/>
  <c r="F293" i="3"/>
  <c r="F292" i="3"/>
  <c r="F291" i="3"/>
  <c r="F290" i="3"/>
  <c r="F289" i="3"/>
  <c r="F288" i="3"/>
  <c r="F287" i="3"/>
  <c r="F286" i="3"/>
  <c r="F285" i="3"/>
  <c r="F284" i="3"/>
  <c r="F283" i="3"/>
  <c r="F282" i="3"/>
  <c r="F281" i="3"/>
  <c r="F280" i="3"/>
  <c r="F279" i="3"/>
  <c r="F278" i="3"/>
  <c r="F277" i="3"/>
  <c r="F276" i="3"/>
  <c r="F275" i="3"/>
  <c r="F274" i="3"/>
  <c r="F273" i="3"/>
  <c r="F272" i="3"/>
  <c r="F271" i="3"/>
  <c r="F270" i="3"/>
  <c r="F269" i="3"/>
  <c r="F268" i="3"/>
  <c r="F267" i="3"/>
  <c r="F266" i="3"/>
  <c r="F265" i="3"/>
  <c r="F264" i="3"/>
  <c r="F263" i="3"/>
  <c r="F262" i="3"/>
  <c r="F261" i="3"/>
  <c r="F260" i="3"/>
  <c r="F259" i="3"/>
  <c r="F258" i="3"/>
  <c r="F257" i="3"/>
  <c r="F256" i="3"/>
  <c r="F255" i="3"/>
  <c r="F254" i="3"/>
  <c r="F253" i="3"/>
  <c r="F252" i="3"/>
  <c r="F251" i="3"/>
  <c r="F250" i="3"/>
  <c r="F249" i="3"/>
  <c r="F248" i="3"/>
  <c r="F247" i="3"/>
  <c r="F246" i="3"/>
  <c r="F245" i="3"/>
  <c r="F244" i="3"/>
  <c r="F243" i="3"/>
  <c r="F242" i="3"/>
  <c r="F241" i="3"/>
  <c r="F240" i="3"/>
  <c r="F239" i="3"/>
  <c r="F238" i="3"/>
  <c r="F237" i="3"/>
  <c r="F236" i="3"/>
  <c r="F235" i="3"/>
  <c r="F234" i="3"/>
  <c r="F233" i="3"/>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F23" i="3"/>
  <c r="F22" i="3"/>
  <c r="F21" i="3"/>
  <c r="F20" i="3"/>
  <c r="F19" i="3"/>
  <c r="F18" i="3"/>
  <c r="F17" i="3"/>
  <c r="F16" i="3"/>
  <c r="F15" i="3"/>
  <c r="F14" i="3"/>
  <c r="F13" i="3"/>
  <c r="F12" i="3"/>
  <c r="F11" i="3"/>
  <c r="F10" i="3"/>
  <c r="F9" i="3"/>
  <c r="F8" i="3"/>
  <c r="F7" i="3"/>
  <c r="F6" i="3"/>
  <c r="F5" i="3"/>
  <c r="F4" i="3"/>
  <c r="F3" i="3"/>
  <c r="F2" i="3"/>
  <c r="H78" i="1"/>
  <c r="F78" i="1"/>
  <c r="H77" i="1"/>
  <c r="F77" i="1"/>
  <c r="H76" i="1"/>
  <c r="F76" i="1"/>
  <c r="H75" i="1"/>
  <c r="F75" i="1"/>
  <c r="H74" i="1"/>
  <c r="F74" i="1"/>
  <c r="H73" i="1"/>
  <c r="F73" i="1"/>
  <c r="H72" i="1"/>
  <c r="F72" i="1"/>
  <c r="H71" i="1"/>
  <c r="F71" i="1"/>
  <c r="H70" i="1"/>
  <c r="F70" i="1"/>
  <c r="H69" i="1"/>
  <c r="F69" i="1"/>
  <c r="H68" i="1"/>
  <c r="F68" i="1"/>
  <c r="H67" i="1"/>
  <c r="F67" i="1"/>
  <c r="H66" i="1"/>
  <c r="F66" i="1"/>
  <c r="H65" i="1"/>
  <c r="F65" i="1"/>
  <c r="H64" i="1"/>
  <c r="F64" i="1"/>
  <c r="H63" i="1"/>
  <c r="F63" i="1"/>
  <c r="H62" i="1"/>
  <c r="F62" i="1"/>
  <c r="H61" i="1"/>
  <c r="F61" i="1"/>
  <c r="H60" i="1"/>
  <c r="F60" i="1"/>
  <c r="H59" i="1"/>
  <c r="F59" i="1"/>
  <c r="H58" i="1"/>
  <c r="F58" i="1"/>
  <c r="H57" i="1"/>
  <c r="F57" i="1"/>
  <c r="H56" i="1"/>
  <c r="F56" i="1"/>
  <c r="H55" i="1"/>
  <c r="F55" i="1"/>
  <c r="H54" i="1"/>
  <c r="F54" i="1"/>
  <c r="H53" i="1"/>
  <c r="F53" i="1"/>
  <c r="H52" i="1"/>
  <c r="F52" i="1"/>
  <c r="H51" i="1"/>
  <c r="F51" i="1"/>
  <c r="H50" i="1"/>
  <c r="F50" i="1"/>
  <c r="H49" i="1"/>
  <c r="F49" i="1"/>
  <c r="H48" i="1"/>
  <c r="F48" i="1"/>
  <c r="H47" i="1"/>
  <c r="F47" i="1"/>
  <c r="H46" i="1"/>
  <c r="F46" i="1"/>
  <c r="H45" i="1"/>
  <c r="F45" i="1"/>
  <c r="H44" i="1"/>
  <c r="F44" i="1"/>
  <c r="H43" i="1"/>
  <c r="F43" i="1"/>
  <c r="H42" i="1"/>
  <c r="F42" i="1"/>
  <c r="H41" i="1"/>
  <c r="F41" i="1"/>
  <c r="H40" i="1"/>
  <c r="F40" i="1"/>
  <c r="H39" i="1"/>
  <c r="F39" i="1"/>
  <c r="H38" i="1"/>
  <c r="F38" i="1"/>
  <c r="H37" i="1"/>
  <c r="F37" i="1"/>
  <c r="H36" i="1"/>
  <c r="F36" i="1"/>
  <c r="H35" i="1"/>
  <c r="F35" i="1"/>
  <c r="H34" i="1"/>
  <c r="F34" i="1"/>
  <c r="H33" i="1"/>
  <c r="F33" i="1"/>
  <c r="H32" i="1"/>
  <c r="F32" i="1"/>
  <c r="H31" i="1"/>
  <c r="F31" i="1"/>
  <c r="H30" i="1"/>
  <c r="F30" i="1"/>
  <c r="H29" i="1"/>
  <c r="F29" i="1"/>
  <c r="H28" i="1"/>
  <c r="F28" i="1"/>
  <c r="H27" i="1"/>
  <c r="F27" i="1"/>
  <c r="H26" i="1"/>
  <c r="F26" i="1"/>
  <c r="H25" i="1"/>
  <c r="F25" i="1"/>
  <c r="H24" i="1"/>
  <c r="F24" i="1"/>
  <c r="H23" i="1"/>
  <c r="F23" i="1"/>
  <c r="H22" i="1"/>
  <c r="F22" i="1"/>
  <c r="H21" i="1"/>
  <c r="F21" i="1"/>
  <c r="H20" i="1"/>
  <c r="F20" i="1"/>
  <c r="H19" i="1"/>
  <c r="F19" i="1"/>
  <c r="H18" i="1"/>
  <c r="F18" i="1"/>
  <c r="H17" i="1"/>
  <c r="F17" i="1"/>
  <c r="H16" i="1"/>
  <c r="F16" i="1"/>
  <c r="H15" i="1"/>
  <c r="F15" i="1"/>
  <c r="H14" i="1"/>
  <c r="F14" i="1"/>
  <c r="H13" i="1"/>
  <c r="F13" i="1"/>
  <c r="H12" i="1"/>
  <c r="F12" i="1"/>
  <c r="H11" i="1"/>
  <c r="F11" i="1"/>
  <c r="H10" i="1"/>
  <c r="F10" i="1"/>
  <c r="H9" i="1"/>
  <c r="F9" i="1"/>
  <c r="H8" i="1"/>
  <c r="F8" i="1"/>
  <c r="H7" i="1"/>
  <c r="F7" i="1"/>
  <c r="H6" i="1"/>
  <c r="F6" i="1"/>
  <c r="H5" i="1"/>
  <c r="F5" i="1"/>
  <c r="H4" i="1"/>
  <c r="F4" i="1"/>
  <c r="H3" i="1"/>
  <c r="F3" i="1"/>
  <c r="H2" i="1"/>
  <c r="F2" i="1"/>
  <c r="V831" i="2"/>
  <c r="U831" i="2"/>
  <c r="T831" i="2"/>
  <c r="S831" i="2"/>
  <c r="R831" i="2"/>
  <c r="Q831" i="2"/>
  <c r="P831" i="2"/>
  <c r="O831" i="2"/>
  <c r="N831" i="2"/>
  <c r="M831" i="2"/>
  <c r="L831" i="2"/>
  <c r="K831" i="2"/>
  <c r="H831" i="2"/>
  <c r="D831" i="2"/>
  <c r="V830" i="2"/>
  <c r="U830" i="2"/>
  <c r="T830" i="2"/>
  <c r="S830" i="2"/>
  <c r="R830" i="2"/>
  <c r="Q830" i="2"/>
  <c r="P830" i="2"/>
  <c r="O830" i="2"/>
  <c r="N830" i="2"/>
  <c r="M830" i="2"/>
  <c r="L830" i="2"/>
  <c r="K830" i="2"/>
  <c r="H830" i="2"/>
  <c r="D830" i="2"/>
  <c r="V829" i="2"/>
  <c r="U829" i="2"/>
  <c r="T829" i="2"/>
  <c r="S829" i="2"/>
  <c r="R829" i="2"/>
  <c r="Q829" i="2"/>
  <c r="P829" i="2"/>
  <c r="O829" i="2"/>
  <c r="N829" i="2"/>
  <c r="M829" i="2"/>
  <c r="L829" i="2"/>
  <c r="K829" i="2"/>
  <c r="H829" i="2"/>
  <c r="D829" i="2"/>
  <c r="V828" i="2"/>
  <c r="U828" i="2"/>
  <c r="T828" i="2"/>
  <c r="S828" i="2"/>
  <c r="R828" i="2"/>
  <c r="Q828" i="2"/>
  <c r="P828" i="2"/>
  <c r="O828" i="2"/>
  <c r="N828" i="2"/>
  <c r="M828" i="2"/>
  <c r="L828" i="2"/>
  <c r="K828" i="2"/>
  <c r="H828" i="2"/>
  <c r="D828" i="2"/>
  <c r="V827" i="2"/>
  <c r="U827" i="2"/>
  <c r="T827" i="2"/>
  <c r="S827" i="2"/>
  <c r="R827" i="2"/>
  <c r="Q827" i="2"/>
  <c r="P827" i="2"/>
  <c r="O827" i="2"/>
  <c r="N827" i="2"/>
  <c r="M827" i="2"/>
  <c r="L827" i="2"/>
  <c r="K827" i="2"/>
  <c r="H827" i="2"/>
  <c r="D827" i="2"/>
  <c r="V826" i="2"/>
  <c r="U826" i="2"/>
  <c r="T826" i="2"/>
  <c r="S826" i="2"/>
  <c r="R826" i="2"/>
  <c r="Q826" i="2"/>
  <c r="P826" i="2"/>
  <c r="O826" i="2"/>
  <c r="N826" i="2"/>
  <c r="M826" i="2"/>
  <c r="L826" i="2"/>
  <c r="K826" i="2"/>
  <c r="H826" i="2"/>
  <c r="D826" i="2"/>
  <c r="V825" i="2"/>
  <c r="U825" i="2"/>
  <c r="T825" i="2"/>
  <c r="S825" i="2"/>
  <c r="R825" i="2"/>
  <c r="Q825" i="2"/>
  <c r="P825" i="2"/>
  <c r="O825" i="2"/>
  <c r="N825" i="2"/>
  <c r="M825" i="2"/>
  <c r="L825" i="2"/>
  <c r="K825" i="2"/>
  <c r="H825" i="2"/>
  <c r="D825" i="2"/>
  <c r="V824" i="2"/>
  <c r="U824" i="2"/>
  <c r="T824" i="2"/>
  <c r="S824" i="2"/>
  <c r="R824" i="2"/>
  <c r="Q824" i="2"/>
  <c r="P824" i="2"/>
  <c r="O824" i="2"/>
  <c r="N824" i="2"/>
  <c r="M824" i="2"/>
  <c r="L824" i="2"/>
  <c r="K824" i="2"/>
  <c r="H824" i="2"/>
  <c r="D824" i="2"/>
  <c r="V823" i="2"/>
  <c r="U823" i="2"/>
  <c r="T823" i="2"/>
  <c r="S823" i="2"/>
  <c r="R823" i="2"/>
  <c r="Q823" i="2"/>
  <c r="P823" i="2"/>
  <c r="O823" i="2"/>
  <c r="N823" i="2"/>
  <c r="M823" i="2"/>
  <c r="L823" i="2"/>
  <c r="K823" i="2"/>
  <c r="H823" i="2"/>
  <c r="D823" i="2"/>
  <c r="V822" i="2"/>
  <c r="U822" i="2"/>
  <c r="T822" i="2"/>
  <c r="S822" i="2"/>
  <c r="R822" i="2"/>
  <c r="Q822" i="2"/>
  <c r="P822" i="2"/>
  <c r="O822" i="2"/>
  <c r="N822" i="2"/>
  <c r="M822" i="2"/>
  <c r="L822" i="2"/>
  <c r="K822" i="2"/>
  <c r="H822" i="2"/>
  <c r="D822" i="2"/>
  <c r="V821" i="2"/>
  <c r="U821" i="2"/>
  <c r="T821" i="2"/>
  <c r="S821" i="2"/>
  <c r="R821" i="2"/>
  <c r="Q821" i="2"/>
  <c r="P821" i="2"/>
  <c r="O821" i="2"/>
  <c r="N821" i="2"/>
  <c r="M821" i="2"/>
  <c r="L821" i="2"/>
  <c r="K821" i="2"/>
  <c r="H821" i="2"/>
  <c r="D821" i="2"/>
  <c r="V820" i="2"/>
  <c r="U820" i="2"/>
  <c r="T820" i="2"/>
  <c r="S820" i="2"/>
  <c r="R820" i="2"/>
  <c r="Q820" i="2"/>
  <c r="P820" i="2"/>
  <c r="O820" i="2"/>
  <c r="N820" i="2"/>
  <c r="M820" i="2"/>
  <c r="L820" i="2"/>
  <c r="K820" i="2"/>
  <c r="H820" i="2"/>
  <c r="D820" i="2"/>
  <c r="V819" i="2"/>
  <c r="U819" i="2"/>
  <c r="T819" i="2"/>
  <c r="S819" i="2"/>
  <c r="R819" i="2"/>
  <c r="Q819" i="2"/>
  <c r="P819" i="2"/>
  <c r="O819" i="2"/>
  <c r="N819" i="2"/>
  <c r="M819" i="2"/>
  <c r="L819" i="2"/>
  <c r="K819" i="2"/>
  <c r="H819" i="2"/>
  <c r="D819" i="2"/>
  <c r="V818" i="2"/>
  <c r="U818" i="2"/>
  <c r="T818" i="2"/>
  <c r="S818" i="2"/>
  <c r="R818" i="2"/>
  <c r="Q818" i="2"/>
  <c r="P818" i="2"/>
  <c r="O818" i="2"/>
  <c r="N818" i="2"/>
  <c r="M818" i="2"/>
  <c r="L818" i="2"/>
  <c r="K818" i="2"/>
  <c r="H818" i="2"/>
  <c r="D818" i="2"/>
  <c r="V817" i="2"/>
  <c r="U817" i="2"/>
  <c r="T817" i="2"/>
  <c r="S817" i="2"/>
  <c r="R817" i="2"/>
  <c r="Q817" i="2"/>
  <c r="P817" i="2"/>
  <c r="O817" i="2"/>
  <c r="N817" i="2"/>
  <c r="M817" i="2"/>
  <c r="L817" i="2"/>
  <c r="K817" i="2"/>
  <c r="H817" i="2"/>
  <c r="D817" i="2"/>
  <c r="V816" i="2"/>
  <c r="U816" i="2"/>
  <c r="T816" i="2"/>
  <c r="S816" i="2"/>
  <c r="R816" i="2"/>
  <c r="Q816" i="2"/>
  <c r="P816" i="2"/>
  <c r="O816" i="2"/>
  <c r="N816" i="2"/>
  <c r="M816" i="2"/>
  <c r="L816" i="2"/>
  <c r="K816" i="2"/>
  <c r="H816" i="2"/>
  <c r="D816" i="2"/>
  <c r="V815" i="2"/>
  <c r="U815" i="2"/>
  <c r="T815" i="2"/>
  <c r="S815" i="2"/>
  <c r="R815" i="2"/>
  <c r="Q815" i="2"/>
  <c r="P815" i="2"/>
  <c r="O815" i="2"/>
  <c r="N815" i="2"/>
  <c r="M815" i="2"/>
  <c r="L815" i="2"/>
  <c r="K815" i="2"/>
  <c r="H815" i="2"/>
  <c r="D815" i="2"/>
  <c r="V814" i="2"/>
  <c r="U814" i="2"/>
  <c r="T814" i="2"/>
  <c r="S814" i="2"/>
  <c r="R814" i="2"/>
  <c r="Q814" i="2"/>
  <c r="P814" i="2"/>
  <c r="O814" i="2"/>
  <c r="N814" i="2"/>
  <c r="M814" i="2"/>
  <c r="L814" i="2"/>
  <c r="K814" i="2"/>
  <c r="H814" i="2"/>
  <c r="D814" i="2"/>
  <c r="V813" i="2"/>
  <c r="U813" i="2"/>
  <c r="T813" i="2"/>
  <c r="S813" i="2"/>
  <c r="R813" i="2"/>
  <c r="Q813" i="2"/>
  <c r="P813" i="2"/>
  <c r="O813" i="2"/>
  <c r="N813" i="2"/>
  <c r="M813" i="2"/>
  <c r="L813" i="2"/>
  <c r="K813" i="2"/>
  <c r="H813" i="2"/>
  <c r="D813" i="2"/>
  <c r="V812" i="2"/>
  <c r="U812" i="2"/>
  <c r="T812" i="2"/>
  <c r="S812" i="2"/>
  <c r="R812" i="2"/>
  <c r="Q812" i="2"/>
  <c r="P812" i="2"/>
  <c r="O812" i="2"/>
  <c r="N812" i="2"/>
  <c r="M812" i="2"/>
  <c r="L812" i="2"/>
  <c r="K812" i="2"/>
  <c r="H812" i="2"/>
  <c r="D812" i="2"/>
  <c r="V811" i="2"/>
  <c r="U811" i="2"/>
  <c r="T811" i="2"/>
  <c r="S811" i="2"/>
  <c r="R811" i="2"/>
  <c r="Q811" i="2"/>
  <c r="P811" i="2"/>
  <c r="O811" i="2"/>
  <c r="N811" i="2"/>
  <c r="M811" i="2"/>
  <c r="L811" i="2"/>
  <c r="K811" i="2"/>
  <c r="H811" i="2"/>
  <c r="D811" i="2"/>
  <c r="V810" i="2"/>
  <c r="U810" i="2"/>
  <c r="T810" i="2"/>
  <c r="S810" i="2"/>
  <c r="R810" i="2"/>
  <c r="Q810" i="2"/>
  <c r="P810" i="2"/>
  <c r="O810" i="2"/>
  <c r="N810" i="2"/>
  <c r="M810" i="2"/>
  <c r="L810" i="2"/>
  <c r="K810" i="2"/>
  <c r="H810" i="2"/>
  <c r="D810" i="2"/>
  <c r="V809" i="2"/>
  <c r="U809" i="2"/>
  <c r="T809" i="2"/>
  <c r="S809" i="2"/>
  <c r="R809" i="2"/>
  <c r="Q809" i="2"/>
  <c r="P809" i="2"/>
  <c r="O809" i="2"/>
  <c r="N809" i="2"/>
  <c r="M809" i="2"/>
  <c r="L809" i="2"/>
  <c r="K809" i="2"/>
  <c r="H809" i="2"/>
  <c r="D809" i="2"/>
  <c r="V808" i="2"/>
  <c r="U808" i="2"/>
  <c r="T808" i="2"/>
  <c r="S808" i="2"/>
  <c r="R808" i="2"/>
  <c r="Q808" i="2"/>
  <c r="P808" i="2"/>
  <c r="O808" i="2"/>
  <c r="N808" i="2"/>
  <c r="M808" i="2"/>
  <c r="L808" i="2"/>
  <c r="K808" i="2"/>
  <c r="H808" i="2"/>
  <c r="D808" i="2"/>
  <c r="V807" i="2"/>
  <c r="U807" i="2"/>
  <c r="T807" i="2"/>
  <c r="S807" i="2"/>
  <c r="R807" i="2"/>
  <c r="Q807" i="2"/>
  <c r="P807" i="2"/>
  <c r="O807" i="2"/>
  <c r="N807" i="2"/>
  <c r="M807" i="2"/>
  <c r="L807" i="2"/>
  <c r="K807" i="2"/>
  <c r="H807" i="2"/>
  <c r="D807" i="2"/>
  <c r="V806" i="2"/>
  <c r="U806" i="2"/>
  <c r="T806" i="2"/>
  <c r="S806" i="2"/>
  <c r="R806" i="2"/>
  <c r="Q806" i="2"/>
  <c r="P806" i="2"/>
  <c r="O806" i="2"/>
  <c r="N806" i="2"/>
  <c r="M806" i="2"/>
  <c r="L806" i="2"/>
  <c r="K806" i="2"/>
  <c r="H806" i="2"/>
  <c r="D806" i="2"/>
  <c r="V805" i="2"/>
  <c r="U805" i="2"/>
  <c r="T805" i="2"/>
  <c r="S805" i="2"/>
  <c r="R805" i="2"/>
  <c r="Q805" i="2"/>
  <c r="P805" i="2"/>
  <c r="O805" i="2"/>
  <c r="N805" i="2"/>
  <c r="M805" i="2"/>
  <c r="L805" i="2"/>
  <c r="K805" i="2"/>
  <c r="H805" i="2"/>
  <c r="D805" i="2"/>
  <c r="V804" i="2"/>
  <c r="U804" i="2"/>
  <c r="T804" i="2"/>
  <c r="S804" i="2"/>
  <c r="R804" i="2"/>
  <c r="Q804" i="2"/>
  <c r="P804" i="2"/>
  <c r="O804" i="2"/>
  <c r="N804" i="2"/>
  <c r="M804" i="2"/>
  <c r="L804" i="2"/>
  <c r="K804" i="2"/>
  <c r="H804" i="2"/>
  <c r="D804" i="2"/>
  <c r="V803" i="2"/>
  <c r="U803" i="2"/>
  <c r="T803" i="2"/>
  <c r="S803" i="2"/>
  <c r="R803" i="2"/>
  <c r="Q803" i="2"/>
  <c r="P803" i="2"/>
  <c r="O803" i="2"/>
  <c r="N803" i="2"/>
  <c r="M803" i="2"/>
  <c r="L803" i="2"/>
  <c r="K803" i="2"/>
  <c r="H803" i="2"/>
  <c r="D803" i="2"/>
  <c r="V802" i="2"/>
  <c r="U802" i="2"/>
  <c r="T802" i="2"/>
  <c r="S802" i="2"/>
  <c r="R802" i="2"/>
  <c r="Q802" i="2"/>
  <c r="P802" i="2"/>
  <c r="O802" i="2"/>
  <c r="N802" i="2"/>
  <c r="M802" i="2"/>
  <c r="L802" i="2"/>
  <c r="K802" i="2"/>
  <c r="H802" i="2"/>
  <c r="D802" i="2"/>
  <c r="V801" i="2"/>
  <c r="U801" i="2"/>
  <c r="T801" i="2"/>
  <c r="S801" i="2"/>
  <c r="R801" i="2"/>
  <c r="Q801" i="2"/>
  <c r="P801" i="2"/>
  <c r="O801" i="2"/>
  <c r="N801" i="2"/>
  <c r="M801" i="2"/>
  <c r="L801" i="2"/>
  <c r="K801" i="2"/>
  <c r="H801" i="2"/>
  <c r="D801" i="2"/>
  <c r="V800" i="2"/>
  <c r="U800" i="2"/>
  <c r="T800" i="2"/>
  <c r="S800" i="2"/>
  <c r="R800" i="2"/>
  <c r="Q800" i="2"/>
  <c r="P800" i="2"/>
  <c r="O800" i="2"/>
  <c r="N800" i="2"/>
  <c r="M800" i="2"/>
  <c r="L800" i="2"/>
  <c r="K800" i="2"/>
  <c r="H800" i="2"/>
  <c r="D800" i="2"/>
  <c r="V799" i="2"/>
  <c r="U799" i="2"/>
  <c r="T799" i="2"/>
  <c r="S799" i="2"/>
  <c r="R799" i="2"/>
  <c r="Q799" i="2"/>
  <c r="P799" i="2"/>
  <c r="O799" i="2"/>
  <c r="N799" i="2"/>
  <c r="M799" i="2"/>
  <c r="L799" i="2"/>
  <c r="K799" i="2"/>
  <c r="H799" i="2"/>
  <c r="D799" i="2"/>
  <c r="V798" i="2"/>
  <c r="U798" i="2"/>
  <c r="T798" i="2"/>
  <c r="S798" i="2"/>
  <c r="R798" i="2"/>
  <c r="Q798" i="2"/>
  <c r="P798" i="2"/>
  <c r="O798" i="2"/>
  <c r="N798" i="2"/>
  <c r="M798" i="2"/>
  <c r="L798" i="2"/>
  <c r="K798" i="2"/>
  <c r="H798" i="2"/>
  <c r="D798" i="2"/>
  <c r="V797" i="2"/>
  <c r="U797" i="2"/>
  <c r="T797" i="2"/>
  <c r="S797" i="2"/>
  <c r="R797" i="2"/>
  <c r="Q797" i="2"/>
  <c r="P797" i="2"/>
  <c r="O797" i="2"/>
  <c r="N797" i="2"/>
  <c r="M797" i="2"/>
  <c r="L797" i="2"/>
  <c r="K797" i="2"/>
  <c r="H797" i="2"/>
  <c r="D797" i="2"/>
  <c r="V796" i="2"/>
  <c r="U796" i="2"/>
  <c r="T796" i="2"/>
  <c r="S796" i="2"/>
  <c r="R796" i="2"/>
  <c r="Q796" i="2"/>
  <c r="P796" i="2"/>
  <c r="O796" i="2"/>
  <c r="N796" i="2"/>
  <c r="M796" i="2"/>
  <c r="L796" i="2"/>
  <c r="K796" i="2"/>
  <c r="H796" i="2"/>
  <c r="D796" i="2"/>
  <c r="V795" i="2"/>
  <c r="U795" i="2"/>
  <c r="T795" i="2"/>
  <c r="S795" i="2"/>
  <c r="R795" i="2"/>
  <c r="Q795" i="2"/>
  <c r="P795" i="2"/>
  <c r="O795" i="2"/>
  <c r="N795" i="2"/>
  <c r="M795" i="2"/>
  <c r="L795" i="2"/>
  <c r="K795" i="2"/>
  <c r="H795" i="2"/>
  <c r="D795" i="2"/>
  <c r="V794" i="2"/>
  <c r="U794" i="2"/>
  <c r="T794" i="2"/>
  <c r="S794" i="2"/>
  <c r="R794" i="2"/>
  <c r="Q794" i="2"/>
  <c r="P794" i="2"/>
  <c r="O794" i="2"/>
  <c r="N794" i="2"/>
  <c r="M794" i="2"/>
  <c r="L794" i="2"/>
  <c r="K794" i="2"/>
  <c r="H794" i="2"/>
  <c r="D794" i="2"/>
  <c r="V793" i="2"/>
  <c r="U793" i="2"/>
  <c r="T793" i="2"/>
  <c r="S793" i="2"/>
  <c r="R793" i="2"/>
  <c r="Q793" i="2"/>
  <c r="P793" i="2"/>
  <c r="O793" i="2"/>
  <c r="N793" i="2"/>
  <c r="M793" i="2"/>
  <c r="L793" i="2"/>
  <c r="K793" i="2"/>
  <c r="H793" i="2"/>
  <c r="D793" i="2"/>
  <c r="V792" i="2"/>
  <c r="U792" i="2"/>
  <c r="T792" i="2"/>
  <c r="S792" i="2"/>
  <c r="R792" i="2"/>
  <c r="Q792" i="2"/>
  <c r="P792" i="2"/>
  <c r="O792" i="2"/>
  <c r="N792" i="2"/>
  <c r="M792" i="2"/>
  <c r="L792" i="2"/>
  <c r="K792" i="2"/>
  <c r="H792" i="2"/>
  <c r="D792" i="2"/>
  <c r="V791" i="2"/>
  <c r="U791" i="2"/>
  <c r="T791" i="2"/>
  <c r="S791" i="2"/>
  <c r="R791" i="2"/>
  <c r="Q791" i="2"/>
  <c r="P791" i="2"/>
  <c r="O791" i="2"/>
  <c r="N791" i="2"/>
  <c r="M791" i="2"/>
  <c r="L791" i="2"/>
  <c r="K791" i="2"/>
  <c r="H791" i="2"/>
  <c r="D791" i="2"/>
  <c r="V790" i="2"/>
  <c r="U790" i="2"/>
  <c r="T790" i="2"/>
  <c r="S790" i="2"/>
  <c r="R790" i="2"/>
  <c r="Q790" i="2"/>
  <c r="P790" i="2"/>
  <c r="O790" i="2"/>
  <c r="N790" i="2"/>
  <c r="M790" i="2"/>
  <c r="L790" i="2"/>
  <c r="K790" i="2"/>
  <c r="H790" i="2"/>
  <c r="D790" i="2"/>
  <c r="V789" i="2"/>
  <c r="U789" i="2"/>
  <c r="T789" i="2"/>
  <c r="S789" i="2"/>
  <c r="R789" i="2"/>
  <c r="Q789" i="2"/>
  <c r="P789" i="2"/>
  <c r="O789" i="2"/>
  <c r="N789" i="2"/>
  <c r="M789" i="2"/>
  <c r="L789" i="2"/>
  <c r="K789" i="2"/>
  <c r="H789" i="2"/>
  <c r="D789" i="2"/>
  <c r="V788" i="2"/>
  <c r="U788" i="2"/>
  <c r="T788" i="2"/>
  <c r="S788" i="2"/>
  <c r="R788" i="2"/>
  <c r="Q788" i="2"/>
  <c r="P788" i="2"/>
  <c r="O788" i="2"/>
  <c r="N788" i="2"/>
  <c r="M788" i="2"/>
  <c r="L788" i="2"/>
  <c r="K788" i="2"/>
  <c r="H788" i="2"/>
  <c r="D788" i="2"/>
  <c r="V787" i="2"/>
  <c r="U787" i="2"/>
  <c r="T787" i="2"/>
  <c r="S787" i="2"/>
  <c r="R787" i="2"/>
  <c r="Q787" i="2"/>
  <c r="P787" i="2"/>
  <c r="O787" i="2"/>
  <c r="N787" i="2"/>
  <c r="M787" i="2"/>
  <c r="L787" i="2"/>
  <c r="K787" i="2"/>
  <c r="H787" i="2"/>
  <c r="D787" i="2"/>
  <c r="V786" i="2"/>
  <c r="U786" i="2"/>
  <c r="T786" i="2"/>
  <c r="S786" i="2"/>
  <c r="R786" i="2"/>
  <c r="Q786" i="2"/>
  <c r="P786" i="2"/>
  <c r="O786" i="2"/>
  <c r="N786" i="2"/>
  <c r="M786" i="2"/>
  <c r="L786" i="2"/>
  <c r="K786" i="2"/>
  <c r="H786" i="2"/>
  <c r="D786" i="2"/>
  <c r="V785" i="2"/>
  <c r="U785" i="2"/>
  <c r="T785" i="2"/>
  <c r="S785" i="2"/>
  <c r="R785" i="2"/>
  <c r="Q785" i="2"/>
  <c r="P785" i="2"/>
  <c r="O785" i="2"/>
  <c r="N785" i="2"/>
  <c r="M785" i="2"/>
  <c r="L785" i="2"/>
  <c r="K785" i="2"/>
  <c r="H785" i="2"/>
  <c r="D785" i="2"/>
  <c r="V784" i="2"/>
  <c r="U784" i="2"/>
  <c r="T784" i="2"/>
  <c r="S784" i="2"/>
  <c r="R784" i="2"/>
  <c r="Q784" i="2"/>
  <c r="P784" i="2"/>
  <c r="O784" i="2"/>
  <c r="N784" i="2"/>
  <c r="M784" i="2"/>
  <c r="L784" i="2"/>
  <c r="K784" i="2"/>
  <c r="H784" i="2"/>
  <c r="D784" i="2"/>
  <c r="V783" i="2"/>
  <c r="U783" i="2"/>
  <c r="T783" i="2"/>
  <c r="S783" i="2"/>
  <c r="R783" i="2"/>
  <c r="Q783" i="2"/>
  <c r="P783" i="2"/>
  <c r="O783" i="2"/>
  <c r="N783" i="2"/>
  <c r="M783" i="2"/>
  <c r="L783" i="2"/>
  <c r="K783" i="2"/>
  <c r="H783" i="2"/>
  <c r="D783" i="2"/>
  <c r="V782" i="2"/>
  <c r="U782" i="2"/>
  <c r="T782" i="2"/>
  <c r="S782" i="2"/>
  <c r="R782" i="2"/>
  <c r="Q782" i="2"/>
  <c r="P782" i="2"/>
  <c r="O782" i="2"/>
  <c r="N782" i="2"/>
  <c r="M782" i="2"/>
  <c r="L782" i="2"/>
  <c r="K782" i="2"/>
  <c r="H782" i="2"/>
  <c r="D782" i="2"/>
  <c r="V781" i="2"/>
  <c r="U781" i="2"/>
  <c r="T781" i="2"/>
  <c r="S781" i="2"/>
  <c r="R781" i="2"/>
  <c r="Q781" i="2"/>
  <c r="P781" i="2"/>
  <c r="O781" i="2"/>
  <c r="N781" i="2"/>
  <c r="M781" i="2"/>
  <c r="L781" i="2"/>
  <c r="K781" i="2"/>
  <c r="H781" i="2"/>
  <c r="D781" i="2"/>
  <c r="V780" i="2"/>
  <c r="U780" i="2"/>
  <c r="T780" i="2"/>
  <c r="S780" i="2"/>
  <c r="R780" i="2"/>
  <c r="Q780" i="2"/>
  <c r="P780" i="2"/>
  <c r="O780" i="2"/>
  <c r="N780" i="2"/>
  <c r="M780" i="2"/>
  <c r="L780" i="2"/>
  <c r="K780" i="2"/>
  <c r="H780" i="2"/>
  <c r="D780" i="2"/>
  <c r="V779" i="2"/>
  <c r="U779" i="2"/>
  <c r="T779" i="2"/>
  <c r="S779" i="2"/>
  <c r="R779" i="2"/>
  <c r="Q779" i="2"/>
  <c r="P779" i="2"/>
  <c r="O779" i="2"/>
  <c r="N779" i="2"/>
  <c r="M779" i="2"/>
  <c r="L779" i="2"/>
  <c r="K779" i="2"/>
  <c r="H779" i="2"/>
  <c r="D779" i="2"/>
  <c r="V778" i="2"/>
  <c r="U778" i="2"/>
  <c r="T778" i="2"/>
  <c r="S778" i="2"/>
  <c r="R778" i="2"/>
  <c r="Q778" i="2"/>
  <c r="P778" i="2"/>
  <c r="O778" i="2"/>
  <c r="N778" i="2"/>
  <c r="M778" i="2"/>
  <c r="L778" i="2"/>
  <c r="K778" i="2"/>
  <c r="H778" i="2"/>
  <c r="D778" i="2"/>
  <c r="V777" i="2"/>
  <c r="U777" i="2"/>
  <c r="T777" i="2"/>
  <c r="S777" i="2"/>
  <c r="R777" i="2"/>
  <c r="Q777" i="2"/>
  <c r="P777" i="2"/>
  <c r="O777" i="2"/>
  <c r="N777" i="2"/>
  <c r="M777" i="2"/>
  <c r="L777" i="2"/>
  <c r="K777" i="2"/>
  <c r="H777" i="2"/>
  <c r="D777" i="2"/>
  <c r="V776" i="2"/>
  <c r="U776" i="2"/>
  <c r="T776" i="2"/>
  <c r="S776" i="2"/>
  <c r="R776" i="2"/>
  <c r="Q776" i="2"/>
  <c r="P776" i="2"/>
  <c r="O776" i="2"/>
  <c r="N776" i="2"/>
  <c r="M776" i="2"/>
  <c r="L776" i="2"/>
  <c r="K776" i="2"/>
  <c r="H776" i="2"/>
  <c r="D776" i="2"/>
  <c r="V775" i="2"/>
  <c r="U775" i="2"/>
  <c r="T775" i="2"/>
  <c r="S775" i="2"/>
  <c r="R775" i="2"/>
  <c r="Q775" i="2"/>
  <c r="P775" i="2"/>
  <c r="O775" i="2"/>
  <c r="N775" i="2"/>
  <c r="M775" i="2"/>
  <c r="L775" i="2"/>
  <c r="K775" i="2"/>
  <c r="H775" i="2"/>
  <c r="D775" i="2"/>
  <c r="V774" i="2"/>
  <c r="U774" i="2"/>
  <c r="T774" i="2"/>
  <c r="S774" i="2"/>
  <c r="R774" i="2"/>
  <c r="Q774" i="2"/>
  <c r="P774" i="2"/>
  <c r="O774" i="2"/>
  <c r="N774" i="2"/>
  <c r="M774" i="2"/>
  <c r="L774" i="2"/>
  <c r="K774" i="2"/>
  <c r="H774" i="2"/>
  <c r="D774" i="2"/>
  <c r="V773" i="2"/>
  <c r="U773" i="2"/>
  <c r="T773" i="2"/>
  <c r="S773" i="2"/>
  <c r="R773" i="2"/>
  <c r="Q773" i="2"/>
  <c r="P773" i="2"/>
  <c r="O773" i="2"/>
  <c r="N773" i="2"/>
  <c r="M773" i="2"/>
  <c r="L773" i="2"/>
  <c r="K773" i="2"/>
  <c r="H773" i="2"/>
  <c r="D773" i="2"/>
  <c r="V772" i="2"/>
  <c r="U772" i="2"/>
  <c r="T772" i="2"/>
  <c r="S772" i="2"/>
  <c r="R772" i="2"/>
  <c r="Q772" i="2"/>
  <c r="P772" i="2"/>
  <c r="O772" i="2"/>
  <c r="N772" i="2"/>
  <c r="M772" i="2"/>
  <c r="L772" i="2"/>
  <c r="K772" i="2"/>
  <c r="H772" i="2"/>
  <c r="D772" i="2"/>
  <c r="V771" i="2"/>
  <c r="U771" i="2"/>
  <c r="T771" i="2"/>
  <c r="S771" i="2"/>
  <c r="R771" i="2"/>
  <c r="Q771" i="2"/>
  <c r="P771" i="2"/>
  <c r="O771" i="2"/>
  <c r="N771" i="2"/>
  <c r="M771" i="2"/>
  <c r="L771" i="2"/>
  <c r="K771" i="2"/>
  <c r="H771" i="2"/>
  <c r="D771" i="2"/>
  <c r="V770" i="2"/>
  <c r="U770" i="2"/>
  <c r="T770" i="2"/>
  <c r="S770" i="2"/>
  <c r="R770" i="2"/>
  <c r="Q770" i="2"/>
  <c r="P770" i="2"/>
  <c r="O770" i="2"/>
  <c r="N770" i="2"/>
  <c r="M770" i="2"/>
  <c r="L770" i="2"/>
  <c r="K770" i="2"/>
  <c r="H770" i="2"/>
  <c r="D770" i="2"/>
  <c r="V769" i="2"/>
  <c r="U769" i="2"/>
  <c r="T769" i="2"/>
  <c r="S769" i="2"/>
  <c r="R769" i="2"/>
  <c r="Q769" i="2"/>
  <c r="P769" i="2"/>
  <c r="O769" i="2"/>
  <c r="N769" i="2"/>
  <c r="M769" i="2"/>
  <c r="L769" i="2"/>
  <c r="K769" i="2"/>
  <c r="H769" i="2"/>
  <c r="D769" i="2"/>
  <c r="V768" i="2"/>
  <c r="U768" i="2"/>
  <c r="T768" i="2"/>
  <c r="S768" i="2"/>
  <c r="R768" i="2"/>
  <c r="Q768" i="2"/>
  <c r="P768" i="2"/>
  <c r="O768" i="2"/>
  <c r="N768" i="2"/>
  <c r="M768" i="2"/>
  <c r="L768" i="2"/>
  <c r="K768" i="2"/>
  <c r="H768" i="2"/>
  <c r="D768" i="2"/>
  <c r="V767" i="2"/>
  <c r="U767" i="2"/>
  <c r="T767" i="2"/>
  <c r="S767" i="2"/>
  <c r="R767" i="2"/>
  <c r="Q767" i="2"/>
  <c r="P767" i="2"/>
  <c r="O767" i="2"/>
  <c r="N767" i="2"/>
  <c r="M767" i="2"/>
  <c r="L767" i="2"/>
  <c r="K767" i="2"/>
  <c r="H767" i="2"/>
  <c r="D767" i="2"/>
  <c r="V766" i="2"/>
  <c r="U766" i="2"/>
  <c r="T766" i="2"/>
  <c r="S766" i="2"/>
  <c r="R766" i="2"/>
  <c r="Q766" i="2"/>
  <c r="P766" i="2"/>
  <c r="O766" i="2"/>
  <c r="N766" i="2"/>
  <c r="M766" i="2"/>
  <c r="L766" i="2"/>
  <c r="K766" i="2"/>
  <c r="H766" i="2"/>
  <c r="D766" i="2"/>
  <c r="V765" i="2"/>
  <c r="U765" i="2"/>
  <c r="T765" i="2"/>
  <c r="S765" i="2"/>
  <c r="R765" i="2"/>
  <c r="Q765" i="2"/>
  <c r="P765" i="2"/>
  <c r="O765" i="2"/>
  <c r="N765" i="2"/>
  <c r="M765" i="2"/>
  <c r="L765" i="2"/>
  <c r="K765" i="2"/>
  <c r="H765" i="2"/>
  <c r="D765" i="2"/>
  <c r="V764" i="2"/>
  <c r="U764" i="2"/>
  <c r="T764" i="2"/>
  <c r="S764" i="2"/>
  <c r="R764" i="2"/>
  <c r="Q764" i="2"/>
  <c r="P764" i="2"/>
  <c r="O764" i="2"/>
  <c r="N764" i="2"/>
  <c r="M764" i="2"/>
  <c r="L764" i="2"/>
  <c r="K764" i="2"/>
  <c r="H764" i="2"/>
  <c r="D764" i="2"/>
  <c r="V763" i="2"/>
  <c r="U763" i="2"/>
  <c r="T763" i="2"/>
  <c r="S763" i="2"/>
  <c r="R763" i="2"/>
  <c r="Q763" i="2"/>
  <c r="P763" i="2"/>
  <c r="O763" i="2"/>
  <c r="N763" i="2"/>
  <c r="M763" i="2"/>
  <c r="L763" i="2"/>
  <c r="K763" i="2"/>
  <c r="H763" i="2"/>
  <c r="D763" i="2"/>
  <c r="V762" i="2"/>
  <c r="U762" i="2"/>
  <c r="T762" i="2"/>
  <c r="S762" i="2"/>
  <c r="R762" i="2"/>
  <c r="Q762" i="2"/>
  <c r="P762" i="2"/>
  <c r="O762" i="2"/>
  <c r="N762" i="2"/>
  <c r="M762" i="2"/>
  <c r="L762" i="2"/>
  <c r="K762" i="2"/>
  <c r="H762" i="2"/>
  <c r="D762" i="2"/>
  <c r="V761" i="2"/>
  <c r="U761" i="2"/>
  <c r="T761" i="2"/>
  <c r="S761" i="2"/>
  <c r="R761" i="2"/>
  <c r="Q761" i="2"/>
  <c r="P761" i="2"/>
  <c r="O761" i="2"/>
  <c r="N761" i="2"/>
  <c r="M761" i="2"/>
  <c r="L761" i="2"/>
  <c r="K761" i="2"/>
  <c r="H761" i="2"/>
  <c r="D761" i="2"/>
  <c r="V760" i="2"/>
  <c r="U760" i="2"/>
  <c r="T760" i="2"/>
  <c r="S760" i="2"/>
  <c r="R760" i="2"/>
  <c r="Q760" i="2"/>
  <c r="P760" i="2"/>
  <c r="O760" i="2"/>
  <c r="N760" i="2"/>
  <c r="M760" i="2"/>
  <c r="L760" i="2"/>
  <c r="K760" i="2"/>
  <c r="H760" i="2"/>
  <c r="D760" i="2"/>
  <c r="V759" i="2"/>
  <c r="U759" i="2"/>
  <c r="T759" i="2"/>
  <c r="S759" i="2"/>
  <c r="R759" i="2"/>
  <c r="Q759" i="2"/>
  <c r="P759" i="2"/>
  <c r="O759" i="2"/>
  <c r="N759" i="2"/>
  <c r="M759" i="2"/>
  <c r="L759" i="2"/>
  <c r="K759" i="2"/>
  <c r="H759" i="2"/>
  <c r="D759" i="2"/>
  <c r="V758" i="2"/>
  <c r="U758" i="2"/>
  <c r="T758" i="2"/>
  <c r="S758" i="2"/>
  <c r="R758" i="2"/>
  <c r="Q758" i="2"/>
  <c r="P758" i="2"/>
  <c r="O758" i="2"/>
  <c r="N758" i="2"/>
  <c r="M758" i="2"/>
  <c r="L758" i="2"/>
  <c r="K758" i="2"/>
  <c r="H758" i="2"/>
  <c r="D758" i="2"/>
  <c r="V757" i="2"/>
  <c r="U757" i="2"/>
  <c r="T757" i="2"/>
  <c r="S757" i="2"/>
  <c r="R757" i="2"/>
  <c r="Q757" i="2"/>
  <c r="P757" i="2"/>
  <c r="O757" i="2"/>
  <c r="N757" i="2"/>
  <c r="M757" i="2"/>
  <c r="L757" i="2"/>
  <c r="K757" i="2"/>
  <c r="H757" i="2"/>
  <c r="D757" i="2"/>
  <c r="V756" i="2"/>
  <c r="U756" i="2"/>
  <c r="T756" i="2"/>
  <c r="S756" i="2"/>
  <c r="R756" i="2"/>
  <c r="Q756" i="2"/>
  <c r="P756" i="2"/>
  <c r="O756" i="2"/>
  <c r="N756" i="2"/>
  <c r="M756" i="2"/>
  <c r="L756" i="2"/>
  <c r="K756" i="2"/>
  <c r="H756" i="2"/>
  <c r="D756" i="2"/>
  <c r="V755" i="2"/>
  <c r="U755" i="2"/>
  <c r="T755" i="2"/>
  <c r="S755" i="2"/>
  <c r="R755" i="2"/>
  <c r="Q755" i="2"/>
  <c r="P755" i="2"/>
  <c r="O755" i="2"/>
  <c r="N755" i="2"/>
  <c r="M755" i="2"/>
  <c r="L755" i="2"/>
  <c r="K755" i="2"/>
  <c r="H755" i="2"/>
  <c r="D755" i="2"/>
  <c r="V754" i="2"/>
  <c r="U754" i="2"/>
  <c r="T754" i="2"/>
  <c r="S754" i="2"/>
  <c r="R754" i="2"/>
  <c r="Q754" i="2"/>
  <c r="P754" i="2"/>
  <c r="O754" i="2"/>
  <c r="N754" i="2"/>
  <c r="M754" i="2"/>
  <c r="L754" i="2"/>
  <c r="K754" i="2"/>
  <c r="H754" i="2"/>
  <c r="D754" i="2"/>
  <c r="V753" i="2"/>
  <c r="U753" i="2"/>
  <c r="T753" i="2"/>
  <c r="S753" i="2"/>
  <c r="R753" i="2"/>
  <c r="Q753" i="2"/>
  <c r="P753" i="2"/>
  <c r="O753" i="2"/>
  <c r="N753" i="2"/>
  <c r="M753" i="2"/>
  <c r="L753" i="2"/>
  <c r="K753" i="2"/>
  <c r="H753" i="2"/>
  <c r="D753" i="2"/>
  <c r="V752" i="2"/>
  <c r="U752" i="2"/>
  <c r="T752" i="2"/>
  <c r="S752" i="2"/>
  <c r="R752" i="2"/>
  <c r="Q752" i="2"/>
  <c r="P752" i="2"/>
  <c r="O752" i="2"/>
  <c r="N752" i="2"/>
  <c r="M752" i="2"/>
  <c r="L752" i="2"/>
  <c r="K752" i="2"/>
  <c r="H752" i="2"/>
  <c r="D752" i="2"/>
  <c r="V751" i="2"/>
  <c r="U751" i="2"/>
  <c r="T751" i="2"/>
  <c r="S751" i="2"/>
  <c r="R751" i="2"/>
  <c r="Q751" i="2"/>
  <c r="P751" i="2"/>
  <c r="O751" i="2"/>
  <c r="N751" i="2"/>
  <c r="M751" i="2"/>
  <c r="L751" i="2"/>
  <c r="K751" i="2"/>
  <c r="H751" i="2"/>
  <c r="D751" i="2"/>
  <c r="V750" i="2"/>
  <c r="U750" i="2"/>
  <c r="T750" i="2"/>
  <c r="S750" i="2"/>
  <c r="R750" i="2"/>
  <c r="Q750" i="2"/>
  <c r="P750" i="2"/>
  <c r="O750" i="2"/>
  <c r="N750" i="2"/>
  <c r="M750" i="2"/>
  <c r="L750" i="2"/>
  <c r="K750" i="2"/>
  <c r="H750" i="2"/>
  <c r="D750" i="2"/>
  <c r="V749" i="2"/>
  <c r="U749" i="2"/>
  <c r="T749" i="2"/>
  <c r="S749" i="2"/>
  <c r="R749" i="2"/>
  <c r="Q749" i="2"/>
  <c r="P749" i="2"/>
  <c r="O749" i="2"/>
  <c r="N749" i="2"/>
  <c r="M749" i="2"/>
  <c r="L749" i="2"/>
  <c r="K749" i="2"/>
  <c r="H749" i="2"/>
  <c r="D749" i="2"/>
  <c r="V748" i="2"/>
  <c r="U748" i="2"/>
  <c r="T748" i="2"/>
  <c r="S748" i="2"/>
  <c r="R748" i="2"/>
  <c r="Q748" i="2"/>
  <c r="P748" i="2"/>
  <c r="O748" i="2"/>
  <c r="N748" i="2"/>
  <c r="M748" i="2"/>
  <c r="L748" i="2"/>
  <c r="K748" i="2"/>
  <c r="H748" i="2"/>
  <c r="D748" i="2"/>
  <c r="V747" i="2"/>
  <c r="U747" i="2"/>
  <c r="T747" i="2"/>
  <c r="S747" i="2"/>
  <c r="R747" i="2"/>
  <c r="Q747" i="2"/>
  <c r="P747" i="2"/>
  <c r="O747" i="2"/>
  <c r="N747" i="2"/>
  <c r="M747" i="2"/>
  <c r="L747" i="2"/>
  <c r="K747" i="2"/>
  <c r="H747" i="2"/>
  <c r="D747" i="2"/>
  <c r="V746" i="2"/>
  <c r="U746" i="2"/>
  <c r="T746" i="2"/>
  <c r="S746" i="2"/>
  <c r="R746" i="2"/>
  <c r="Q746" i="2"/>
  <c r="P746" i="2"/>
  <c r="O746" i="2"/>
  <c r="N746" i="2"/>
  <c r="M746" i="2"/>
  <c r="L746" i="2"/>
  <c r="K746" i="2"/>
  <c r="H746" i="2"/>
  <c r="D746" i="2"/>
  <c r="V745" i="2"/>
  <c r="U745" i="2"/>
  <c r="T745" i="2"/>
  <c r="S745" i="2"/>
  <c r="R745" i="2"/>
  <c r="Q745" i="2"/>
  <c r="P745" i="2"/>
  <c r="O745" i="2"/>
  <c r="N745" i="2"/>
  <c r="M745" i="2"/>
  <c r="L745" i="2"/>
  <c r="K745" i="2"/>
  <c r="H745" i="2"/>
  <c r="D745" i="2"/>
  <c r="V744" i="2"/>
  <c r="U744" i="2"/>
  <c r="T744" i="2"/>
  <c r="S744" i="2"/>
  <c r="R744" i="2"/>
  <c r="Q744" i="2"/>
  <c r="P744" i="2"/>
  <c r="O744" i="2"/>
  <c r="N744" i="2"/>
  <c r="M744" i="2"/>
  <c r="L744" i="2"/>
  <c r="K744" i="2"/>
  <c r="H744" i="2"/>
  <c r="D744" i="2"/>
  <c r="V743" i="2"/>
  <c r="U743" i="2"/>
  <c r="T743" i="2"/>
  <c r="S743" i="2"/>
  <c r="R743" i="2"/>
  <c r="Q743" i="2"/>
  <c r="P743" i="2"/>
  <c r="O743" i="2"/>
  <c r="N743" i="2"/>
  <c r="M743" i="2"/>
  <c r="L743" i="2"/>
  <c r="K743" i="2"/>
  <c r="H743" i="2"/>
  <c r="D743" i="2"/>
  <c r="V742" i="2"/>
  <c r="U742" i="2"/>
  <c r="T742" i="2"/>
  <c r="S742" i="2"/>
  <c r="R742" i="2"/>
  <c r="Q742" i="2"/>
  <c r="P742" i="2"/>
  <c r="O742" i="2"/>
  <c r="N742" i="2"/>
  <c r="M742" i="2"/>
  <c r="L742" i="2"/>
  <c r="K742" i="2"/>
  <c r="H742" i="2"/>
  <c r="D742" i="2"/>
  <c r="V741" i="2"/>
  <c r="U741" i="2"/>
  <c r="T741" i="2"/>
  <c r="S741" i="2"/>
  <c r="R741" i="2"/>
  <c r="Q741" i="2"/>
  <c r="P741" i="2"/>
  <c r="O741" i="2"/>
  <c r="N741" i="2"/>
  <c r="M741" i="2"/>
  <c r="L741" i="2"/>
  <c r="K741" i="2"/>
  <c r="H741" i="2"/>
  <c r="D741" i="2"/>
  <c r="V740" i="2"/>
  <c r="U740" i="2"/>
  <c r="T740" i="2"/>
  <c r="S740" i="2"/>
  <c r="R740" i="2"/>
  <c r="Q740" i="2"/>
  <c r="P740" i="2"/>
  <c r="O740" i="2"/>
  <c r="N740" i="2"/>
  <c r="M740" i="2"/>
  <c r="L740" i="2"/>
  <c r="K740" i="2"/>
  <c r="H740" i="2"/>
  <c r="D740" i="2"/>
  <c r="V739" i="2"/>
  <c r="U739" i="2"/>
  <c r="T739" i="2"/>
  <c r="S739" i="2"/>
  <c r="R739" i="2"/>
  <c r="Q739" i="2"/>
  <c r="P739" i="2"/>
  <c r="O739" i="2"/>
  <c r="N739" i="2"/>
  <c r="M739" i="2"/>
  <c r="L739" i="2"/>
  <c r="K739" i="2"/>
  <c r="H739" i="2"/>
  <c r="D739" i="2"/>
  <c r="V738" i="2"/>
  <c r="U738" i="2"/>
  <c r="T738" i="2"/>
  <c r="S738" i="2"/>
  <c r="R738" i="2"/>
  <c r="Q738" i="2"/>
  <c r="P738" i="2"/>
  <c r="O738" i="2"/>
  <c r="N738" i="2"/>
  <c r="M738" i="2"/>
  <c r="L738" i="2"/>
  <c r="K738" i="2"/>
  <c r="H738" i="2"/>
  <c r="D738" i="2"/>
  <c r="V737" i="2"/>
  <c r="U737" i="2"/>
  <c r="T737" i="2"/>
  <c r="S737" i="2"/>
  <c r="R737" i="2"/>
  <c r="Q737" i="2"/>
  <c r="P737" i="2"/>
  <c r="O737" i="2"/>
  <c r="N737" i="2"/>
  <c r="M737" i="2"/>
  <c r="L737" i="2"/>
  <c r="K737" i="2"/>
  <c r="H737" i="2"/>
  <c r="D737" i="2"/>
  <c r="V736" i="2"/>
  <c r="U736" i="2"/>
  <c r="T736" i="2"/>
  <c r="S736" i="2"/>
  <c r="R736" i="2"/>
  <c r="Q736" i="2"/>
  <c r="P736" i="2"/>
  <c r="O736" i="2"/>
  <c r="N736" i="2"/>
  <c r="M736" i="2"/>
  <c r="L736" i="2"/>
  <c r="K736" i="2"/>
  <c r="H736" i="2"/>
  <c r="D736" i="2"/>
  <c r="V735" i="2"/>
  <c r="U735" i="2"/>
  <c r="T735" i="2"/>
  <c r="S735" i="2"/>
  <c r="R735" i="2"/>
  <c r="Q735" i="2"/>
  <c r="P735" i="2"/>
  <c r="O735" i="2"/>
  <c r="N735" i="2"/>
  <c r="M735" i="2"/>
  <c r="L735" i="2"/>
  <c r="K735" i="2"/>
  <c r="H735" i="2"/>
  <c r="D735" i="2"/>
  <c r="V734" i="2"/>
  <c r="U734" i="2"/>
  <c r="T734" i="2"/>
  <c r="S734" i="2"/>
  <c r="R734" i="2"/>
  <c r="Q734" i="2"/>
  <c r="P734" i="2"/>
  <c r="O734" i="2"/>
  <c r="N734" i="2"/>
  <c r="M734" i="2"/>
  <c r="L734" i="2"/>
  <c r="K734" i="2"/>
  <c r="H734" i="2"/>
  <c r="D734" i="2"/>
  <c r="V733" i="2"/>
  <c r="U733" i="2"/>
  <c r="T733" i="2"/>
  <c r="S733" i="2"/>
  <c r="R733" i="2"/>
  <c r="Q733" i="2"/>
  <c r="P733" i="2"/>
  <c r="O733" i="2"/>
  <c r="N733" i="2"/>
  <c r="M733" i="2"/>
  <c r="L733" i="2"/>
  <c r="K733" i="2"/>
  <c r="H733" i="2"/>
  <c r="D733" i="2"/>
  <c r="V732" i="2"/>
  <c r="U732" i="2"/>
  <c r="T732" i="2"/>
  <c r="S732" i="2"/>
  <c r="R732" i="2"/>
  <c r="Q732" i="2"/>
  <c r="P732" i="2"/>
  <c r="O732" i="2"/>
  <c r="N732" i="2"/>
  <c r="M732" i="2"/>
  <c r="L732" i="2"/>
  <c r="K732" i="2"/>
  <c r="H732" i="2"/>
  <c r="D732" i="2"/>
  <c r="V731" i="2"/>
  <c r="U731" i="2"/>
  <c r="T731" i="2"/>
  <c r="S731" i="2"/>
  <c r="R731" i="2"/>
  <c r="Q731" i="2"/>
  <c r="P731" i="2"/>
  <c r="O731" i="2"/>
  <c r="N731" i="2"/>
  <c r="M731" i="2"/>
  <c r="L731" i="2"/>
  <c r="K731" i="2"/>
  <c r="H731" i="2"/>
  <c r="D731" i="2"/>
  <c r="V730" i="2"/>
  <c r="U730" i="2"/>
  <c r="T730" i="2"/>
  <c r="S730" i="2"/>
  <c r="R730" i="2"/>
  <c r="Q730" i="2"/>
  <c r="P730" i="2"/>
  <c r="O730" i="2"/>
  <c r="N730" i="2"/>
  <c r="M730" i="2"/>
  <c r="L730" i="2"/>
  <c r="K730" i="2"/>
  <c r="H730" i="2"/>
  <c r="D730" i="2"/>
  <c r="V729" i="2"/>
  <c r="U729" i="2"/>
  <c r="T729" i="2"/>
  <c r="S729" i="2"/>
  <c r="R729" i="2"/>
  <c r="Q729" i="2"/>
  <c r="P729" i="2"/>
  <c r="O729" i="2"/>
  <c r="N729" i="2"/>
  <c r="M729" i="2"/>
  <c r="L729" i="2"/>
  <c r="K729" i="2"/>
  <c r="H729" i="2"/>
  <c r="D729" i="2"/>
  <c r="V728" i="2"/>
  <c r="U728" i="2"/>
  <c r="T728" i="2"/>
  <c r="S728" i="2"/>
  <c r="R728" i="2"/>
  <c r="Q728" i="2"/>
  <c r="P728" i="2"/>
  <c r="O728" i="2"/>
  <c r="N728" i="2"/>
  <c r="M728" i="2"/>
  <c r="L728" i="2"/>
  <c r="K728" i="2"/>
  <c r="H728" i="2"/>
  <c r="D728" i="2"/>
  <c r="V727" i="2"/>
  <c r="U727" i="2"/>
  <c r="T727" i="2"/>
  <c r="S727" i="2"/>
  <c r="R727" i="2"/>
  <c r="Q727" i="2"/>
  <c r="P727" i="2"/>
  <c r="O727" i="2"/>
  <c r="N727" i="2"/>
  <c r="M727" i="2"/>
  <c r="L727" i="2"/>
  <c r="K727" i="2"/>
  <c r="H727" i="2"/>
  <c r="D727" i="2"/>
  <c r="V726" i="2"/>
  <c r="U726" i="2"/>
  <c r="T726" i="2"/>
  <c r="S726" i="2"/>
  <c r="R726" i="2"/>
  <c r="Q726" i="2"/>
  <c r="P726" i="2"/>
  <c r="O726" i="2"/>
  <c r="N726" i="2"/>
  <c r="M726" i="2"/>
  <c r="L726" i="2"/>
  <c r="K726" i="2"/>
  <c r="H726" i="2"/>
  <c r="D726" i="2"/>
  <c r="V725" i="2"/>
  <c r="U725" i="2"/>
  <c r="T725" i="2"/>
  <c r="S725" i="2"/>
  <c r="R725" i="2"/>
  <c r="Q725" i="2"/>
  <c r="P725" i="2"/>
  <c r="O725" i="2"/>
  <c r="N725" i="2"/>
  <c r="M725" i="2"/>
  <c r="L725" i="2"/>
  <c r="K725" i="2"/>
  <c r="H725" i="2"/>
  <c r="D725" i="2"/>
  <c r="V724" i="2"/>
  <c r="U724" i="2"/>
  <c r="T724" i="2"/>
  <c r="S724" i="2"/>
  <c r="R724" i="2"/>
  <c r="Q724" i="2"/>
  <c r="P724" i="2"/>
  <c r="O724" i="2"/>
  <c r="N724" i="2"/>
  <c r="M724" i="2"/>
  <c r="L724" i="2"/>
  <c r="K724" i="2"/>
  <c r="H724" i="2"/>
  <c r="D724" i="2"/>
  <c r="V723" i="2"/>
  <c r="U723" i="2"/>
  <c r="T723" i="2"/>
  <c r="S723" i="2"/>
  <c r="R723" i="2"/>
  <c r="Q723" i="2"/>
  <c r="P723" i="2"/>
  <c r="O723" i="2"/>
  <c r="N723" i="2"/>
  <c r="M723" i="2"/>
  <c r="L723" i="2"/>
  <c r="K723" i="2"/>
  <c r="H723" i="2"/>
  <c r="D723" i="2"/>
  <c r="V722" i="2"/>
  <c r="U722" i="2"/>
  <c r="T722" i="2"/>
  <c r="S722" i="2"/>
  <c r="R722" i="2"/>
  <c r="Q722" i="2"/>
  <c r="P722" i="2"/>
  <c r="O722" i="2"/>
  <c r="N722" i="2"/>
  <c r="M722" i="2"/>
  <c r="L722" i="2"/>
  <c r="K722" i="2"/>
  <c r="H722" i="2"/>
  <c r="D722" i="2"/>
  <c r="V721" i="2"/>
  <c r="U721" i="2"/>
  <c r="T721" i="2"/>
  <c r="S721" i="2"/>
  <c r="R721" i="2"/>
  <c r="Q721" i="2"/>
  <c r="P721" i="2"/>
  <c r="O721" i="2"/>
  <c r="N721" i="2"/>
  <c r="M721" i="2"/>
  <c r="L721" i="2"/>
  <c r="K721" i="2"/>
  <c r="H721" i="2"/>
  <c r="D721" i="2"/>
  <c r="V720" i="2"/>
  <c r="U720" i="2"/>
  <c r="T720" i="2"/>
  <c r="S720" i="2"/>
  <c r="R720" i="2"/>
  <c r="Q720" i="2"/>
  <c r="P720" i="2"/>
  <c r="O720" i="2"/>
  <c r="N720" i="2"/>
  <c r="M720" i="2"/>
  <c r="L720" i="2"/>
  <c r="K720" i="2"/>
  <c r="H720" i="2"/>
  <c r="D720" i="2"/>
  <c r="V719" i="2"/>
  <c r="U719" i="2"/>
  <c r="T719" i="2"/>
  <c r="S719" i="2"/>
  <c r="R719" i="2"/>
  <c r="Q719" i="2"/>
  <c r="P719" i="2"/>
  <c r="O719" i="2"/>
  <c r="N719" i="2"/>
  <c r="M719" i="2"/>
  <c r="L719" i="2"/>
  <c r="K719" i="2"/>
  <c r="H719" i="2"/>
  <c r="D719" i="2"/>
  <c r="V718" i="2"/>
  <c r="U718" i="2"/>
  <c r="T718" i="2"/>
  <c r="S718" i="2"/>
  <c r="R718" i="2"/>
  <c r="Q718" i="2"/>
  <c r="P718" i="2"/>
  <c r="O718" i="2"/>
  <c r="N718" i="2"/>
  <c r="M718" i="2"/>
  <c r="L718" i="2"/>
  <c r="K718" i="2"/>
  <c r="H718" i="2"/>
  <c r="D718" i="2"/>
  <c r="V717" i="2"/>
  <c r="U717" i="2"/>
  <c r="T717" i="2"/>
  <c r="S717" i="2"/>
  <c r="R717" i="2"/>
  <c r="Q717" i="2"/>
  <c r="P717" i="2"/>
  <c r="O717" i="2"/>
  <c r="N717" i="2"/>
  <c r="M717" i="2"/>
  <c r="L717" i="2"/>
  <c r="K717" i="2"/>
  <c r="H717" i="2"/>
  <c r="D717" i="2"/>
  <c r="V716" i="2"/>
  <c r="U716" i="2"/>
  <c r="T716" i="2"/>
  <c r="S716" i="2"/>
  <c r="R716" i="2"/>
  <c r="Q716" i="2"/>
  <c r="P716" i="2"/>
  <c r="O716" i="2"/>
  <c r="N716" i="2"/>
  <c r="M716" i="2"/>
  <c r="L716" i="2"/>
  <c r="K716" i="2"/>
  <c r="H716" i="2"/>
  <c r="D716" i="2"/>
  <c r="V715" i="2"/>
  <c r="U715" i="2"/>
  <c r="T715" i="2"/>
  <c r="S715" i="2"/>
  <c r="R715" i="2"/>
  <c r="Q715" i="2"/>
  <c r="P715" i="2"/>
  <c r="O715" i="2"/>
  <c r="N715" i="2"/>
  <c r="M715" i="2"/>
  <c r="L715" i="2"/>
  <c r="K715" i="2"/>
  <c r="H715" i="2"/>
  <c r="D715" i="2"/>
  <c r="V714" i="2"/>
  <c r="U714" i="2"/>
  <c r="T714" i="2"/>
  <c r="S714" i="2"/>
  <c r="R714" i="2"/>
  <c r="Q714" i="2"/>
  <c r="P714" i="2"/>
  <c r="O714" i="2"/>
  <c r="N714" i="2"/>
  <c r="M714" i="2"/>
  <c r="L714" i="2"/>
  <c r="K714" i="2"/>
  <c r="H714" i="2"/>
  <c r="D714" i="2"/>
  <c r="V713" i="2"/>
  <c r="U713" i="2"/>
  <c r="T713" i="2"/>
  <c r="S713" i="2"/>
  <c r="R713" i="2"/>
  <c r="Q713" i="2"/>
  <c r="P713" i="2"/>
  <c r="O713" i="2"/>
  <c r="N713" i="2"/>
  <c r="M713" i="2"/>
  <c r="L713" i="2"/>
  <c r="K713" i="2"/>
  <c r="H713" i="2"/>
  <c r="D713" i="2"/>
  <c r="V712" i="2"/>
  <c r="U712" i="2"/>
  <c r="T712" i="2"/>
  <c r="S712" i="2"/>
  <c r="R712" i="2"/>
  <c r="Q712" i="2"/>
  <c r="P712" i="2"/>
  <c r="O712" i="2"/>
  <c r="N712" i="2"/>
  <c r="M712" i="2"/>
  <c r="L712" i="2"/>
  <c r="K712" i="2"/>
  <c r="H712" i="2"/>
  <c r="D712" i="2"/>
  <c r="V711" i="2"/>
  <c r="U711" i="2"/>
  <c r="T711" i="2"/>
  <c r="S711" i="2"/>
  <c r="R711" i="2"/>
  <c r="Q711" i="2"/>
  <c r="P711" i="2"/>
  <c r="O711" i="2"/>
  <c r="N711" i="2"/>
  <c r="M711" i="2"/>
  <c r="L711" i="2"/>
  <c r="K711" i="2"/>
  <c r="H711" i="2"/>
  <c r="D711" i="2"/>
  <c r="V710" i="2"/>
  <c r="U710" i="2"/>
  <c r="T710" i="2"/>
  <c r="S710" i="2"/>
  <c r="R710" i="2"/>
  <c r="Q710" i="2"/>
  <c r="P710" i="2"/>
  <c r="O710" i="2"/>
  <c r="N710" i="2"/>
  <c r="M710" i="2"/>
  <c r="L710" i="2"/>
  <c r="K710" i="2"/>
  <c r="H710" i="2"/>
  <c r="D710" i="2"/>
  <c r="V709" i="2"/>
  <c r="U709" i="2"/>
  <c r="T709" i="2"/>
  <c r="S709" i="2"/>
  <c r="R709" i="2"/>
  <c r="Q709" i="2"/>
  <c r="P709" i="2"/>
  <c r="O709" i="2"/>
  <c r="N709" i="2"/>
  <c r="M709" i="2"/>
  <c r="L709" i="2"/>
  <c r="K709" i="2"/>
  <c r="H709" i="2"/>
  <c r="D709" i="2"/>
  <c r="V708" i="2"/>
  <c r="U708" i="2"/>
  <c r="T708" i="2"/>
  <c r="S708" i="2"/>
  <c r="R708" i="2"/>
  <c r="Q708" i="2"/>
  <c r="P708" i="2"/>
  <c r="O708" i="2"/>
  <c r="N708" i="2"/>
  <c r="M708" i="2"/>
  <c r="L708" i="2"/>
  <c r="K708" i="2"/>
  <c r="H708" i="2"/>
  <c r="D708" i="2"/>
  <c r="V707" i="2"/>
  <c r="U707" i="2"/>
  <c r="T707" i="2"/>
  <c r="S707" i="2"/>
  <c r="R707" i="2"/>
  <c r="Q707" i="2"/>
  <c r="P707" i="2"/>
  <c r="O707" i="2"/>
  <c r="N707" i="2"/>
  <c r="M707" i="2"/>
  <c r="L707" i="2"/>
  <c r="K707" i="2"/>
  <c r="H707" i="2"/>
  <c r="D707" i="2"/>
  <c r="V706" i="2"/>
  <c r="U706" i="2"/>
  <c r="T706" i="2"/>
  <c r="S706" i="2"/>
  <c r="R706" i="2"/>
  <c r="Q706" i="2"/>
  <c r="P706" i="2"/>
  <c r="O706" i="2"/>
  <c r="N706" i="2"/>
  <c r="M706" i="2"/>
  <c r="L706" i="2"/>
  <c r="K706" i="2"/>
  <c r="H706" i="2"/>
  <c r="D706" i="2"/>
  <c r="V705" i="2"/>
  <c r="U705" i="2"/>
  <c r="T705" i="2"/>
  <c r="S705" i="2"/>
  <c r="R705" i="2"/>
  <c r="Q705" i="2"/>
  <c r="P705" i="2"/>
  <c r="O705" i="2"/>
  <c r="N705" i="2"/>
  <c r="M705" i="2"/>
  <c r="L705" i="2"/>
  <c r="K705" i="2"/>
  <c r="H705" i="2"/>
  <c r="D705" i="2"/>
  <c r="V704" i="2"/>
  <c r="U704" i="2"/>
  <c r="T704" i="2"/>
  <c r="S704" i="2"/>
  <c r="R704" i="2"/>
  <c r="Q704" i="2"/>
  <c r="P704" i="2"/>
  <c r="O704" i="2"/>
  <c r="N704" i="2"/>
  <c r="M704" i="2"/>
  <c r="L704" i="2"/>
  <c r="K704" i="2"/>
  <c r="H704" i="2"/>
  <c r="D704" i="2"/>
  <c r="V703" i="2"/>
  <c r="U703" i="2"/>
  <c r="T703" i="2"/>
  <c r="S703" i="2"/>
  <c r="R703" i="2"/>
  <c r="Q703" i="2"/>
  <c r="P703" i="2"/>
  <c r="O703" i="2"/>
  <c r="N703" i="2"/>
  <c r="M703" i="2"/>
  <c r="L703" i="2"/>
  <c r="K703" i="2"/>
  <c r="H703" i="2"/>
  <c r="D703" i="2"/>
  <c r="V702" i="2"/>
  <c r="U702" i="2"/>
  <c r="T702" i="2"/>
  <c r="S702" i="2"/>
  <c r="R702" i="2"/>
  <c r="Q702" i="2"/>
  <c r="P702" i="2"/>
  <c r="O702" i="2"/>
  <c r="N702" i="2"/>
  <c r="M702" i="2"/>
  <c r="L702" i="2"/>
  <c r="K702" i="2"/>
  <c r="H702" i="2"/>
  <c r="D702" i="2"/>
  <c r="V701" i="2"/>
  <c r="U701" i="2"/>
  <c r="T701" i="2"/>
  <c r="S701" i="2"/>
  <c r="R701" i="2"/>
  <c r="Q701" i="2"/>
  <c r="P701" i="2"/>
  <c r="O701" i="2"/>
  <c r="N701" i="2"/>
  <c r="M701" i="2"/>
  <c r="L701" i="2"/>
  <c r="K701" i="2"/>
  <c r="H701" i="2"/>
  <c r="D701" i="2"/>
  <c r="V700" i="2"/>
  <c r="U700" i="2"/>
  <c r="T700" i="2"/>
  <c r="S700" i="2"/>
  <c r="R700" i="2"/>
  <c r="Q700" i="2"/>
  <c r="P700" i="2"/>
  <c r="O700" i="2"/>
  <c r="N700" i="2"/>
  <c r="M700" i="2"/>
  <c r="L700" i="2"/>
  <c r="K700" i="2"/>
  <c r="H700" i="2"/>
  <c r="D700" i="2"/>
  <c r="V699" i="2"/>
  <c r="U699" i="2"/>
  <c r="T699" i="2"/>
  <c r="S699" i="2"/>
  <c r="R699" i="2"/>
  <c r="Q699" i="2"/>
  <c r="P699" i="2"/>
  <c r="O699" i="2"/>
  <c r="N699" i="2"/>
  <c r="M699" i="2"/>
  <c r="L699" i="2"/>
  <c r="K699" i="2"/>
  <c r="H699" i="2"/>
  <c r="D699" i="2"/>
  <c r="V698" i="2"/>
  <c r="U698" i="2"/>
  <c r="T698" i="2"/>
  <c r="S698" i="2"/>
  <c r="R698" i="2"/>
  <c r="Q698" i="2"/>
  <c r="P698" i="2"/>
  <c r="O698" i="2"/>
  <c r="N698" i="2"/>
  <c r="M698" i="2"/>
  <c r="L698" i="2"/>
  <c r="K698" i="2"/>
  <c r="H698" i="2"/>
  <c r="D698" i="2"/>
  <c r="V697" i="2"/>
  <c r="U697" i="2"/>
  <c r="T697" i="2"/>
  <c r="S697" i="2"/>
  <c r="R697" i="2"/>
  <c r="Q697" i="2"/>
  <c r="P697" i="2"/>
  <c r="O697" i="2"/>
  <c r="N697" i="2"/>
  <c r="M697" i="2"/>
  <c r="L697" i="2"/>
  <c r="K697" i="2"/>
  <c r="H697" i="2"/>
  <c r="D697" i="2"/>
  <c r="V696" i="2"/>
  <c r="U696" i="2"/>
  <c r="T696" i="2"/>
  <c r="S696" i="2"/>
  <c r="R696" i="2"/>
  <c r="Q696" i="2"/>
  <c r="P696" i="2"/>
  <c r="O696" i="2"/>
  <c r="N696" i="2"/>
  <c r="M696" i="2"/>
  <c r="L696" i="2"/>
  <c r="K696" i="2"/>
  <c r="H696" i="2"/>
  <c r="D696" i="2"/>
  <c r="V695" i="2"/>
  <c r="U695" i="2"/>
  <c r="T695" i="2"/>
  <c r="S695" i="2"/>
  <c r="R695" i="2"/>
  <c r="Q695" i="2"/>
  <c r="P695" i="2"/>
  <c r="O695" i="2"/>
  <c r="N695" i="2"/>
  <c r="M695" i="2"/>
  <c r="L695" i="2"/>
  <c r="K695" i="2"/>
  <c r="H695" i="2"/>
  <c r="D695" i="2"/>
  <c r="V694" i="2"/>
  <c r="U694" i="2"/>
  <c r="T694" i="2"/>
  <c r="S694" i="2"/>
  <c r="R694" i="2"/>
  <c r="Q694" i="2"/>
  <c r="P694" i="2"/>
  <c r="O694" i="2"/>
  <c r="N694" i="2"/>
  <c r="M694" i="2"/>
  <c r="L694" i="2"/>
  <c r="K694" i="2"/>
  <c r="H694" i="2"/>
  <c r="D694" i="2"/>
  <c r="V693" i="2"/>
  <c r="U693" i="2"/>
  <c r="T693" i="2"/>
  <c r="S693" i="2"/>
  <c r="R693" i="2"/>
  <c r="Q693" i="2"/>
  <c r="P693" i="2"/>
  <c r="O693" i="2"/>
  <c r="N693" i="2"/>
  <c r="M693" i="2"/>
  <c r="L693" i="2"/>
  <c r="K693" i="2"/>
  <c r="H693" i="2"/>
  <c r="D693" i="2"/>
  <c r="V692" i="2"/>
  <c r="U692" i="2"/>
  <c r="T692" i="2"/>
  <c r="S692" i="2"/>
  <c r="R692" i="2"/>
  <c r="Q692" i="2"/>
  <c r="P692" i="2"/>
  <c r="O692" i="2"/>
  <c r="N692" i="2"/>
  <c r="M692" i="2"/>
  <c r="L692" i="2"/>
  <c r="K692" i="2"/>
  <c r="H692" i="2"/>
  <c r="D692" i="2"/>
  <c r="V691" i="2"/>
  <c r="U691" i="2"/>
  <c r="T691" i="2"/>
  <c r="S691" i="2"/>
  <c r="R691" i="2"/>
  <c r="Q691" i="2"/>
  <c r="P691" i="2"/>
  <c r="O691" i="2"/>
  <c r="N691" i="2"/>
  <c r="M691" i="2"/>
  <c r="L691" i="2"/>
  <c r="K691" i="2"/>
  <c r="H691" i="2"/>
  <c r="D691" i="2"/>
  <c r="V690" i="2"/>
  <c r="U690" i="2"/>
  <c r="T690" i="2"/>
  <c r="S690" i="2"/>
  <c r="R690" i="2"/>
  <c r="Q690" i="2"/>
  <c r="P690" i="2"/>
  <c r="O690" i="2"/>
  <c r="N690" i="2"/>
  <c r="M690" i="2"/>
  <c r="L690" i="2"/>
  <c r="K690" i="2"/>
  <c r="H690" i="2"/>
  <c r="D690" i="2"/>
  <c r="V689" i="2"/>
  <c r="U689" i="2"/>
  <c r="T689" i="2"/>
  <c r="S689" i="2"/>
  <c r="R689" i="2"/>
  <c r="Q689" i="2"/>
  <c r="P689" i="2"/>
  <c r="O689" i="2"/>
  <c r="N689" i="2"/>
  <c r="M689" i="2"/>
  <c r="L689" i="2"/>
  <c r="K689" i="2"/>
  <c r="H689" i="2"/>
  <c r="D689" i="2"/>
  <c r="V688" i="2"/>
  <c r="U688" i="2"/>
  <c r="T688" i="2"/>
  <c r="S688" i="2"/>
  <c r="R688" i="2"/>
  <c r="Q688" i="2"/>
  <c r="P688" i="2"/>
  <c r="O688" i="2"/>
  <c r="N688" i="2"/>
  <c r="M688" i="2"/>
  <c r="L688" i="2"/>
  <c r="K688" i="2"/>
  <c r="H688" i="2"/>
  <c r="D688" i="2"/>
  <c r="V687" i="2"/>
  <c r="U687" i="2"/>
  <c r="T687" i="2"/>
  <c r="S687" i="2"/>
  <c r="R687" i="2"/>
  <c r="Q687" i="2"/>
  <c r="P687" i="2"/>
  <c r="O687" i="2"/>
  <c r="N687" i="2"/>
  <c r="M687" i="2"/>
  <c r="L687" i="2"/>
  <c r="K687" i="2"/>
  <c r="H687" i="2"/>
  <c r="D687" i="2"/>
  <c r="V686" i="2"/>
  <c r="U686" i="2"/>
  <c r="T686" i="2"/>
  <c r="S686" i="2"/>
  <c r="R686" i="2"/>
  <c r="Q686" i="2"/>
  <c r="P686" i="2"/>
  <c r="O686" i="2"/>
  <c r="N686" i="2"/>
  <c r="M686" i="2"/>
  <c r="L686" i="2"/>
  <c r="K686" i="2"/>
  <c r="H686" i="2"/>
  <c r="D686" i="2"/>
  <c r="V685" i="2"/>
  <c r="U685" i="2"/>
  <c r="T685" i="2"/>
  <c r="S685" i="2"/>
  <c r="R685" i="2"/>
  <c r="Q685" i="2"/>
  <c r="P685" i="2"/>
  <c r="O685" i="2"/>
  <c r="N685" i="2"/>
  <c r="M685" i="2"/>
  <c r="L685" i="2"/>
  <c r="K685" i="2"/>
  <c r="H685" i="2"/>
  <c r="D685" i="2"/>
  <c r="V684" i="2"/>
  <c r="U684" i="2"/>
  <c r="T684" i="2"/>
  <c r="S684" i="2"/>
  <c r="R684" i="2"/>
  <c r="Q684" i="2"/>
  <c r="P684" i="2"/>
  <c r="O684" i="2"/>
  <c r="N684" i="2"/>
  <c r="M684" i="2"/>
  <c r="L684" i="2"/>
  <c r="K684" i="2"/>
  <c r="H684" i="2"/>
  <c r="D684" i="2"/>
  <c r="V683" i="2"/>
  <c r="U683" i="2"/>
  <c r="T683" i="2"/>
  <c r="S683" i="2"/>
  <c r="R683" i="2"/>
  <c r="Q683" i="2"/>
  <c r="P683" i="2"/>
  <c r="O683" i="2"/>
  <c r="N683" i="2"/>
  <c r="M683" i="2"/>
  <c r="L683" i="2"/>
  <c r="K683" i="2"/>
  <c r="H683" i="2"/>
  <c r="D683" i="2"/>
  <c r="V682" i="2"/>
  <c r="U682" i="2"/>
  <c r="T682" i="2"/>
  <c r="S682" i="2"/>
  <c r="R682" i="2"/>
  <c r="Q682" i="2"/>
  <c r="P682" i="2"/>
  <c r="O682" i="2"/>
  <c r="N682" i="2"/>
  <c r="M682" i="2"/>
  <c r="L682" i="2"/>
  <c r="K682" i="2"/>
  <c r="H682" i="2"/>
  <c r="D682" i="2"/>
  <c r="V681" i="2"/>
  <c r="U681" i="2"/>
  <c r="T681" i="2"/>
  <c r="S681" i="2"/>
  <c r="R681" i="2"/>
  <c r="Q681" i="2"/>
  <c r="P681" i="2"/>
  <c r="O681" i="2"/>
  <c r="N681" i="2"/>
  <c r="M681" i="2"/>
  <c r="L681" i="2"/>
  <c r="K681" i="2"/>
  <c r="H681" i="2"/>
  <c r="D681" i="2"/>
  <c r="V680" i="2"/>
  <c r="U680" i="2"/>
  <c r="T680" i="2"/>
  <c r="S680" i="2"/>
  <c r="R680" i="2"/>
  <c r="Q680" i="2"/>
  <c r="P680" i="2"/>
  <c r="O680" i="2"/>
  <c r="N680" i="2"/>
  <c r="M680" i="2"/>
  <c r="L680" i="2"/>
  <c r="K680" i="2"/>
  <c r="H680" i="2"/>
  <c r="D680" i="2"/>
  <c r="V679" i="2"/>
  <c r="U679" i="2"/>
  <c r="T679" i="2"/>
  <c r="S679" i="2"/>
  <c r="R679" i="2"/>
  <c r="Q679" i="2"/>
  <c r="P679" i="2"/>
  <c r="O679" i="2"/>
  <c r="N679" i="2"/>
  <c r="M679" i="2"/>
  <c r="L679" i="2"/>
  <c r="K679" i="2"/>
  <c r="H679" i="2"/>
  <c r="D679" i="2"/>
  <c r="V678" i="2"/>
  <c r="U678" i="2"/>
  <c r="T678" i="2"/>
  <c r="S678" i="2"/>
  <c r="R678" i="2"/>
  <c r="Q678" i="2"/>
  <c r="P678" i="2"/>
  <c r="O678" i="2"/>
  <c r="N678" i="2"/>
  <c r="M678" i="2"/>
  <c r="L678" i="2"/>
  <c r="K678" i="2"/>
  <c r="H678" i="2"/>
  <c r="D678" i="2"/>
  <c r="V677" i="2"/>
  <c r="U677" i="2"/>
  <c r="T677" i="2"/>
  <c r="S677" i="2"/>
  <c r="R677" i="2"/>
  <c r="Q677" i="2"/>
  <c r="P677" i="2"/>
  <c r="O677" i="2"/>
  <c r="N677" i="2"/>
  <c r="M677" i="2"/>
  <c r="L677" i="2"/>
  <c r="K677" i="2"/>
  <c r="H677" i="2"/>
  <c r="D677" i="2"/>
  <c r="V676" i="2"/>
  <c r="U676" i="2"/>
  <c r="T676" i="2"/>
  <c r="S676" i="2"/>
  <c r="R676" i="2"/>
  <c r="Q676" i="2"/>
  <c r="P676" i="2"/>
  <c r="O676" i="2"/>
  <c r="N676" i="2"/>
  <c r="M676" i="2"/>
  <c r="L676" i="2"/>
  <c r="K676" i="2"/>
  <c r="H676" i="2"/>
  <c r="D676" i="2"/>
  <c r="V675" i="2"/>
  <c r="U675" i="2"/>
  <c r="T675" i="2"/>
  <c r="S675" i="2"/>
  <c r="R675" i="2"/>
  <c r="Q675" i="2"/>
  <c r="P675" i="2"/>
  <c r="O675" i="2"/>
  <c r="N675" i="2"/>
  <c r="M675" i="2"/>
  <c r="L675" i="2"/>
  <c r="K675" i="2"/>
  <c r="H675" i="2"/>
  <c r="D675" i="2"/>
  <c r="V674" i="2"/>
  <c r="U674" i="2"/>
  <c r="T674" i="2"/>
  <c r="S674" i="2"/>
  <c r="R674" i="2"/>
  <c r="Q674" i="2"/>
  <c r="P674" i="2"/>
  <c r="O674" i="2"/>
  <c r="N674" i="2"/>
  <c r="M674" i="2"/>
  <c r="L674" i="2"/>
  <c r="K674" i="2"/>
  <c r="H674" i="2"/>
  <c r="D674" i="2"/>
  <c r="V673" i="2"/>
  <c r="U673" i="2"/>
  <c r="T673" i="2"/>
  <c r="S673" i="2"/>
  <c r="R673" i="2"/>
  <c r="Q673" i="2"/>
  <c r="P673" i="2"/>
  <c r="O673" i="2"/>
  <c r="N673" i="2"/>
  <c r="M673" i="2"/>
  <c r="L673" i="2"/>
  <c r="K673" i="2"/>
  <c r="H673" i="2"/>
  <c r="D673" i="2"/>
  <c r="V672" i="2"/>
  <c r="U672" i="2"/>
  <c r="T672" i="2"/>
  <c r="S672" i="2"/>
  <c r="R672" i="2"/>
  <c r="Q672" i="2"/>
  <c r="P672" i="2"/>
  <c r="O672" i="2"/>
  <c r="N672" i="2"/>
  <c r="M672" i="2"/>
  <c r="L672" i="2"/>
  <c r="K672" i="2"/>
  <c r="H672" i="2"/>
  <c r="D672" i="2"/>
  <c r="V671" i="2"/>
  <c r="U671" i="2"/>
  <c r="T671" i="2"/>
  <c r="S671" i="2"/>
  <c r="R671" i="2"/>
  <c r="Q671" i="2"/>
  <c r="P671" i="2"/>
  <c r="O671" i="2"/>
  <c r="N671" i="2"/>
  <c r="M671" i="2"/>
  <c r="L671" i="2"/>
  <c r="K671" i="2"/>
  <c r="H671" i="2"/>
  <c r="D671" i="2"/>
  <c r="V670" i="2"/>
  <c r="U670" i="2"/>
  <c r="T670" i="2"/>
  <c r="S670" i="2"/>
  <c r="R670" i="2"/>
  <c r="Q670" i="2"/>
  <c r="P670" i="2"/>
  <c r="O670" i="2"/>
  <c r="N670" i="2"/>
  <c r="M670" i="2"/>
  <c r="L670" i="2"/>
  <c r="K670" i="2"/>
  <c r="H670" i="2"/>
  <c r="D670" i="2"/>
  <c r="V669" i="2"/>
  <c r="U669" i="2"/>
  <c r="T669" i="2"/>
  <c r="S669" i="2"/>
  <c r="R669" i="2"/>
  <c r="Q669" i="2"/>
  <c r="P669" i="2"/>
  <c r="O669" i="2"/>
  <c r="N669" i="2"/>
  <c r="M669" i="2"/>
  <c r="L669" i="2"/>
  <c r="K669" i="2"/>
  <c r="H669" i="2"/>
  <c r="D669" i="2"/>
  <c r="V668" i="2"/>
  <c r="U668" i="2"/>
  <c r="T668" i="2"/>
  <c r="S668" i="2"/>
  <c r="R668" i="2"/>
  <c r="Q668" i="2"/>
  <c r="P668" i="2"/>
  <c r="O668" i="2"/>
  <c r="N668" i="2"/>
  <c r="M668" i="2"/>
  <c r="L668" i="2"/>
  <c r="K668" i="2"/>
  <c r="H668" i="2"/>
  <c r="D668" i="2"/>
  <c r="V667" i="2"/>
  <c r="U667" i="2"/>
  <c r="T667" i="2"/>
  <c r="S667" i="2"/>
  <c r="R667" i="2"/>
  <c r="Q667" i="2"/>
  <c r="P667" i="2"/>
  <c r="O667" i="2"/>
  <c r="N667" i="2"/>
  <c r="M667" i="2"/>
  <c r="L667" i="2"/>
  <c r="K667" i="2"/>
  <c r="H667" i="2"/>
  <c r="D667" i="2"/>
  <c r="V666" i="2"/>
  <c r="U666" i="2"/>
  <c r="T666" i="2"/>
  <c r="S666" i="2"/>
  <c r="R666" i="2"/>
  <c r="Q666" i="2"/>
  <c r="P666" i="2"/>
  <c r="O666" i="2"/>
  <c r="N666" i="2"/>
  <c r="M666" i="2"/>
  <c r="L666" i="2"/>
  <c r="K666" i="2"/>
  <c r="H666" i="2"/>
  <c r="D666" i="2"/>
  <c r="V665" i="2"/>
  <c r="U665" i="2"/>
  <c r="T665" i="2"/>
  <c r="S665" i="2"/>
  <c r="R665" i="2"/>
  <c r="Q665" i="2"/>
  <c r="P665" i="2"/>
  <c r="O665" i="2"/>
  <c r="N665" i="2"/>
  <c r="M665" i="2"/>
  <c r="L665" i="2"/>
  <c r="K665" i="2"/>
  <c r="H665" i="2"/>
  <c r="D665" i="2"/>
  <c r="V664" i="2"/>
  <c r="U664" i="2"/>
  <c r="T664" i="2"/>
  <c r="S664" i="2"/>
  <c r="R664" i="2"/>
  <c r="Q664" i="2"/>
  <c r="P664" i="2"/>
  <c r="O664" i="2"/>
  <c r="N664" i="2"/>
  <c r="M664" i="2"/>
  <c r="L664" i="2"/>
  <c r="K664" i="2"/>
  <c r="H664" i="2"/>
  <c r="D664" i="2"/>
  <c r="V663" i="2"/>
  <c r="U663" i="2"/>
  <c r="T663" i="2"/>
  <c r="S663" i="2"/>
  <c r="R663" i="2"/>
  <c r="Q663" i="2"/>
  <c r="P663" i="2"/>
  <c r="O663" i="2"/>
  <c r="N663" i="2"/>
  <c r="M663" i="2"/>
  <c r="L663" i="2"/>
  <c r="K663" i="2"/>
  <c r="H663" i="2"/>
  <c r="D663" i="2"/>
  <c r="V662" i="2"/>
  <c r="U662" i="2"/>
  <c r="T662" i="2"/>
  <c r="S662" i="2"/>
  <c r="R662" i="2"/>
  <c r="Q662" i="2"/>
  <c r="P662" i="2"/>
  <c r="O662" i="2"/>
  <c r="N662" i="2"/>
  <c r="M662" i="2"/>
  <c r="L662" i="2"/>
  <c r="K662" i="2"/>
  <c r="H662" i="2"/>
  <c r="D662" i="2"/>
  <c r="V661" i="2"/>
  <c r="U661" i="2"/>
  <c r="T661" i="2"/>
  <c r="S661" i="2"/>
  <c r="R661" i="2"/>
  <c r="Q661" i="2"/>
  <c r="P661" i="2"/>
  <c r="O661" i="2"/>
  <c r="N661" i="2"/>
  <c r="M661" i="2"/>
  <c r="L661" i="2"/>
  <c r="K661" i="2"/>
  <c r="H661" i="2"/>
  <c r="D661" i="2"/>
  <c r="V660" i="2"/>
  <c r="U660" i="2"/>
  <c r="T660" i="2"/>
  <c r="S660" i="2"/>
  <c r="R660" i="2"/>
  <c r="Q660" i="2"/>
  <c r="P660" i="2"/>
  <c r="O660" i="2"/>
  <c r="N660" i="2"/>
  <c r="M660" i="2"/>
  <c r="L660" i="2"/>
  <c r="K660" i="2"/>
  <c r="H660" i="2"/>
  <c r="D660" i="2"/>
  <c r="V659" i="2"/>
  <c r="U659" i="2"/>
  <c r="T659" i="2"/>
  <c r="S659" i="2"/>
  <c r="R659" i="2"/>
  <c r="Q659" i="2"/>
  <c r="P659" i="2"/>
  <c r="O659" i="2"/>
  <c r="N659" i="2"/>
  <c r="M659" i="2"/>
  <c r="L659" i="2"/>
  <c r="K659" i="2"/>
  <c r="H659" i="2"/>
  <c r="D659" i="2"/>
  <c r="V658" i="2"/>
  <c r="U658" i="2"/>
  <c r="T658" i="2"/>
  <c r="S658" i="2"/>
  <c r="R658" i="2"/>
  <c r="Q658" i="2"/>
  <c r="P658" i="2"/>
  <c r="O658" i="2"/>
  <c r="N658" i="2"/>
  <c r="M658" i="2"/>
  <c r="L658" i="2"/>
  <c r="K658" i="2"/>
  <c r="H658" i="2"/>
  <c r="D658" i="2"/>
  <c r="V657" i="2"/>
  <c r="U657" i="2"/>
  <c r="T657" i="2"/>
  <c r="S657" i="2"/>
  <c r="R657" i="2"/>
  <c r="Q657" i="2"/>
  <c r="P657" i="2"/>
  <c r="O657" i="2"/>
  <c r="N657" i="2"/>
  <c r="M657" i="2"/>
  <c r="L657" i="2"/>
  <c r="K657" i="2"/>
  <c r="H657" i="2"/>
  <c r="D657" i="2"/>
  <c r="V656" i="2"/>
  <c r="U656" i="2"/>
  <c r="T656" i="2"/>
  <c r="S656" i="2"/>
  <c r="R656" i="2"/>
  <c r="Q656" i="2"/>
  <c r="P656" i="2"/>
  <c r="O656" i="2"/>
  <c r="N656" i="2"/>
  <c r="M656" i="2"/>
  <c r="L656" i="2"/>
  <c r="K656" i="2"/>
  <c r="H656" i="2"/>
  <c r="D656" i="2"/>
  <c r="V655" i="2"/>
  <c r="U655" i="2"/>
  <c r="T655" i="2"/>
  <c r="S655" i="2"/>
  <c r="R655" i="2"/>
  <c r="Q655" i="2"/>
  <c r="P655" i="2"/>
  <c r="O655" i="2"/>
  <c r="N655" i="2"/>
  <c r="M655" i="2"/>
  <c r="L655" i="2"/>
  <c r="K655" i="2"/>
  <c r="H655" i="2"/>
  <c r="D655" i="2"/>
  <c r="V654" i="2"/>
  <c r="U654" i="2"/>
  <c r="T654" i="2"/>
  <c r="S654" i="2"/>
  <c r="R654" i="2"/>
  <c r="Q654" i="2"/>
  <c r="P654" i="2"/>
  <c r="O654" i="2"/>
  <c r="N654" i="2"/>
  <c r="M654" i="2"/>
  <c r="L654" i="2"/>
  <c r="K654" i="2"/>
  <c r="H654" i="2"/>
  <c r="D654" i="2"/>
  <c r="V653" i="2"/>
  <c r="U653" i="2"/>
  <c r="T653" i="2"/>
  <c r="S653" i="2"/>
  <c r="R653" i="2"/>
  <c r="Q653" i="2"/>
  <c r="P653" i="2"/>
  <c r="O653" i="2"/>
  <c r="N653" i="2"/>
  <c r="M653" i="2"/>
  <c r="L653" i="2"/>
  <c r="K653" i="2"/>
  <c r="H653" i="2"/>
  <c r="D653" i="2"/>
  <c r="V652" i="2"/>
  <c r="U652" i="2"/>
  <c r="T652" i="2"/>
  <c r="S652" i="2"/>
  <c r="R652" i="2"/>
  <c r="Q652" i="2"/>
  <c r="P652" i="2"/>
  <c r="O652" i="2"/>
  <c r="N652" i="2"/>
  <c r="M652" i="2"/>
  <c r="L652" i="2"/>
  <c r="K652" i="2"/>
  <c r="H652" i="2"/>
  <c r="D652" i="2"/>
  <c r="V651" i="2"/>
  <c r="U651" i="2"/>
  <c r="T651" i="2"/>
  <c r="S651" i="2"/>
  <c r="R651" i="2"/>
  <c r="Q651" i="2"/>
  <c r="P651" i="2"/>
  <c r="O651" i="2"/>
  <c r="N651" i="2"/>
  <c r="M651" i="2"/>
  <c r="L651" i="2"/>
  <c r="K651" i="2"/>
  <c r="H651" i="2"/>
  <c r="D651" i="2"/>
  <c r="V650" i="2"/>
  <c r="U650" i="2"/>
  <c r="T650" i="2"/>
  <c r="S650" i="2"/>
  <c r="R650" i="2"/>
  <c r="Q650" i="2"/>
  <c r="P650" i="2"/>
  <c r="O650" i="2"/>
  <c r="N650" i="2"/>
  <c r="M650" i="2"/>
  <c r="L650" i="2"/>
  <c r="K650" i="2"/>
  <c r="H650" i="2"/>
  <c r="D650" i="2"/>
  <c r="V649" i="2"/>
  <c r="U649" i="2"/>
  <c r="T649" i="2"/>
  <c r="S649" i="2"/>
  <c r="R649" i="2"/>
  <c r="Q649" i="2"/>
  <c r="P649" i="2"/>
  <c r="O649" i="2"/>
  <c r="N649" i="2"/>
  <c r="M649" i="2"/>
  <c r="L649" i="2"/>
  <c r="K649" i="2"/>
  <c r="H649" i="2"/>
  <c r="D649" i="2"/>
  <c r="V648" i="2"/>
  <c r="U648" i="2"/>
  <c r="T648" i="2"/>
  <c r="S648" i="2"/>
  <c r="R648" i="2"/>
  <c r="Q648" i="2"/>
  <c r="P648" i="2"/>
  <c r="O648" i="2"/>
  <c r="N648" i="2"/>
  <c r="M648" i="2"/>
  <c r="L648" i="2"/>
  <c r="K648" i="2"/>
  <c r="H648" i="2"/>
  <c r="D648" i="2"/>
  <c r="V647" i="2"/>
  <c r="U647" i="2"/>
  <c r="T647" i="2"/>
  <c r="S647" i="2"/>
  <c r="R647" i="2"/>
  <c r="Q647" i="2"/>
  <c r="P647" i="2"/>
  <c r="O647" i="2"/>
  <c r="N647" i="2"/>
  <c r="M647" i="2"/>
  <c r="L647" i="2"/>
  <c r="K647" i="2"/>
  <c r="H647" i="2"/>
  <c r="D647" i="2"/>
  <c r="V646" i="2"/>
  <c r="U646" i="2"/>
  <c r="T646" i="2"/>
  <c r="S646" i="2"/>
  <c r="R646" i="2"/>
  <c r="Q646" i="2"/>
  <c r="P646" i="2"/>
  <c r="O646" i="2"/>
  <c r="N646" i="2"/>
  <c r="M646" i="2"/>
  <c r="L646" i="2"/>
  <c r="K646" i="2"/>
  <c r="H646" i="2"/>
  <c r="D646" i="2"/>
  <c r="V645" i="2"/>
  <c r="U645" i="2"/>
  <c r="T645" i="2"/>
  <c r="S645" i="2"/>
  <c r="R645" i="2"/>
  <c r="Q645" i="2"/>
  <c r="P645" i="2"/>
  <c r="O645" i="2"/>
  <c r="N645" i="2"/>
  <c r="M645" i="2"/>
  <c r="L645" i="2"/>
  <c r="K645" i="2"/>
  <c r="H645" i="2"/>
  <c r="D645" i="2"/>
  <c r="V644" i="2"/>
  <c r="U644" i="2"/>
  <c r="T644" i="2"/>
  <c r="S644" i="2"/>
  <c r="R644" i="2"/>
  <c r="Q644" i="2"/>
  <c r="P644" i="2"/>
  <c r="O644" i="2"/>
  <c r="N644" i="2"/>
  <c r="M644" i="2"/>
  <c r="L644" i="2"/>
  <c r="K644" i="2"/>
  <c r="H644" i="2"/>
  <c r="D644" i="2"/>
  <c r="V643" i="2"/>
  <c r="U643" i="2"/>
  <c r="T643" i="2"/>
  <c r="S643" i="2"/>
  <c r="R643" i="2"/>
  <c r="Q643" i="2"/>
  <c r="P643" i="2"/>
  <c r="O643" i="2"/>
  <c r="N643" i="2"/>
  <c r="M643" i="2"/>
  <c r="L643" i="2"/>
  <c r="K643" i="2"/>
  <c r="H643" i="2"/>
  <c r="D643" i="2"/>
  <c r="V642" i="2"/>
  <c r="U642" i="2"/>
  <c r="T642" i="2"/>
  <c r="S642" i="2"/>
  <c r="R642" i="2"/>
  <c r="Q642" i="2"/>
  <c r="P642" i="2"/>
  <c r="O642" i="2"/>
  <c r="N642" i="2"/>
  <c r="M642" i="2"/>
  <c r="L642" i="2"/>
  <c r="K642" i="2"/>
  <c r="H642" i="2"/>
  <c r="D642" i="2"/>
  <c r="V641" i="2"/>
  <c r="U641" i="2"/>
  <c r="T641" i="2"/>
  <c r="S641" i="2"/>
  <c r="R641" i="2"/>
  <c r="Q641" i="2"/>
  <c r="P641" i="2"/>
  <c r="O641" i="2"/>
  <c r="N641" i="2"/>
  <c r="M641" i="2"/>
  <c r="L641" i="2"/>
  <c r="K641" i="2"/>
  <c r="H641" i="2"/>
  <c r="D641" i="2"/>
  <c r="V640" i="2"/>
  <c r="U640" i="2"/>
  <c r="T640" i="2"/>
  <c r="S640" i="2"/>
  <c r="R640" i="2"/>
  <c r="Q640" i="2"/>
  <c r="P640" i="2"/>
  <c r="O640" i="2"/>
  <c r="N640" i="2"/>
  <c r="M640" i="2"/>
  <c r="L640" i="2"/>
  <c r="K640" i="2"/>
  <c r="H640" i="2"/>
  <c r="D640" i="2"/>
  <c r="V639" i="2"/>
  <c r="U639" i="2"/>
  <c r="T639" i="2"/>
  <c r="S639" i="2"/>
  <c r="R639" i="2"/>
  <c r="Q639" i="2"/>
  <c r="P639" i="2"/>
  <c r="O639" i="2"/>
  <c r="N639" i="2"/>
  <c r="M639" i="2"/>
  <c r="L639" i="2"/>
  <c r="K639" i="2"/>
  <c r="H639" i="2"/>
  <c r="D639" i="2"/>
  <c r="V638" i="2"/>
  <c r="U638" i="2"/>
  <c r="T638" i="2"/>
  <c r="S638" i="2"/>
  <c r="R638" i="2"/>
  <c r="Q638" i="2"/>
  <c r="P638" i="2"/>
  <c r="O638" i="2"/>
  <c r="N638" i="2"/>
  <c r="M638" i="2"/>
  <c r="L638" i="2"/>
  <c r="K638" i="2"/>
  <c r="H638" i="2"/>
  <c r="D638" i="2"/>
  <c r="V637" i="2"/>
  <c r="U637" i="2"/>
  <c r="T637" i="2"/>
  <c r="S637" i="2"/>
  <c r="R637" i="2"/>
  <c r="Q637" i="2"/>
  <c r="P637" i="2"/>
  <c r="O637" i="2"/>
  <c r="N637" i="2"/>
  <c r="M637" i="2"/>
  <c r="L637" i="2"/>
  <c r="K637" i="2"/>
  <c r="H637" i="2"/>
  <c r="D637" i="2"/>
  <c r="V636" i="2"/>
  <c r="U636" i="2"/>
  <c r="T636" i="2"/>
  <c r="S636" i="2"/>
  <c r="R636" i="2"/>
  <c r="Q636" i="2"/>
  <c r="P636" i="2"/>
  <c r="O636" i="2"/>
  <c r="N636" i="2"/>
  <c r="M636" i="2"/>
  <c r="L636" i="2"/>
  <c r="K636" i="2"/>
  <c r="H636" i="2"/>
  <c r="D636" i="2"/>
  <c r="V635" i="2"/>
  <c r="U635" i="2"/>
  <c r="T635" i="2"/>
  <c r="S635" i="2"/>
  <c r="R635" i="2"/>
  <c r="Q635" i="2"/>
  <c r="P635" i="2"/>
  <c r="O635" i="2"/>
  <c r="N635" i="2"/>
  <c r="M635" i="2"/>
  <c r="L635" i="2"/>
  <c r="K635" i="2"/>
  <c r="H635" i="2"/>
  <c r="D635" i="2"/>
  <c r="V634" i="2"/>
  <c r="U634" i="2"/>
  <c r="T634" i="2"/>
  <c r="S634" i="2"/>
  <c r="R634" i="2"/>
  <c r="Q634" i="2"/>
  <c r="P634" i="2"/>
  <c r="O634" i="2"/>
  <c r="N634" i="2"/>
  <c r="M634" i="2"/>
  <c r="L634" i="2"/>
  <c r="K634" i="2"/>
  <c r="H634" i="2"/>
  <c r="D634" i="2"/>
  <c r="V633" i="2"/>
  <c r="U633" i="2"/>
  <c r="T633" i="2"/>
  <c r="S633" i="2"/>
  <c r="R633" i="2"/>
  <c r="Q633" i="2"/>
  <c r="P633" i="2"/>
  <c r="O633" i="2"/>
  <c r="N633" i="2"/>
  <c r="M633" i="2"/>
  <c r="L633" i="2"/>
  <c r="K633" i="2"/>
  <c r="H633" i="2"/>
  <c r="D633" i="2"/>
  <c r="V632" i="2"/>
  <c r="U632" i="2"/>
  <c r="T632" i="2"/>
  <c r="S632" i="2"/>
  <c r="R632" i="2"/>
  <c r="Q632" i="2"/>
  <c r="P632" i="2"/>
  <c r="O632" i="2"/>
  <c r="N632" i="2"/>
  <c r="M632" i="2"/>
  <c r="L632" i="2"/>
  <c r="K632" i="2"/>
  <c r="H632" i="2"/>
  <c r="D632" i="2"/>
  <c r="V631" i="2"/>
  <c r="U631" i="2"/>
  <c r="T631" i="2"/>
  <c r="S631" i="2"/>
  <c r="R631" i="2"/>
  <c r="Q631" i="2"/>
  <c r="P631" i="2"/>
  <c r="O631" i="2"/>
  <c r="N631" i="2"/>
  <c r="M631" i="2"/>
  <c r="L631" i="2"/>
  <c r="K631" i="2"/>
  <c r="H631" i="2"/>
  <c r="D631" i="2"/>
  <c r="V630" i="2"/>
  <c r="U630" i="2"/>
  <c r="T630" i="2"/>
  <c r="S630" i="2"/>
  <c r="R630" i="2"/>
  <c r="Q630" i="2"/>
  <c r="P630" i="2"/>
  <c r="O630" i="2"/>
  <c r="N630" i="2"/>
  <c r="M630" i="2"/>
  <c r="L630" i="2"/>
  <c r="K630" i="2"/>
  <c r="H630" i="2"/>
  <c r="D630" i="2"/>
  <c r="V629" i="2"/>
  <c r="U629" i="2"/>
  <c r="T629" i="2"/>
  <c r="S629" i="2"/>
  <c r="R629" i="2"/>
  <c r="Q629" i="2"/>
  <c r="P629" i="2"/>
  <c r="O629" i="2"/>
  <c r="N629" i="2"/>
  <c r="M629" i="2"/>
  <c r="L629" i="2"/>
  <c r="K629" i="2"/>
  <c r="H629" i="2"/>
  <c r="D629" i="2"/>
  <c r="V628" i="2"/>
  <c r="U628" i="2"/>
  <c r="T628" i="2"/>
  <c r="S628" i="2"/>
  <c r="R628" i="2"/>
  <c r="Q628" i="2"/>
  <c r="P628" i="2"/>
  <c r="O628" i="2"/>
  <c r="N628" i="2"/>
  <c r="M628" i="2"/>
  <c r="L628" i="2"/>
  <c r="K628" i="2"/>
  <c r="H628" i="2"/>
  <c r="D628" i="2"/>
  <c r="V627" i="2"/>
  <c r="U627" i="2"/>
  <c r="T627" i="2"/>
  <c r="S627" i="2"/>
  <c r="R627" i="2"/>
  <c r="Q627" i="2"/>
  <c r="P627" i="2"/>
  <c r="O627" i="2"/>
  <c r="N627" i="2"/>
  <c r="M627" i="2"/>
  <c r="L627" i="2"/>
  <c r="K627" i="2"/>
  <c r="H627" i="2"/>
  <c r="D627" i="2"/>
  <c r="V626" i="2"/>
  <c r="U626" i="2"/>
  <c r="T626" i="2"/>
  <c r="S626" i="2"/>
  <c r="R626" i="2"/>
  <c r="Q626" i="2"/>
  <c r="P626" i="2"/>
  <c r="O626" i="2"/>
  <c r="N626" i="2"/>
  <c r="M626" i="2"/>
  <c r="L626" i="2"/>
  <c r="K626" i="2"/>
  <c r="H626" i="2"/>
  <c r="D626" i="2"/>
  <c r="V625" i="2"/>
  <c r="U625" i="2"/>
  <c r="T625" i="2"/>
  <c r="S625" i="2"/>
  <c r="R625" i="2"/>
  <c r="Q625" i="2"/>
  <c r="P625" i="2"/>
  <c r="O625" i="2"/>
  <c r="N625" i="2"/>
  <c r="M625" i="2"/>
  <c r="L625" i="2"/>
  <c r="K625" i="2"/>
  <c r="H625" i="2"/>
  <c r="D625" i="2"/>
  <c r="V624" i="2"/>
  <c r="U624" i="2"/>
  <c r="T624" i="2"/>
  <c r="S624" i="2"/>
  <c r="R624" i="2"/>
  <c r="Q624" i="2"/>
  <c r="P624" i="2"/>
  <c r="O624" i="2"/>
  <c r="N624" i="2"/>
  <c r="M624" i="2"/>
  <c r="L624" i="2"/>
  <c r="K624" i="2"/>
  <c r="H624" i="2"/>
  <c r="D624" i="2"/>
  <c r="V623" i="2"/>
  <c r="U623" i="2"/>
  <c r="T623" i="2"/>
  <c r="S623" i="2"/>
  <c r="R623" i="2"/>
  <c r="Q623" i="2"/>
  <c r="P623" i="2"/>
  <c r="O623" i="2"/>
  <c r="N623" i="2"/>
  <c r="M623" i="2"/>
  <c r="L623" i="2"/>
  <c r="K623" i="2"/>
  <c r="H623" i="2"/>
  <c r="D623" i="2"/>
  <c r="V622" i="2"/>
  <c r="U622" i="2"/>
  <c r="T622" i="2"/>
  <c r="S622" i="2"/>
  <c r="R622" i="2"/>
  <c r="Q622" i="2"/>
  <c r="P622" i="2"/>
  <c r="O622" i="2"/>
  <c r="N622" i="2"/>
  <c r="M622" i="2"/>
  <c r="L622" i="2"/>
  <c r="K622" i="2"/>
  <c r="H622" i="2"/>
  <c r="D622" i="2"/>
  <c r="V621" i="2"/>
  <c r="U621" i="2"/>
  <c r="T621" i="2"/>
  <c r="S621" i="2"/>
  <c r="R621" i="2"/>
  <c r="Q621" i="2"/>
  <c r="P621" i="2"/>
  <c r="O621" i="2"/>
  <c r="N621" i="2"/>
  <c r="M621" i="2"/>
  <c r="L621" i="2"/>
  <c r="K621" i="2"/>
  <c r="H621" i="2"/>
  <c r="D621" i="2"/>
  <c r="V620" i="2"/>
  <c r="U620" i="2"/>
  <c r="T620" i="2"/>
  <c r="S620" i="2"/>
  <c r="R620" i="2"/>
  <c r="Q620" i="2"/>
  <c r="P620" i="2"/>
  <c r="O620" i="2"/>
  <c r="N620" i="2"/>
  <c r="M620" i="2"/>
  <c r="L620" i="2"/>
  <c r="K620" i="2"/>
  <c r="H620" i="2"/>
  <c r="D620" i="2"/>
  <c r="V619" i="2"/>
  <c r="U619" i="2"/>
  <c r="T619" i="2"/>
  <c r="S619" i="2"/>
  <c r="R619" i="2"/>
  <c r="Q619" i="2"/>
  <c r="P619" i="2"/>
  <c r="O619" i="2"/>
  <c r="N619" i="2"/>
  <c r="M619" i="2"/>
  <c r="L619" i="2"/>
  <c r="K619" i="2"/>
  <c r="H619" i="2"/>
  <c r="D619" i="2"/>
  <c r="V618" i="2"/>
  <c r="U618" i="2"/>
  <c r="T618" i="2"/>
  <c r="S618" i="2"/>
  <c r="R618" i="2"/>
  <c r="Q618" i="2"/>
  <c r="P618" i="2"/>
  <c r="O618" i="2"/>
  <c r="N618" i="2"/>
  <c r="M618" i="2"/>
  <c r="L618" i="2"/>
  <c r="K618" i="2"/>
  <c r="H618" i="2"/>
  <c r="D618" i="2"/>
  <c r="V617" i="2"/>
  <c r="U617" i="2"/>
  <c r="T617" i="2"/>
  <c r="S617" i="2"/>
  <c r="R617" i="2"/>
  <c r="Q617" i="2"/>
  <c r="P617" i="2"/>
  <c r="O617" i="2"/>
  <c r="N617" i="2"/>
  <c r="M617" i="2"/>
  <c r="L617" i="2"/>
  <c r="K617" i="2"/>
  <c r="H617" i="2"/>
  <c r="D617" i="2"/>
  <c r="V616" i="2"/>
  <c r="U616" i="2"/>
  <c r="T616" i="2"/>
  <c r="S616" i="2"/>
  <c r="R616" i="2"/>
  <c r="Q616" i="2"/>
  <c r="P616" i="2"/>
  <c r="O616" i="2"/>
  <c r="N616" i="2"/>
  <c r="M616" i="2"/>
  <c r="L616" i="2"/>
  <c r="K616" i="2"/>
  <c r="H616" i="2"/>
  <c r="D616" i="2"/>
  <c r="V615" i="2"/>
  <c r="U615" i="2"/>
  <c r="T615" i="2"/>
  <c r="S615" i="2"/>
  <c r="R615" i="2"/>
  <c r="Q615" i="2"/>
  <c r="P615" i="2"/>
  <c r="O615" i="2"/>
  <c r="N615" i="2"/>
  <c r="M615" i="2"/>
  <c r="L615" i="2"/>
  <c r="K615" i="2"/>
  <c r="H615" i="2"/>
  <c r="D615" i="2"/>
  <c r="V614" i="2"/>
  <c r="U614" i="2"/>
  <c r="T614" i="2"/>
  <c r="S614" i="2"/>
  <c r="R614" i="2"/>
  <c r="Q614" i="2"/>
  <c r="P614" i="2"/>
  <c r="O614" i="2"/>
  <c r="N614" i="2"/>
  <c r="M614" i="2"/>
  <c r="L614" i="2"/>
  <c r="K614" i="2"/>
  <c r="H614" i="2"/>
  <c r="D614" i="2"/>
  <c r="V613" i="2"/>
  <c r="U613" i="2"/>
  <c r="T613" i="2"/>
  <c r="S613" i="2"/>
  <c r="R613" i="2"/>
  <c r="Q613" i="2"/>
  <c r="P613" i="2"/>
  <c r="O613" i="2"/>
  <c r="N613" i="2"/>
  <c r="M613" i="2"/>
  <c r="L613" i="2"/>
  <c r="K613" i="2"/>
  <c r="H613" i="2"/>
  <c r="D613" i="2"/>
  <c r="V612" i="2"/>
  <c r="U612" i="2"/>
  <c r="T612" i="2"/>
  <c r="S612" i="2"/>
  <c r="R612" i="2"/>
  <c r="Q612" i="2"/>
  <c r="P612" i="2"/>
  <c r="O612" i="2"/>
  <c r="N612" i="2"/>
  <c r="M612" i="2"/>
  <c r="L612" i="2"/>
  <c r="K612" i="2"/>
  <c r="H612" i="2"/>
  <c r="D612" i="2"/>
  <c r="V611" i="2"/>
  <c r="U611" i="2"/>
  <c r="T611" i="2"/>
  <c r="S611" i="2"/>
  <c r="R611" i="2"/>
  <c r="Q611" i="2"/>
  <c r="P611" i="2"/>
  <c r="O611" i="2"/>
  <c r="N611" i="2"/>
  <c r="M611" i="2"/>
  <c r="L611" i="2"/>
  <c r="K611" i="2"/>
  <c r="H611" i="2"/>
  <c r="D611" i="2"/>
  <c r="V610" i="2"/>
  <c r="U610" i="2"/>
  <c r="T610" i="2"/>
  <c r="S610" i="2"/>
  <c r="R610" i="2"/>
  <c r="Q610" i="2"/>
  <c r="P610" i="2"/>
  <c r="O610" i="2"/>
  <c r="N610" i="2"/>
  <c r="M610" i="2"/>
  <c r="L610" i="2"/>
  <c r="K610" i="2"/>
  <c r="H610" i="2"/>
  <c r="D610" i="2"/>
  <c r="V609" i="2"/>
  <c r="U609" i="2"/>
  <c r="T609" i="2"/>
  <c r="S609" i="2"/>
  <c r="R609" i="2"/>
  <c r="Q609" i="2"/>
  <c r="P609" i="2"/>
  <c r="O609" i="2"/>
  <c r="N609" i="2"/>
  <c r="M609" i="2"/>
  <c r="L609" i="2"/>
  <c r="K609" i="2"/>
  <c r="H609" i="2"/>
  <c r="D609" i="2"/>
  <c r="V608" i="2"/>
  <c r="U608" i="2"/>
  <c r="T608" i="2"/>
  <c r="S608" i="2"/>
  <c r="R608" i="2"/>
  <c r="Q608" i="2"/>
  <c r="P608" i="2"/>
  <c r="O608" i="2"/>
  <c r="N608" i="2"/>
  <c r="M608" i="2"/>
  <c r="L608" i="2"/>
  <c r="K608" i="2"/>
  <c r="H608" i="2"/>
  <c r="D608" i="2"/>
  <c r="V607" i="2"/>
  <c r="U607" i="2"/>
  <c r="T607" i="2"/>
  <c r="S607" i="2"/>
  <c r="R607" i="2"/>
  <c r="Q607" i="2"/>
  <c r="P607" i="2"/>
  <c r="O607" i="2"/>
  <c r="N607" i="2"/>
  <c r="M607" i="2"/>
  <c r="L607" i="2"/>
  <c r="K607" i="2"/>
  <c r="H607" i="2"/>
  <c r="D607" i="2"/>
  <c r="V606" i="2"/>
  <c r="U606" i="2"/>
  <c r="T606" i="2"/>
  <c r="S606" i="2"/>
  <c r="R606" i="2"/>
  <c r="Q606" i="2"/>
  <c r="P606" i="2"/>
  <c r="O606" i="2"/>
  <c r="N606" i="2"/>
  <c r="M606" i="2"/>
  <c r="L606" i="2"/>
  <c r="K606" i="2"/>
  <c r="H606" i="2"/>
  <c r="D606" i="2"/>
  <c r="V605" i="2"/>
  <c r="U605" i="2"/>
  <c r="T605" i="2"/>
  <c r="S605" i="2"/>
  <c r="R605" i="2"/>
  <c r="Q605" i="2"/>
  <c r="P605" i="2"/>
  <c r="O605" i="2"/>
  <c r="N605" i="2"/>
  <c r="M605" i="2"/>
  <c r="L605" i="2"/>
  <c r="K605" i="2"/>
  <c r="H605" i="2"/>
  <c r="D605" i="2"/>
  <c r="V604" i="2"/>
  <c r="U604" i="2"/>
  <c r="T604" i="2"/>
  <c r="S604" i="2"/>
  <c r="R604" i="2"/>
  <c r="Q604" i="2"/>
  <c r="P604" i="2"/>
  <c r="O604" i="2"/>
  <c r="N604" i="2"/>
  <c r="M604" i="2"/>
  <c r="L604" i="2"/>
  <c r="K604" i="2"/>
  <c r="H604" i="2"/>
  <c r="D604" i="2"/>
  <c r="V603" i="2"/>
  <c r="U603" i="2"/>
  <c r="T603" i="2"/>
  <c r="S603" i="2"/>
  <c r="R603" i="2"/>
  <c r="Q603" i="2"/>
  <c r="P603" i="2"/>
  <c r="O603" i="2"/>
  <c r="N603" i="2"/>
  <c r="M603" i="2"/>
  <c r="L603" i="2"/>
  <c r="K603" i="2"/>
  <c r="H603" i="2"/>
  <c r="D603" i="2"/>
  <c r="V602" i="2"/>
  <c r="U602" i="2"/>
  <c r="T602" i="2"/>
  <c r="S602" i="2"/>
  <c r="R602" i="2"/>
  <c r="Q602" i="2"/>
  <c r="P602" i="2"/>
  <c r="O602" i="2"/>
  <c r="N602" i="2"/>
  <c r="M602" i="2"/>
  <c r="L602" i="2"/>
  <c r="K602" i="2"/>
  <c r="H602" i="2"/>
  <c r="D602" i="2"/>
  <c r="V601" i="2"/>
  <c r="U601" i="2"/>
  <c r="T601" i="2"/>
  <c r="S601" i="2"/>
  <c r="R601" i="2"/>
  <c r="Q601" i="2"/>
  <c r="P601" i="2"/>
  <c r="O601" i="2"/>
  <c r="N601" i="2"/>
  <c r="M601" i="2"/>
  <c r="L601" i="2"/>
  <c r="K601" i="2"/>
  <c r="H601" i="2"/>
  <c r="D601" i="2"/>
  <c r="V600" i="2"/>
  <c r="U600" i="2"/>
  <c r="T600" i="2"/>
  <c r="S600" i="2"/>
  <c r="R600" i="2"/>
  <c r="Q600" i="2"/>
  <c r="P600" i="2"/>
  <c r="O600" i="2"/>
  <c r="N600" i="2"/>
  <c r="M600" i="2"/>
  <c r="L600" i="2"/>
  <c r="K600" i="2"/>
  <c r="H600" i="2"/>
  <c r="D600" i="2"/>
  <c r="V599" i="2"/>
  <c r="U599" i="2"/>
  <c r="T599" i="2"/>
  <c r="S599" i="2"/>
  <c r="R599" i="2"/>
  <c r="Q599" i="2"/>
  <c r="P599" i="2"/>
  <c r="O599" i="2"/>
  <c r="N599" i="2"/>
  <c r="M599" i="2"/>
  <c r="L599" i="2"/>
  <c r="K599" i="2"/>
  <c r="H599" i="2"/>
  <c r="D599" i="2"/>
  <c r="V598" i="2"/>
  <c r="U598" i="2"/>
  <c r="T598" i="2"/>
  <c r="S598" i="2"/>
  <c r="R598" i="2"/>
  <c r="Q598" i="2"/>
  <c r="P598" i="2"/>
  <c r="O598" i="2"/>
  <c r="N598" i="2"/>
  <c r="M598" i="2"/>
  <c r="L598" i="2"/>
  <c r="K598" i="2"/>
  <c r="H598" i="2"/>
  <c r="D598" i="2"/>
  <c r="V597" i="2"/>
  <c r="U597" i="2"/>
  <c r="T597" i="2"/>
  <c r="S597" i="2"/>
  <c r="R597" i="2"/>
  <c r="Q597" i="2"/>
  <c r="P597" i="2"/>
  <c r="O597" i="2"/>
  <c r="N597" i="2"/>
  <c r="M597" i="2"/>
  <c r="L597" i="2"/>
  <c r="K597" i="2"/>
  <c r="H597" i="2"/>
  <c r="D597" i="2"/>
  <c r="V596" i="2"/>
  <c r="U596" i="2"/>
  <c r="T596" i="2"/>
  <c r="S596" i="2"/>
  <c r="R596" i="2"/>
  <c r="Q596" i="2"/>
  <c r="P596" i="2"/>
  <c r="O596" i="2"/>
  <c r="N596" i="2"/>
  <c r="M596" i="2"/>
  <c r="L596" i="2"/>
  <c r="K596" i="2"/>
  <c r="H596" i="2"/>
  <c r="D596" i="2"/>
  <c r="V595" i="2"/>
  <c r="U595" i="2"/>
  <c r="T595" i="2"/>
  <c r="S595" i="2"/>
  <c r="R595" i="2"/>
  <c r="Q595" i="2"/>
  <c r="P595" i="2"/>
  <c r="O595" i="2"/>
  <c r="N595" i="2"/>
  <c r="M595" i="2"/>
  <c r="L595" i="2"/>
  <c r="K595" i="2"/>
  <c r="H595" i="2"/>
  <c r="D595" i="2"/>
  <c r="V594" i="2"/>
  <c r="U594" i="2"/>
  <c r="T594" i="2"/>
  <c r="S594" i="2"/>
  <c r="R594" i="2"/>
  <c r="Q594" i="2"/>
  <c r="P594" i="2"/>
  <c r="O594" i="2"/>
  <c r="N594" i="2"/>
  <c r="M594" i="2"/>
  <c r="L594" i="2"/>
  <c r="K594" i="2"/>
  <c r="H594" i="2"/>
  <c r="D594" i="2"/>
  <c r="V593" i="2"/>
  <c r="U593" i="2"/>
  <c r="T593" i="2"/>
  <c r="S593" i="2"/>
  <c r="R593" i="2"/>
  <c r="Q593" i="2"/>
  <c r="P593" i="2"/>
  <c r="O593" i="2"/>
  <c r="N593" i="2"/>
  <c r="M593" i="2"/>
  <c r="L593" i="2"/>
  <c r="K593" i="2"/>
  <c r="H593" i="2"/>
  <c r="D593" i="2"/>
  <c r="V592" i="2"/>
  <c r="U592" i="2"/>
  <c r="T592" i="2"/>
  <c r="S592" i="2"/>
  <c r="R592" i="2"/>
  <c r="Q592" i="2"/>
  <c r="P592" i="2"/>
  <c r="O592" i="2"/>
  <c r="N592" i="2"/>
  <c r="M592" i="2"/>
  <c r="L592" i="2"/>
  <c r="K592" i="2"/>
  <c r="H592" i="2"/>
  <c r="D592" i="2"/>
  <c r="V591" i="2"/>
  <c r="U591" i="2"/>
  <c r="T591" i="2"/>
  <c r="S591" i="2"/>
  <c r="R591" i="2"/>
  <c r="Q591" i="2"/>
  <c r="P591" i="2"/>
  <c r="O591" i="2"/>
  <c r="N591" i="2"/>
  <c r="M591" i="2"/>
  <c r="L591" i="2"/>
  <c r="K591" i="2"/>
  <c r="H591" i="2"/>
  <c r="D591" i="2"/>
  <c r="V590" i="2"/>
  <c r="U590" i="2"/>
  <c r="T590" i="2"/>
  <c r="S590" i="2"/>
  <c r="R590" i="2"/>
  <c r="Q590" i="2"/>
  <c r="P590" i="2"/>
  <c r="O590" i="2"/>
  <c r="N590" i="2"/>
  <c r="M590" i="2"/>
  <c r="L590" i="2"/>
  <c r="K590" i="2"/>
  <c r="H590" i="2"/>
  <c r="D590" i="2"/>
  <c r="V589" i="2"/>
  <c r="U589" i="2"/>
  <c r="T589" i="2"/>
  <c r="S589" i="2"/>
  <c r="R589" i="2"/>
  <c r="Q589" i="2"/>
  <c r="P589" i="2"/>
  <c r="O589" i="2"/>
  <c r="N589" i="2"/>
  <c r="M589" i="2"/>
  <c r="L589" i="2"/>
  <c r="K589" i="2"/>
  <c r="H589" i="2"/>
  <c r="D589" i="2"/>
  <c r="V588" i="2"/>
  <c r="U588" i="2"/>
  <c r="T588" i="2"/>
  <c r="S588" i="2"/>
  <c r="R588" i="2"/>
  <c r="Q588" i="2"/>
  <c r="P588" i="2"/>
  <c r="O588" i="2"/>
  <c r="N588" i="2"/>
  <c r="M588" i="2"/>
  <c r="L588" i="2"/>
  <c r="K588" i="2"/>
  <c r="H588" i="2"/>
  <c r="D588" i="2"/>
  <c r="V587" i="2"/>
  <c r="U587" i="2"/>
  <c r="T587" i="2"/>
  <c r="S587" i="2"/>
  <c r="R587" i="2"/>
  <c r="Q587" i="2"/>
  <c r="P587" i="2"/>
  <c r="O587" i="2"/>
  <c r="N587" i="2"/>
  <c r="M587" i="2"/>
  <c r="L587" i="2"/>
  <c r="K587" i="2"/>
  <c r="H587" i="2"/>
  <c r="D587" i="2"/>
  <c r="V586" i="2"/>
  <c r="U586" i="2"/>
  <c r="T586" i="2"/>
  <c r="S586" i="2"/>
  <c r="R586" i="2"/>
  <c r="Q586" i="2"/>
  <c r="P586" i="2"/>
  <c r="O586" i="2"/>
  <c r="N586" i="2"/>
  <c r="M586" i="2"/>
  <c r="L586" i="2"/>
  <c r="K586" i="2"/>
  <c r="H586" i="2"/>
  <c r="D586" i="2"/>
  <c r="V585" i="2"/>
  <c r="U585" i="2"/>
  <c r="T585" i="2"/>
  <c r="S585" i="2"/>
  <c r="R585" i="2"/>
  <c r="Q585" i="2"/>
  <c r="P585" i="2"/>
  <c r="O585" i="2"/>
  <c r="N585" i="2"/>
  <c r="M585" i="2"/>
  <c r="L585" i="2"/>
  <c r="K585" i="2"/>
  <c r="H585" i="2"/>
  <c r="D585" i="2"/>
  <c r="V584" i="2"/>
  <c r="U584" i="2"/>
  <c r="T584" i="2"/>
  <c r="S584" i="2"/>
  <c r="R584" i="2"/>
  <c r="Q584" i="2"/>
  <c r="P584" i="2"/>
  <c r="O584" i="2"/>
  <c r="N584" i="2"/>
  <c r="M584" i="2"/>
  <c r="L584" i="2"/>
  <c r="K584" i="2"/>
  <c r="H584" i="2"/>
  <c r="D584" i="2"/>
  <c r="V583" i="2"/>
  <c r="U583" i="2"/>
  <c r="T583" i="2"/>
  <c r="S583" i="2"/>
  <c r="R583" i="2"/>
  <c r="Q583" i="2"/>
  <c r="P583" i="2"/>
  <c r="O583" i="2"/>
  <c r="N583" i="2"/>
  <c r="M583" i="2"/>
  <c r="L583" i="2"/>
  <c r="K583" i="2"/>
  <c r="H583" i="2"/>
  <c r="D583" i="2"/>
  <c r="V582" i="2"/>
  <c r="U582" i="2"/>
  <c r="T582" i="2"/>
  <c r="S582" i="2"/>
  <c r="R582" i="2"/>
  <c r="Q582" i="2"/>
  <c r="P582" i="2"/>
  <c r="O582" i="2"/>
  <c r="N582" i="2"/>
  <c r="M582" i="2"/>
  <c r="L582" i="2"/>
  <c r="K582" i="2"/>
  <c r="H582" i="2"/>
  <c r="D582" i="2"/>
  <c r="V581" i="2"/>
  <c r="U581" i="2"/>
  <c r="T581" i="2"/>
  <c r="S581" i="2"/>
  <c r="R581" i="2"/>
  <c r="Q581" i="2"/>
  <c r="P581" i="2"/>
  <c r="O581" i="2"/>
  <c r="N581" i="2"/>
  <c r="M581" i="2"/>
  <c r="L581" i="2"/>
  <c r="K581" i="2"/>
  <c r="H581" i="2"/>
  <c r="D581" i="2"/>
  <c r="V580" i="2"/>
  <c r="U580" i="2"/>
  <c r="T580" i="2"/>
  <c r="S580" i="2"/>
  <c r="R580" i="2"/>
  <c r="Q580" i="2"/>
  <c r="P580" i="2"/>
  <c r="O580" i="2"/>
  <c r="N580" i="2"/>
  <c r="M580" i="2"/>
  <c r="L580" i="2"/>
  <c r="K580" i="2"/>
  <c r="H580" i="2"/>
  <c r="D580" i="2"/>
  <c r="V579" i="2"/>
  <c r="U579" i="2"/>
  <c r="T579" i="2"/>
  <c r="S579" i="2"/>
  <c r="R579" i="2"/>
  <c r="Q579" i="2"/>
  <c r="P579" i="2"/>
  <c r="O579" i="2"/>
  <c r="N579" i="2"/>
  <c r="M579" i="2"/>
  <c r="L579" i="2"/>
  <c r="K579" i="2"/>
  <c r="H579" i="2"/>
  <c r="D579" i="2"/>
  <c r="V578" i="2"/>
  <c r="U578" i="2"/>
  <c r="T578" i="2"/>
  <c r="S578" i="2"/>
  <c r="R578" i="2"/>
  <c r="Q578" i="2"/>
  <c r="P578" i="2"/>
  <c r="O578" i="2"/>
  <c r="N578" i="2"/>
  <c r="M578" i="2"/>
  <c r="L578" i="2"/>
  <c r="K578" i="2"/>
  <c r="H578" i="2"/>
  <c r="D578" i="2"/>
  <c r="V577" i="2"/>
  <c r="U577" i="2"/>
  <c r="T577" i="2"/>
  <c r="S577" i="2"/>
  <c r="R577" i="2"/>
  <c r="Q577" i="2"/>
  <c r="P577" i="2"/>
  <c r="O577" i="2"/>
  <c r="N577" i="2"/>
  <c r="M577" i="2"/>
  <c r="L577" i="2"/>
  <c r="K577" i="2"/>
  <c r="H577" i="2"/>
  <c r="D577" i="2"/>
  <c r="V576" i="2"/>
  <c r="U576" i="2"/>
  <c r="T576" i="2"/>
  <c r="S576" i="2"/>
  <c r="R576" i="2"/>
  <c r="Q576" i="2"/>
  <c r="P576" i="2"/>
  <c r="O576" i="2"/>
  <c r="N576" i="2"/>
  <c r="M576" i="2"/>
  <c r="L576" i="2"/>
  <c r="K576" i="2"/>
  <c r="H576" i="2"/>
  <c r="D576" i="2"/>
  <c r="V575" i="2"/>
  <c r="U575" i="2"/>
  <c r="T575" i="2"/>
  <c r="S575" i="2"/>
  <c r="R575" i="2"/>
  <c r="Q575" i="2"/>
  <c r="P575" i="2"/>
  <c r="O575" i="2"/>
  <c r="N575" i="2"/>
  <c r="M575" i="2"/>
  <c r="L575" i="2"/>
  <c r="K575" i="2"/>
  <c r="H575" i="2"/>
  <c r="D575" i="2"/>
  <c r="V574" i="2"/>
  <c r="U574" i="2"/>
  <c r="T574" i="2"/>
  <c r="S574" i="2"/>
  <c r="R574" i="2"/>
  <c r="Q574" i="2"/>
  <c r="P574" i="2"/>
  <c r="O574" i="2"/>
  <c r="N574" i="2"/>
  <c r="M574" i="2"/>
  <c r="L574" i="2"/>
  <c r="K574" i="2"/>
  <c r="H574" i="2"/>
  <c r="D574" i="2"/>
  <c r="V573" i="2"/>
  <c r="U573" i="2"/>
  <c r="T573" i="2"/>
  <c r="S573" i="2"/>
  <c r="R573" i="2"/>
  <c r="Q573" i="2"/>
  <c r="P573" i="2"/>
  <c r="O573" i="2"/>
  <c r="N573" i="2"/>
  <c r="M573" i="2"/>
  <c r="L573" i="2"/>
  <c r="K573" i="2"/>
  <c r="H573" i="2"/>
  <c r="D573" i="2"/>
  <c r="V572" i="2"/>
  <c r="U572" i="2"/>
  <c r="T572" i="2"/>
  <c r="S572" i="2"/>
  <c r="R572" i="2"/>
  <c r="Q572" i="2"/>
  <c r="P572" i="2"/>
  <c r="O572" i="2"/>
  <c r="N572" i="2"/>
  <c r="M572" i="2"/>
  <c r="L572" i="2"/>
  <c r="K572" i="2"/>
  <c r="H572" i="2"/>
  <c r="D572" i="2"/>
  <c r="V571" i="2"/>
  <c r="U571" i="2"/>
  <c r="T571" i="2"/>
  <c r="S571" i="2"/>
  <c r="R571" i="2"/>
  <c r="Q571" i="2"/>
  <c r="P571" i="2"/>
  <c r="O571" i="2"/>
  <c r="N571" i="2"/>
  <c r="M571" i="2"/>
  <c r="L571" i="2"/>
  <c r="K571" i="2"/>
  <c r="H571" i="2"/>
  <c r="D571" i="2"/>
  <c r="V570" i="2"/>
  <c r="U570" i="2"/>
  <c r="T570" i="2"/>
  <c r="S570" i="2"/>
  <c r="R570" i="2"/>
  <c r="Q570" i="2"/>
  <c r="P570" i="2"/>
  <c r="O570" i="2"/>
  <c r="N570" i="2"/>
  <c r="M570" i="2"/>
  <c r="L570" i="2"/>
  <c r="K570" i="2"/>
  <c r="H570" i="2"/>
  <c r="D570" i="2"/>
  <c r="V569" i="2"/>
  <c r="U569" i="2"/>
  <c r="T569" i="2"/>
  <c r="S569" i="2"/>
  <c r="R569" i="2"/>
  <c r="Q569" i="2"/>
  <c r="P569" i="2"/>
  <c r="O569" i="2"/>
  <c r="N569" i="2"/>
  <c r="M569" i="2"/>
  <c r="L569" i="2"/>
  <c r="K569" i="2"/>
  <c r="H569" i="2"/>
  <c r="D569" i="2"/>
  <c r="V568" i="2"/>
  <c r="U568" i="2"/>
  <c r="T568" i="2"/>
  <c r="S568" i="2"/>
  <c r="R568" i="2"/>
  <c r="Q568" i="2"/>
  <c r="P568" i="2"/>
  <c r="O568" i="2"/>
  <c r="N568" i="2"/>
  <c r="M568" i="2"/>
  <c r="L568" i="2"/>
  <c r="K568" i="2"/>
  <c r="H568" i="2"/>
  <c r="D568" i="2"/>
  <c r="V567" i="2"/>
  <c r="U567" i="2"/>
  <c r="T567" i="2"/>
  <c r="S567" i="2"/>
  <c r="R567" i="2"/>
  <c r="Q567" i="2"/>
  <c r="P567" i="2"/>
  <c r="O567" i="2"/>
  <c r="N567" i="2"/>
  <c r="M567" i="2"/>
  <c r="L567" i="2"/>
  <c r="K567" i="2"/>
  <c r="H567" i="2"/>
  <c r="D567" i="2"/>
  <c r="V566" i="2"/>
  <c r="U566" i="2"/>
  <c r="T566" i="2"/>
  <c r="S566" i="2"/>
  <c r="R566" i="2"/>
  <c r="Q566" i="2"/>
  <c r="P566" i="2"/>
  <c r="O566" i="2"/>
  <c r="N566" i="2"/>
  <c r="M566" i="2"/>
  <c r="L566" i="2"/>
  <c r="K566" i="2"/>
  <c r="H566" i="2"/>
  <c r="D566" i="2"/>
  <c r="V565" i="2"/>
  <c r="U565" i="2"/>
  <c r="T565" i="2"/>
  <c r="S565" i="2"/>
  <c r="R565" i="2"/>
  <c r="Q565" i="2"/>
  <c r="P565" i="2"/>
  <c r="O565" i="2"/>
  <c r="N565" i="2"/>
  <c r="M565" i="2"/>
  <c r="L565" i="2"/>
  <c r="K565" i="2"/>
  <c r="H565" i="2"/>
  <c r="D565" i="2"/>
  <c r="V564" i="2"/>
  <c r="U564" i="2"/>
  <c r="T564" i="2"/>
  <c r="S564" i="2"/>
  <c r="R564" i="2"/>
  <c r="Q564" i="2"/>
  <c r="P564" i="2"/>
  <c r="O564" i="2"/>
  <c r="N564" i="2"/>
  <c r="M564" i="2"/>
  <c r="L564" i="2"/>
  <c r="K564" i="2"/>
  <c r="H564" i="2"/>
  <c r="D564" i="2"/>
  <c r="V563" i="2"/>
  <c r="U563" i="2"/>
  <c r="T563" i="2"/>
  <c r="S563" i="2"/>
  <c r="R563" i="2"/>
  <c r="Q563" i="2"/>
  <c r="P563" i="2"/>
  <c r="O563" i="2"/>
  <c r="N563" i="2"/>
  <c r="M563" i="2"/>
  <c r="L563" i="2"/>
  <c r="K563" i="2"/>
  <c r="H563" i="2"/>
  <c r="D563" i="2"/>
  <c r="V562" i="2"/>
  <c r="U562" i="2"/>
  <c r="T562" i="2"/>
  <c r="S562" i="2"/>
  <c r="R562" i="2"/>
  <c r="Q562" i="2"/>
  <c r="P562" i="2"/>
  <c r="O562" i="2"/>
  <c r="N562" i="2"/>
  <c r="M562" i="2"/>
  <c r="L562" i="2"/>
  <c r="K562" i="2"/>
  <c r="H562" i="2"/>
  <c r="D562" i="2"/>
  <c r="V561" i="2"/>
  <c r="U561" i="2"/>
  <c r="T561" i="2"/>
  <c r="S561" i="2"/>
  <c r="R561" i="2"/>
  <c r="Q561" i="2"/>
  <c r="P561" i="2"/>
  <c r="O561" i="2"/>
  <c r="N561" i="2"/>
  <c r="M561" i="2"/>
  <c r="L561" i="2"/>
  <c r="K561" i="2"/>
  <c r="H561" i="2"/>
  <c r="D561" i="2"/>
  <c r="V560" i="2"/>
  <c r="U560" i="2"/>
  <c r="T560" i="2"/>
  <c r="S560" i="2"/>
  <c r="R560" i="2"/>
  <c r="Q560" i="2"/>
  <c r="P560" i="2"/>
  <c r="O560" i="2"/>
  <c r="N560" i="2"/>
  <c r="M560" i="2"/>
  <c r="L560" i="2"/>
  <c r="K560" i="2"/>
  <c r="H560" i="2"/>
  <c r="D560" i="2"/>
  <c r="V559" i="2"/>
  <c r="U559" i="2"/>
  <c r="T559" i="2"/>
  <c r="S559" i="2"/>
  <c r="R559" i="2"/>
  <c r="Q559" i="2"/>
  <c r="P559" i="2"/>
  <c r="O559" i="2"/>
  <c r="N559" i="2"/>
  <c r="M559" i="2"/>
  <c r="L559" i="2"/>
  <c r="K559" i="2"/>
  <c r="H559" i="2"/>
  <c r="D559" i="2"/>
  <c r="V558" i="2"/>
  <c r="U558" i="2"/>
  <c r="T558" i="2"/>
  <c r="S558" i="2"/>
  <c r="R558" i="2"/>
  <c r="Q558" i="2"/>
  <c r="P558" i="2"/>
  <c r="O558" i="2"/>
  <c r="N558" i="2"/>
  <c r="M558" i="2"/>
  <c r="L558" i="2"/>
  <c r="K558" i="2"/>
  <c r="H558" i="2"/>
  <c r="D558" i="2"/>
  <c r="V557" i="2"/>
  <c r="U557" i="2"/>
  <c r="T557" i="2"/>
  <c r="S557" i="2"/>
  <c r="R557" i="2"/>
  <c r="Q557" i="2"/>
  <c r="P557" i="2"/>
  <c r="O557" i="2"/>
  <c r="N557" i="2"/>
  <c r="M557" i="2"/>
  <c r="L557" i="2"/>
  <c r="K557" i="2"/>
  <c r="H557" i="2"/>
  <c r="D557" i="2"/>
  <c r="V556" i="2"/>
  <c r="U556" i="2"/>
  <c r="T556" i="2"/>
  <c r="S556" i="2"/>
  <c r="R556" i="2"/>
  <c r="Q556" i="2"/>
  <c r="P556" i="2"/>
  <c r="O556" i="2"/>
  <c r="N556" i="2"/>
  <c r="M556" i="2"/>
  <c r="L556" i="2"/>
  <c r="K556" i="2"/>
  <c r="H556" i="2"/>
  <c r="D556" i="2"/>
  <c r="V555" i="2"/>
  <c r="U555" i="2"/>
  <c r="T555" i="2"/>
  <c r="S555" i="2"/>
  <c r="R555" i="2"/>
  <c r="Q555" i="2"/>
  <c r="P555" i="2"/>
  <c r="O555" i="2"/>
  <c r="N555" i="2"/>
  <c r="M555" i="2"/>
  <c r="L555" i="2"/>
  <c r="K555" i="2"/>
  <c r="H555" i="2"/>
  <c r="D555" i="2"/>
  <c r="V554" i="2"/>
  <c r="U554" i="2"/>
  <c r="T554" i="2"/>
  <c r="S554" i="2"/>
  <c r="R554" i="2"/>
  <c r="Q554" i="2"/>
  <c r="P554" i="2"/>
  <c r="O554" i="2"/>
  <c r="N554" i="2"/>
  <c r="M554" i="2"/>
  <c r="L554" i="2"/>
  <c r="K554" i="2"/>
  <c r="H554" i="2"/>
  <c r="D554" i="2"/>
  <c r="V553" i="2"/>
  <c r="U553" i="2"/>
  <c r="T553" i="2"/>
  <c r="S553" i="2"/>
  <c r="R553" i="2"/>
  <c r="Q553" i="2"/>
  <c r="P553" i="2"/>
  <c r="O553" i="2"/>
  <c r="N553" i="2"/>
  <c r="M553" i="2"/>
  <c r="L553" i="2"/>
  <c r="K553" i="2"/>
  <c r="H553" i="2"/>
  <c r="D553" i="2"/>
  <c r="V552" i="2"/>
  <c r="U552" i="2"/>
  <c r="T552" i="2"/>
  <c r="S552" i="2"/>
  <c r="R552" i="2"/>
  <c r="Q552" i="2"/>
  <c r="P552" i="2"/>
  <c r="O552" i="2"/>
  <c r="N552" i="2"/>
  <c r="M552" i="2"/>
  <c r="L552" i="2"/>
  <c r="K552" i="2"/>
  <c r="H552" i="2"/>
  <c r="D552" i="2"/>
  <c r="V551" i="2"/>
  <c r="U551" i="2"/>
  <c r="T551" i="2"/>
  <c r="S551" i="2"/>
  <c r="R551" i="2"/>
  <c r="Q551" i="2"/>
  <c r="P551" i="2"/>
  <c r="O551" i="2"/>
  <c r="N551" i="2"/>
  <c r="M551" i="2"/>
  <c r="L551" i="2"/>
  <c r="K551" i="2"/>
  <c r="H551" i="2"/>
  <c r="D551" i="2"/>
  <c r="V550" i="2"/>
  <c r="U550" i="2"/>
  <c r="T550" i="2"/>
  <c r="S550" i="2"/>
  <c r="R550" i="2"/>
  <c r="Q550" i="2"/>
  <c r="P550" i="2"/>
  <c r="O550" i="2"/>
  <c r="N550" i="2"/>
  <c r="M550" i="2"/>
  <c r="L550" i="2"/>
  <c r="K550" i="2"/>
  <c r="H550" i="2"/>
  <c r="D550" i="2"/>
  <c r="V549" i="2"/>
  <c r="U549" i="2"/>
  <c r="T549" i="2"/>
  <c r="S549" i="2"/>
  <c r="R549" i="2"/>
  <c r="Q549" i="2"/>
  <c r="P549" i="2"/>
  <c r="O549" i="2"/>
  <c r="N549" i="2"/>
  <c r="M549" i="2"/>
  <c r="L549" i="2"/>
  <c r="K549" i="2"/>
  <c r="H549" i="2"/>
  <c r="D549" i="2"/>
  <c r="V548" i="2"/>
  <c r="U548" i="2"/>
  <c r="T548" i="2"/>
  <c r="S548" i="2"/>
  <c r="R548" i="2"/>
  <c r="Q548" i="2"/>
  <c r="P548" i="2"/>
  <c r="O548" i="2"/>
  <c r="N548" i="2"/>
  <c r="M548" i="2"/>
  <c r="L548" i="2"/>
  <c r="K548" i="2"/>
  <c r="H548" i="2"/>
  <c r="D548" i="2"/>
  <c r="V547" i="2"/>
  <c r="U547" i="2"/>
  <c r="T547" i="2"/>
  <c r="S547" i="2"/>
  <c r="R547" i="2"/>
  <c r="Q547" i="2"/>
  <c r="P547" i="2"/>
  <c r="O547" i="2"/>
  <c r="N547" i="2"/>
  <c r="M547" i="2"/>
  <c r="L547" i="2"/>
  <c r="K547" i="2"/>
  <c r="H547" i="2"/>
  <c r="D547" i="2"/>
  <c r="V546" i="2"/>
  <c r="U546" i="2"/>
  <c r="T546" i="2"/>
  <c r="S546" i="2"/>
  <c r="R546" i="2"/>
  <c r="Q546" i="2"/>
  <c r="P546" i="2"/>
  <c r="O546" i="2"/>
  <c r="N546" i="2"/>
  <c r="M546" i="2"/>
  <c r="L546" i="2"/>
  <c r="K546" i="2"/>
  <c r="H546" i="2"/>
  <c r="D546" i="2"/>
  <c r="V545" i="2"/>
  <c r="U545" i="2"/>
  <c r="T545" i="2"/>
  <c r="S545" i="2"/>
  <c r="R545" i="2"/>
  <c r="Q545" i="2"/>
  <c r="P545" i="2"/>
  <c r="O545" i="2"/>
  <c r="N545" i="2"/>
  <c r="M545" i="2"/>
  <c r="L545" i="2"/>
  <c r="K545" i="2"/>
  <c r="H545" i="2"/>
  <c r="D545" i="2"/>
  <c r="V544" i="2"/>
  <c r="U544" i="2"/>
  <c r="T544" i="2"/>
  <c r="S544" i="2"/>
  <c r="R544" i="2"/>
  <c r="Q544" i="2"/>
  <c r="P544" i="2"/>
  <c r="O544" i="2"/>
  <c r="N544" i="2"/>
  <c r="M544" i="2"/>
  <c r="L544" i="2"/>
  <c r="K544" i="2"/>
  <c r="H544" i="2"/>
  <c r="D544" i="2"/>
  <c r="V543" i="2"/>
  <c r="U543" i="2"/>
  <c r="T543" i="2"/>
  <c r="S543" i="2"/>
  <c r="R543" i="2"/>
  <c r="Q543" i="2"/>
  <c r="P543" i="2"/>
  <c r="O543" i="2"/>
  <c r="N543" i="2"/>
  <c r="M543" i="2"/>
  <c r="L543" i="2"/>
  <c r="K543" i="2"/>
  <c r="H543" i="2"/>
  <c r="D543" i="2"/>
  <c r="V542" i="2"/>
  <c r="U542" i="2"/>
  <c r="T542" i="2"/>
  <c r="S542" i="2"/>
  <c r="R542" i="2"/>
  <c r="Q542" i="2"/>
  <c r="P542" i="2"/>
  <c r="O542" i="2"/>
  <c r="N542" i="2"/>
  <c r="M542" i="2"/>
  <c r="L542" i="2"/>
  <c r="K542" i="2"/>
  <c r="H542" i="2"/>
  <c r="D542" i="2"/>
  <c r="V541" i="2"/>
  <c r="U541" i="2"/>
  <c r="T541" i="2"/>
  <c r="S541" i="2"/>
  <c r="R541" i="2"/>
  <c r="Q541" i="2"/>
  <c r="P541" i="2"/>
  <c r="O541" i="2"/>
  <c r="N541" i="2"/>
  <c r="M541" i="2"/>
  <c r="L541" i="2"/>
  <c r="K541" i="2"/>
  <c r="H541" i="2"/>
  <c r="D541" i="2"/>
  <c r="V540" i="2"/>
  <c r="U540" i="2"/>
  <c r="T540" i="2"/>
  <c r="S540" i="2"/>
  <c r="R540" i="2"/>
  <c r="Q540" i="2"/>
  <c r="P540" i="2"/>
  <c r="O540" i="2"/>
  <c r="N540" i="2"/>
  <c r="M540" i="2"/>
  <c r="L540" i="2"/>
  <c r="K540" i="2"/>
  <c r="H540" i="2"/>
  <c r="D540" i="2"/>
  <c r="V539" i="2"/>
  <c r="U539" i="2"/>
  <c r="T539" i="2"/>
  <c r="S539" i="2"/>
  <c r="R539" i="2"/>
  <c r="Q539" i="2"/>
  <c r="P539" i="2"/>
  <c r="O539" i="2"/>
  <c r="N539" i="2"/>
  <c r="M539" i="2"/>
  <c r="L539" i="2"/>
  <c r="K539" i="2"/>
  <c r="H539" i="2"/>
  <c r="D539" i="2"/>
  <c r="V538" i="2"/>
  <c r="U538" i="2"/>
  <c r="T538" i="2"/>
  <c r="S538" i="2"/>
  <c r="R538" i="2"/>
  <c r="Q538" i="2"/>
  <c r="P538" i="2"/>
  <c r="O538" i="2"/>
  <c r="N538" i="2"/>
  <c r="M538" i="2"/>
  <c r="L538" i="2"/>
  <c r="K538" i="2"/>
  <c r="H538" i="2"/>
  <c r="D538" i="2"/>
  <c r="V537" i="2"/>
  <c r="U537" i="2"/>
  <c r="T537" i="2"/>
  <c r="S537" i="2"/>
  <c r="R537" i="2"/>
  <c r="Q537" i="2"/>
  <c r="P537" i="2"/>
  <c r="O537" i="2"/>
  <c r="N537" i="2"/>
  <c r="M537" i="2"/>
  <c r="L537" i="2"/>
  <c r="K537" i="2"/>
  <c r="H537" i="2"/>
  <c r="D537" i="2"/>
  <c r="V536" i="2"/>
  <c r="U536" i="2"/>
  <c r="T536" i="2"/>
  <c r="S536" i="2"/>
  <c r="R536" i="2"/>
  <c r="Q536" i="2"/>
  <c r="P536" i="2"/>
  <c r="O536" i="2"/>
  <c r="N536" i="2"/>
  <c r="M536" i="2"/>
  <c r="L536" i="2"/>
  <c r="K536" i="2"/>
  <c r="H536" i="2"/>
  <c r="D536" i="2"/>
  <c r="V535" i="2"/>
  <c r="U535" i="2"/>
  <c r="T535" i="2"/>
  <c r="S535" i="2"/>
  <c r="R535" i="2"/>
  <c r="Q535" i="2"/>
  <c r="P535" i="2"/>
  <c r="O535" i="2"/>
  <c r="N535" i="2"/>
  <c r="M535" i="2"/>
  <c r="L535" i="2"/>
  <c r="K535" i="2"/>
  <c r="H535" i="2"/>
  <c r="D535" i="2"/>
  <c r="V534" i="2"/>
  <c r="U534" i="2"/>
  <c r="T534" i="2"/>
  <c r="S534" i="2"/>
  <c r="R534" i="2"/>
  <c r="Q534" i="2"/>
  <c r="P534" i="2"/>
  <c r="O534" i="2"/>
  <c r="N534" i="2"/>
  <c r="M534" i="2"/>
  <c r="L534" i="2"/>
  <c r="K534" i="2"/>
  <c r="H534" i="2"/>
  <c r="D534" i="2"/>
  <c r="V533" i="2"/>
  <c r="U533" i="2"/>
  <c r="T533" i="2"/>
  <c r="S533" i="2"/>
  <c r="R533" i="2"/>
  <c r="Q533" i="2"/>
  <c r="P533" i="2"/>
  <c r="O533" i="2"/>
  <c r="N533" i="2"/>
  <c r="M533" i="2"/>
  <c r="L533" i="2"/>
  <c r="K533" i="2"/>
  <c r="H533" i="2"/>
  <c r="D533" i="2"/>
  <c r="V532" i="2"/>
  <c r="U532" i="2"/>
  <c r="T532" i="2"/>
  <c r="S532" i="2"/>
  <c r="R532" i="2"/>
  <c r="Q532" i="2"/>
  <c r="P532" i="2"/>
  <c r="O532" i="2"/>
  <c r="N532" i="2"/>
  <c r="M532" i="2"/>
  <c r="L532" i="2"/>
  <c r="K532" i="2"/>
  <c r="H532" i="2"/>
  <c r="D532" i="2"/>
  <c r="V531" i="2"/>
  <c r="U531" i="2"/>
  <c r="T531" i="2"/>
  <c r="S531" i="2"/>
  <c r="R531" i="2"/>
  <c r="Q531" i="2"/>
  <c r="P531" i="2"/>
  <c r="O531" i="2"/>
  <c r="N531" i="2"/>
  <c r="M531" i="2"/>
  <c r="L531" i="2"/>
  <c r="K531" i="2"/>
  <c r="H531" i="2"/>
  <c r="D531" i="2"/>
  <c r="V530" i="2"/>
  <c r="U530" i="2"/>
  <c r="T530" i="2"/>
  <c r="S530" i="2"/>
  <c r="R530" i="2"/>
  <c r="Q530" i="2"/>
  <c r="P530" i="2"/>
  <c r="O530" i="2"/>
  <c r="N530" i="2"/>
  <c r="M530" i="2"/>
  <c r="L530" i="2"/>
  <c r="K530" i="2"/>
  <c r="H530" i="2"/>
  <c r="D530" i="2"/>
  <c r="V529" i="2"/>
  <c r="U529" i="2"/>
  <c r="T529" i="2"/>
  <c r="S529" i="2"/>
  <c r="R529" i="2"/>
  <c r="Q529" i="2"/>
  <c r="P529" i="2"/>
  <c r="O529" i="2"/>
  <c r="N529" i="2"/>
  <c r="M529" i="2"/>
  <c r="L529" i="2"/>
  <c r="K529" i="2"/>
  <c r="H529" i="2"/>
  <c r="D529" i="2"/>
  <c r="V528" i="2"/>
  <c r="U528" i="2"/>
  <c r="T528" i="2"/>
  <c r="S528" i="2"/>
  <c r="R528" i="2"/>
  <c r="Q528" i="2"/>
  <c r="P528" i="2"/>
  <c r="O528" i="2"/>
  <c r="N528" i="2"/>
  <c r="M528" i="2"/>
  <c r="L528" i="2"/>
  <c r="K528" i="2"/>
  <c r="H528" i="2"/>
  <c r="D528" i="2"/>
  <c r="V527" i="2"/>
  <c r="U527" i="2"/>
  <c r="T527" i="2"/>
  <c r="S527" i="2"/>
  <c r="R527" i="2"/>
  <c r="Q527" i="2"/>
  <c r="P527" i="2"/>
  <c r="O527" i="2"/>
  <c r="N527" i="2"/>
  <c r="M527" i="2"/>
  <c r="L527" i="2"/>
  <c r="K527" i="2"/>
  <c r="H527" i="2"/>
  <c r="D527" i="2"/>
  <c r="V526" i="2"/>
  <c r="U526" i="2"/>
  <c r="T526" i="2"/>
  <c r="S526" i="2"/>
  <c r="R526" i="2"/>
  <c r="Q526" i="2"/>
  <c r="P526" i="2"/>
  <c r="O526" i="2"/>
  <c r="N526" i="2"/>
  <c r="M526" i="2"/>
  <c r="L526" i="2"/>
  <c r="K526" i="2"/>
  <c r="H526" i="2"/>
  <c r="D526" i="2"/>
  <c r="V525" i="2"/>
  <c r="U525" i="2"/>
  <c r="T525" i="2"/>
  <c r="S525" i="2"/>
  <c r="R525" i="2"/>
  <c r="Q525" i="2"/>
  <c r="P525" i="2"/>
  <c r="O525" i="2"/>
  <c r="N525" i="2"/>
  <c r="M525" i="2"/>
  <c r="L525" i="2"/>
  <c r="K525" i="2"/>
  <c r="H525" i="2"/>
  <c r="D525" i="2"/>
  <c r="V524" i="2"/>
  <c r="U524" i="2"/>
  <c r="T524" i="2"/>
  <c r="S524" i="2"/>
  <c r="R524" i="2"/>
  <c r="Q524" i="2"/>
  <c r="P524" i="2"/>
  <c r="O524" i="2"/>
  <c r="N524" i="2"/>
  <c r="M524" i="2"/>
  <c r="L524" i="2"/>
  <c r="K524" i="2"/>
  <c r="H524" i="2"/>
  <c r="D524" i="2"/>
  <c r="V523" i="2"/>
  <c r="U523" i="2"/>
  <c r="T523" i="2"/>
  <c r="S523" i="2"/>
  <c r="R523" i="2"/>
  <c r="Q523" i="2"/>
  <c r="P523" i="2"/>
  <c r="O523" i="2"/>
  <c r="N523" i="2"/>
  <c r="M523" i="2"/>
  <c r="L523" i="2"/>
  <c r="K523" i="2"/>
  <c r="H523" i="2"/>
  <c r="D523" i="2"/>
  <c r="V522" i="2"/>
  <c r="U522" i="2"/>
  <c r="T522" i="2"/>
  <c r="S522" i="2"/>
  <c r="R522" i="2"/>
  <c r="Q522" i="2"/>
  <c r="P522" i="2"/>
  <c r="O522" i="2"/>
  <c r="N522" i="2"/>
  <c r="M522" i="2"/>
  <c r="L522" i="2"/>
  <c r="K522" i="2"/>
  <c r="H522" i="2"/>
  <c r="D522" i="2"/>
  <c r="V521" i="2"/>
  <c r="U521" i="2"/>
  <c r="T521" i="2"/>
  <c r="S521" i="2"/>
  <c r="R521" i="2"/>
  <c r="Q521" i="2"/>
  <c r="P521" i="2"/>
  <c r="O521" i="2"/>
  <c r="N521" i="2"/>
  <c r="M521" i="2"/>
  <c r="L521" i="2"/>
  <c r="K521" i="2"/>
  <c r="H521" i="2"/>
  <c r="D521" i="2"/>
  <c r="V520" i="2"/>
  <c r="U520" i="2"/>
  <c r="T520" i="2"/>
  <c r="S520" i="2"/>
  <c r="R520" i="2"/>
  <c r="Q520" i="2"/>
  <c r="P520" i="2"/>
  <c r="O520" i="2"/>
  <c r="N520" i="2"/>
  <c r="M520" i="2"/>
  <c r="L520" i="2"/>
  <c r="K520" i="2"/>
  <c r="H520" i="2"/>
  <c r="D520" i="2"/>
  <c r="V519" i="2"/>
  <c r="U519" i="2"/>
  <c r="T519" i="2"/>
  <c r="S519" i="2"/>
  <c r="R519" i="2"/>
  <c r="Q519" i="2"/>
  <c r="P519" i="2"/>
  <c r="O519" i="2"/>
  <c r="N519" i="2"/>
  <c r="M519" i="2"/>
  <c r="L519" i="2"/>
  <c r="K519" i="2"/>
  <c r="H519" i="2"/>
  <c r="D519" i="2"/>
  <c r="V518" i="2"/>
  <c r="U518" i="2"/>
  <c r="T518" i="2"/>
  <c r="S518" i="2"/>
  <c r="R518" i="2"/>
  <c r="Q518" i="2"/>
  <c r="P518" i="2"/>
  <c r="O518" i="2"/>
  <c r="N518" i="2"/>
  <c r="M518" i="2"/>
  <c r="L518" i="2"/>
  <c r="K518" i="2"/>
  <c r="H518" i="2"/>
  <c r="D518" i="2"/>
  <c r="V517" i="2"/>
  <c r="U517" i="2"/>
  <c r="T517" i="2"/>
  <c r="S517" i="2"/>
  <c r="R517" i="2"/>
  <c r="Q517" i="2"/>
  <c r="P517" i="2"/>
  <c r="O517" i="2"/>
  <c r="N517" i="2"/>
  <c r="M517" i="2"/>
  <c r="L517" i="2"/>
  <c r="K517" i="2"/>
  <c r="H517" i="2"/>
  <c r="D517" i="2"/>
  <c r="V516" i="2"/>
  <c r="U516" i="2"/>
  <c r="T516" i="2"/>
  <c r="S516" i="2"/>
  <c r="R516" i="2"/>
  <c r="Q516" i="2"/>
  <c r="P516" i="2"/>
  <c r="O516" i="2"/>
  <c r="N516" i="2"/>
  <c r="M516" i="2"/>
  <c r="L516" i="2"/>
  <c r="K516" i="2"/>
  <c r="H516" i="2"/>
  <c r="D516" i="2"/>
  <c r="V515" i="2"/>
  <c r="U515" i="2"/>
  <c r="T515" i="2"/>
  <c r="S515" i="2"/>
  <c r="R515" i="2"/>
  <c r="Q515" i="2"/>
  <c r="P515" i="2"/>
  <c r="O515" i="2"/>
  <c r="N515" i="2"/>
  <c r="M515" i="2"/>
  <c r="L515" i="2"/>
  <c r="K515" i="2"/>
  <c r="H515" i="2"/>
  <c r="D515" i="2"/>
  <c r="V514" i="2"/>
  <c r="U514" i="2"/>
  <c r="T514" i="2"/>
  <c r="S514" i="2"/>
  <c r="R514" i="2"/>
  <c r="Q514" i="2"/>
  <c r="P514" i="2"/>
  <c r="O514" i="2"/>
  <c r="N514" i="2"/>
  <c r="M514" i="2"/>
  <c r="L514" i="2"/>
  <c r="K514" i="2"/>
  <c r="H514" i="2"/>
  <c r="D514" i="2"/>
  <c r="V513" i="2"/>
  <c r="U513" i="2"/>
  <c r="T513" i="2"/>
  <c r="S513" i="2"/>
  <c r="R513" i="2"/>
  <c r="Q513" i="2"/>
  <c r="P513" i="2"/>
  <c r="O513" i="2"/>
  <c r="N513" i="2"/>
  <c r="M513" i="2"/>
  <c r="L513" i="2"/>
  <c r="K513" i="2"/>
  <c r="H513" i="2"/>
  <c r="D513" i="2"/>
  <c r="V512" i="2"/>
  <c r="U512" i="2"/>
  <c r="T512" i="2"/>
  <c r="S512" i="2"/>
  <c r="R512" i="2"/>
  <c r="Q512" i="2"/>
  <c r="P512" i="2"/>
  <c r="O512" i="2"/>
  <c r="N512" i="2"/>
  <c r="M512" i="2"/>
  <c r="L512" i="2"/>
  <c r="K512" i="2"/>
  <c r="H512" i="2"/>
  <c r="D512" i="2"/>
  <c r="V511" i="2"/>
  <c r="U511" i="2"/>
  <c r="T511" i="2"/>
  <c r="S511" i="2"/>
  <c r="R511" i="2"/>
  <c r="Q511" i="2"/>
  <c r="P511" i="2"/>
  <c r="O511" i="2"/>
  <c r="N511" i="2"/>
  <c r="M511" i="2"/>
  <c r="L511" i="2"/>
  <c r="K511" i="2"/>
  <c r="H511" i="2"/>
  <c r="D511" i="2"/>
  <c r="V510" i="2"/>
  <c r="U510" i="2"/>
  <c r="T510" i="2"/>
  <c r="S510" i="2"/>
  <c r="R510" i="2"/>
  <c r="Q510" i="2"/>
  <c r="P510" i="2"/>
  <c r="O510" i="2"/>
  <c r="N510" i="2"/>
  <c r="M510" i="2"/>
  <c r="L510" i="2"/>
  <c r="K510" i="2"/>
  <c r="H510" i="2"/>
  <c r="D510" i="2"/>
  <c r="V509" i="2"/>
  <c r="U509" i="2"/>
  <c r="T509" i="2"/>
  <c r="S509" i="2"/>
  <c r="R509" i="2"/>
  <c r="Q509" i="2"/>
  <c r="P509" i="2"/>
  <c r="O509" i="2"/>
  <c r="N509" i="2"/>
  <c r="M509" i="2"/>
  <c r="L509" i="2"/>
  <c r="K509" i="2"/>
  <c r="H509" i="2"/>
  <c r="D509" i="2"/>
  <c r="V508" i="2"/>
  <c r="U508" i="2"/>
  <c r="T508" i="2"/>
  <c r="S508" i="2"/>
  <c r="R508" i="2"/>
  <c r="Q508" i="2"/>
  <c r="P508" i="2"/>
  <c r="O508" i="2"/>
  <c r="N508" i="2"/>
  <c r="M508" i="2"/>
  <c r="L508" i="2"/>
  <c r="K508" i="2"/>
  <c r="H508" i="2"/>
  <c r="D508" i="2"/>
  <c r="V507" i="2"/>
  <c r="U507" i="2"/>
  <c r="T507" i="2"/>
  <c r="S507" i="2"/>
  <c r="R507" i="2"/>
  <c r="Q507" i="2"/>
  <c r="P507" i="2"/>
  <c r="O507" i="2"/>
  <c r="N507" i="2"/>
  <c r="M507" i="2"/>
  <c r="L507" i="2"/>
  <c r="K507" i="2"/>
  <c r="H507" i="2"/>
  <c r="D507" i="2"/>
  <c r="V506" i="2"/>
  <c r="U506" i="2"/>
  <c r="T506" i="2"/>
  <c r="S506" i="2"/>
  <c r="R506" i="2"/>
  <c r="Q506" i="2"/>
  <c r="P506" i="2"/>
  <c r="O506" i="2"/>
  <c r="N506" i="2"/>
  <c r="M506" i="2"/>
  <c r="L506" i="2"/>
  <c r="K506" i="2"/>
  <c r="H506" i="2"/>
  <c r="D506" i="2"/>
  <c r="V505" i="2"/>
  <c r="U505" i="2"/>
  <c r="T505" i="2"/>
  <c r="S505" i="2"/>
  <c r="R505" i="2"/>
  <c r="Q505" i="2"/>
  <c r="P505" i="2"/>
  <c r="O505" i="2"/>
  <c r="N505" i="2"/>
  <c r="M505" i="2"/>
  <c r="L505" i="2"/>
  <c r="K505" i="2"/>
  <c r="H505" i="2"/>
  <c r="D505" i="2"/>
  <c r="V504" i="2"/>
  <c r="U504" i="2"/>
  <c r="T504" i="2"/>
  <c r="S504" i="2"/>
  <c r="R504" i="2"/>
  <c r="Q504" i="2"/>
  <c r="P504" i="2"/>
  <c r="O504" i="2"/>
  <c r="N504" i="2"/>
  <c r="M504" i="2"/>
  <c r="L504" i="2"/>
  <c r="K504" i="2"/>
  <c r="H504" i="2"/>
  <c r="D504" i="2"/>
  <c r="V503" i="2"/>
  <c r="U503" i="2"/>
  <c r="T503" i="2"/>
  <c r="S503" i="2"/>
  <c r="R503" i="2"/>
  <c r="Q503" i="2"/>
  <c r="P503" i="2"/>
  <c r="O503" i="2"/>
  <c r="N503" i="2"/>
  <c r="M503" i="2"/>
  <c r="L503" i="2"/>
  <c r="K503" i="2"/>
  <c r="H503" i="2"/>
  <c r="D503" i="2"/>
  <c r="V502" i="2"/>
  <c r="U502" i="2"/>
  <c r="T502" i="2"/>
  <c r="S502" i="2"/>
  <c r="R502" i="2"/>
  <c r="Q502" i="2"/>
  <c r="P502" i="2"/>
  <c r="O502" i="2"/>
  <c r="N502" i="2"/>
  <c r="M502" i="2"/>
  <c r="L502" i="2"/>
  <c r="K502" i="2"/>
  <c r="H502" i="2"/>
  <c r="D502" i="2"/>
  <c r="V501" i="2"/>
  <c r="U501" i="2"/>
  <c r="T501" i="2"/>
  <c r="S501" i="2"/>
  <c r="R501" i="2"/>
  <c r="Q501" i="2"/>
  <c r="P501" i="2"/>
  <c r="O501" i="2"/>
  <c r="N501" i="2"/>
  <c r="M501" i="2"/>
  <c r="L501" i="2"/>
  <c r="K501" i="2"/>
  <c r="H501" i="2"/>
  <c r="D501" i="2"/>
  <c r="V500" i="2"/>
  <c r="U500" i="2"/>
  <c r="T500" i="2"/>
  <c r="S500" i="2"/>
  <c r="R500" i="2"/>
  <c r="Q500" i="2"/>
  <c r="P500" i="2"/>
  <c r="O500" i="2"/>
  <c r="N500" i="2"/>
  <c r="M500" i="2"/>
  <c r="L500" i="2"/>
  <c r="K500" i="2"/>
  <c r="H500" i="2"/>
  <c r="D500" i="2"/>
  <c r="V499" i="2"/>
  <c r="U499" i="2"/>
  <c r="T499" i="2"/>
  <c r="S499" i="2"/>
  <c r="R499" i="2"/>
  <c r="Q499" i="2"/>
  <c r="P499" i="2"/>
  <c r="O499" i="2"/>
  <c r="N499" i="2"/>
  <c r="M499" i="2"/>
  <c r="L499" i="2"/>
  <c r="K499" i="2"/>
  <c r="H499" i="2"/>
  <c r="D499" i="2"/>
  <c r="V498" i="2"/>
  <c r="U498" i="2"/>
  <c r="T498" i="2"/>
  <c r="S498" i="2"/>
  <c r="R498" i="2"/>
  <c r="Q498" i="2"/>
  <c r="P498" i="2"/>
  <c r="O498" i="2"/>
  <c r="N498" i="2"/>
  <c r="M498" i="2"/>
  <c r="L498" i="2"/>
  <c r="K498" i="2"/>
  <c r="H498" i="2"/>
  <c r="D498" i="2"/>
  <c r="V497" i="2"/>
  <c r="U497" i="2"/>
  <c r="T497" i="2"/>
  <c r="S497" i="2"/>
  <c r="R497" i="2"/>
  <c r="Q497" i="2"/>
  <c r="P497" i="2"/>
  <c r="O497" i="2"/>
  <c r="N497" i="2"/>
  <c r="M497" i="2"/>
  <c r="L497" i="2"/>
  <c r="K497" i="2"/>
  <c r="H497" i="2"/>
  <c r="D497" i="2"/>
  <c r="V496" i="2"/>
  <c r="U496" i="2"/>
  <c r="T496" i="2"/>
  <c r="S496" i="2"/>
  <c r="R496" i="2"/>
  <c r="Q496" i="2"/>
  <c r="P496" i="2"/>
  <c r="O496" i="2"/>
  <c r="N496" i="2"/>
  <c r="M496" i="2"/>
  <c r="L496" i="2"/>
  <c r="K496" i="2"/>
  <c r="H496" i="2"/>
  <c r="D496" i="2"/>
  <c r="V495" i="2"/>
  <c r="U495" i="2"/>
  <c r="T495" i="2"/>
  <c r="S495" i="2"/>
  <c r="R495" i="2"/>
  <c r="Q495" i="2"/>
  <c r="P495" i="2"/>
  <c r="O495" i="2"/>
  <c r="N495" i="2"/>
  <c r="M495" i="2"/>
  <c r="L495" i="2"/>
  <c r="K495" i="2"/>
  <c r="H495" i="2"/>
  <c r="D495" i="2"/>
  <c r="V494" i="2"/>
  <c r="U494" i="2"/>
  <c r="T494" i="2"/>
  <c r="S494" i="2"/>
  <c r="R494" i="2"/>
  <c r="Q494" i="2"/>
  <c r="P494" i="2"/>
  <c r="O494" i="2"/>
  <c r="N494" i="2"/>
  <c r="M494" i="2"/>
  <c r="L494" i="2"/>
  <c r="K494" i="2"/>
  <c r="H494" i="2"/>
  <c r="D494" i="2"/>
  <c r="V493" i="2"/>
  <c r="U493" i="2"/>
  <c r="T493" i="2"/>
  <c r="S493" i="2"/>
  <c r="R493" i="2"/>
  <c r="Q493" i="2"/>
  <c r="P493" i="2"/>
  <c r="O493" i="2"/>
  <c r="N493" i="2"/>
  <c r="M493" i="2"/>
  <c r="L493" i="2"/>
  <c r="K493" i="2"/>
  <c r="H493" i="2"/>
  <c r="D493" i="2"/>
  <c r="V492" i="2"/>
  <c r="U492" i="2"/>
  <c r="T492" i="2"/>
  <c r="S492" i="2"/>
  <c r="R492" i="2"/>
  <c r="Q492" i="2"/>
  <c r="P492" i="2"/>
  <c r="O492" i="2"/>
  <c r="N492" i="2"/>
  <c r="M492" i="2"/>
  <c r="L492" i="2"/>
  <c r="K492" i="2"/>
  <c r="H492" i="2"/>
  <c r="D492" i="2"/>
  <c r="V491" i="2"/>
  <c r="U491" i="2"/>
  <c r="T491" i="2"/>
  <c r="S491" i="2"/>
  <c r="R491" i="2"/>
  <c r="Q491" i="2"/>
  <c r="P491" i="2"/>
  <c r="O491" i="2"/>
  <c r="N491" i="2"/>
  <c r="M491" i="2"/>
  <c r="L491" i="2"/>
  <c r="K491" i="2"/>
  <c r="H491" i="2"/>
  <c r="D491" i="2"/>
  <c r="V490" i="2"/>
  <c r="U490" i="2"/>
  <c r="T490" i="2"/>
  <c r="S490" i="2"/>
  <c r="R490" i="2"/>
  <c r="Q490" i="2"/>
  <c r="P490" i="2"/>
  <c r="O490" i="2"/>
  <c r="N490" i="2"/>
  <c r="M490" i="2"/>
  <c r="L490" i="2"/>
  <c r="K490" i="2"/>
  <c r="H490" i="2"/>
  <c r="D490" i="2"/>
  <c r="V489" i="2"/>
  <c r="U489" i="2"/>
  <c r="T489" i="2"/>
  <c r="S489" i="2"/>
  <c r="R489" i="2"/>
  <c r="Q489" i="2"/>
  <c r="P489" i="2"/>
  <c r="O489" i="2"/>
  <c r="N489" i="2"/>
  <c r="M489" i="2"/>
  <c r="L489" i="2"/>
  <c r="K489" i="2"/>
  <c r="H489" i="2"/>
  <c r="D489" i="2"/>
  <c r="V488" i="2"/>
  <c r="U488" i="2"/>
  <c r="T488" i="2"/>
  <c r="S488" i="2"/>
  <c r="R488" i="2"/>
  <c r="Q488" i="2"/>
  <c r="P488" i="2"/>
  <c r="O488" i="2"/>
  <c r="N488" i="2"/>
  <c r="M488" i="2"/>
  <c r="L488" i="2"/>
  <c r="K488" i="2"/>
  <c r="H488" i="2"/>
  <c r="D488" i="2"/>
  <c r="V487" i="2"/>
  <c r="U487" i="2"/>
  <c r="T487" i="2"/>
  <c r="S487" i="2"/>
  <c r="R487" i="2"/>
  <c r="Q487" i="2"/>
  <c r="P487" i="2"/>
  <c r="O487" i="2"/>
  <c r="N487" i="2"/>
  <c r="M487" i="2"/>
  <c r="L487" i="2"/>
  <c r="K487" i="2"/>
  <c r="H487" i="2"/>
  <c r="D487" i="2"/>
  <c r="V486" i="2"/>
  <c r="U486" i="2"/>
  <c r="T486" i="2"/>
  <c r="S486" i="2"/>
  <c r="R486" i="2"/>
  <c r="Q486" i="2"/>
  <c r="P486" i="2"/>
  <c r="O486" i="2"/>
  <c r="N486" i="2"/>
  <c r="M486" i="2"/>
  <c r="L486" i="2"/>
  <c r="K486" i="2"/>
  <c r="H486" i="2"/>
  <c r="D486" i="2"/>
  <c r="V485" i="2"/>
  <c r="U485" i="2"/>
  <c r="T485" i="2"/>
  <c r="S485" i="2"/>
  <c r="R485" i="2"/>
  <c r="Q485" i="2"/>
  <c r="P485" i="2"/>
  <c r="O485" i="2"/>
  <c r="N485" i="2"/>
  <c r="M485" i="2"/>
  <c r="L485" i="2"/>
  <c r="K485" i="2"/>
  <c r="H485" i="2"/>
  <c r="D485" i="2"/>
  <c r="V484" i="2"/>
  <c r="U484" i="2"/>
  <c r="T484" i="2"/>
  <c r="S484" i="2"/>
  <c r="R484" i="2"/>
  <c r="Q484" i="2"/>
  <c r="P484" i="2"/>
  <c r="O484" i="2"/>
  <c r="N484" i="2"/>
  <c r="M484" i="2"/>
  <c r="L484" i="2"/>
  <c r="K484" i="2"/>
  <c r="H484" i="2"/>
  <c r="D484" i="2"/>
  <c r="V483" i="2"/>
  <c r="U483" i="2"/>
  <c r="T483" i="2"/>
  <c r="S483" i="2"/>
  <c r="R483" i="2"/>
  <c r="Q483" i="2"/>
  <c r="P483" i="2"/>
  <c r="O483" i="2"/>
  <c r="N483" i="2"/>
  <c r="M483" i="2"/>
  <c r="L483" i="2"/>
  <c r="K483" i="2"/>
  <c r="H483" i="2"/>
  <c r="D483" i="2"/>
  <c r="V482" i="2"/>
  <c r="U482" i="2"/>
  <c r="T482" i="2"/>
  <c r="S482" i="2"/>
  <c r="R482" i="2"/>
  <c r="Q482" i="2"/>
  <c r="P482" i="2"/>
  <c r="O482" i="2"/>
  <c r="N482" i="2"/>
  <c r="M482" i="2"/>
  <c r="L482" i="2"/>
  <c r="K482" i="2"/>
  <c r="H482" i="2"/>
  <c r="D482" i="2"/>
  <c r="V481" i="2"/>
  <c r="U481" i="2"/>
  <c r="T481" i="2"/>
  <c r="S481" i="2"/>
  <c r="R481" i="2"/>
  <c r="Q481" i="2"/>
  <c r="P481" i="2"/>
  <c r="O481" i="2"/>
  <c r="N481" i="2"/>
  <c r="M481" i="2"/>
  <c r="L481" i="2"/>
  <c r="K481" i="2"/>
  <c r="H481" i="2"/>
  <c r="D481" i="2"/>
  <c r="V480" i="2"/>
  <c r="U480" i="2"/>
  <c r="T480" i="2"/>
  <c r="S480" i="2"/>
  <c r="R480" i="2"/>
  <c r="Q480" i="2"/>
  <c r="P480" i="2"/>
  <c r="O480" i="2"/>
  <c r="N480" i="2"/>
  <c r="M480" i="2"/>
  <c r="L480" i="2"/>
  <c r="K480" i="2"/>
  <c r="H480" i="2"/>
  <c r="D480" i="2"/>
  <c r="V479" i="2"/>
  <c r="U479" i="2"/>
  <c r="T479" i="2"/>
  <c r="S479" i="2"/>
  <c r="R479" i="2"/>
  <c r="Q479" i="2"/>
  <c r="P479" i="2"/>
  <c r="O479" i="2"/>
  <c r="N479" i="2"/>
  <c r="M479" i="2"/>
  <c r="L479" i="2"/>
  <c r="K479" i="2"/>
  <c r="H479" i="2"/>
  <c r="D479" i="2"/>
  <c r="V478" i="2"/>
  <c r="U478" i="2"/>
  <c r="T478" i="2"/>
  <c r="S478" i="2"/>
  <c r="R478" i="2"/>
  <c r="Q478" i="2"/>
  <c r="P478" i="2"/>
  <c r="O478" i="2"/>
  <c r="N478" i="2"/>
  <c r="M478" i="2"/>
  <c r="L478" i="2"/>
  <c r="K478" i="2"/>
  <c r="H478" i="2"/>
  <c r="D478" i="2"/>
  <c r="V477" i="2"/>
  <c r="U477" i="2"/>
  <c r="T477" i="2"/>
  <c r="S477" i="2"/>
  <c r="R477" i="2"/>
  <c r="Q477" i="2"/>
  <c r="P477" i="2"/>
  <c r="O477" i="2"/>
  <c r="N477" i="2"/>
  <c r="M477" i="2"/>
  <c r="L477" i="2"/>
  <c r="K477" i="2"/>
  <c r="H477" i="2"/>
  <c r="D477" i="2"/>
  <c r="V476" i="2"/>
  <c r="U476" i="2"/>
  <c r="T476" i="2"/>
  <c r="S476" i="2"/>
  <c r="R476" i="2"/>
  <c r="Q476" i="2"/>
  <c r="P476" i="2"/>
  <c r="O476" i="2"/>
  <c r="N476" i="2"/>
  <c r="M476" i="2"/>
  <c r="L476" i="2"/>
  <c r="K476" i="2"/>
  <c r="H476" i="2"/>
  <c r="D476" i="2"/>
  <c r="V475" i="2"/>
  <c r="U475" i="2"/>
  <c r="T475" i="2"/>
  <c r="S475" i="2"/>
  <c r="R475" i="2"/>
  <c r="Q475" i="2"/>
  <c r="P475" i="2"/>
  <c r="O475" i="2"/>
  <c r="N475" i="2"/>
  <c r="M475" i="2"/>
  <c r="L475" i="2"/>
  <c r="K475" i="2"/>
  <c r="H475" i="2"/>
  <c r="D475" i="2"/>
  <c r="V474" i="2"/>
  <c r="U474" i="2"/>
  <c r="T474" i="2"/>
  <c r="S474" i="2"/>
  <c r="R474" i="2"/>
  <c r="Q474" i="2"/>
  <c r="P474" i="2"/>
  <c r="O474" i="2"/>
  <c r="N474" i="2"/>
  <c r="M474" i="2"/>
  <c r="L474" i="2"/>
  <c r="K474" i="2"/>
  <c r="H474" i="2"/>
  <c r="D474" i="2"/>
  <c r="V473" i="2"/>
  <c r="U473" i="2"/>
  <c r="T473" i="2"/>
  <c r="S473" i="2"/>
  <c r="R473" i="2"/>
  <c r="Q473" i="2"/>
  <c r="P473" i="2"/>
  <c r="O473" i="2"/>
  <c r="N473" i="2"/>
  <c r="M473" i="2"/>
  <c r="L473" i="2"/>
  <c r="K473" i="2"/>
  <c r="H473" i="2"/>
  <c r="D473" i="2"/>
  <c r="V472" i="2"/>
  <c r="U472" i="2"/>
  <c r="T472" i="2"/>
  <c r="S472" i="2"/>
  <c r="R472" i="2"/>
  <c r="Q472" i="2"/>
  <c r="P472" i="2"/>
  <c r="O472" i="2"/>
  <c r="N472" i="2"/>
  <c r="M472" i="2"/>
  <c r="L472" i="2"/>
  <c r="K472" i="2"/>
  <c r="H472" i="2"/>
  <c r="D472" i="2"/>
  <c r="V471" i="2"/>
  <c r="U471" i="2"/>
  <c r="T471" i="2"/>
  <c r="S471" i="2"/>
  <c r="R471" i="2"/>
  <c r="Q471" i="2"/>
  <c r="P471" i="2"/>
  <c r="O471" i="2"/>
  <c r="N471" i="2"/>
  <c r="M471" i="2"/>
  <c r="L471" i="2"/>
  <c r="K471" i="2"/>
  <c r="H471" i="2"/>
  <c r="D471" i="2"/>
  <c r="V470" i="2"/>
  <c r="U470" i="2"/>
  <c r="T470" i="2"/>
  <c r="S470" i="2"/>
  <c r="R470" i="2"/>
  <c r="Q470" i="2"/>
  <c r="P470" i="2"/>
  <c r="O470" i="2"/>
  <c r="N470" i="2"/>
  <c r="M470" i="2"/>
  <c r="L470" i="2"/>
  <c r="K470" i="2"/>
  <c r="H470" i="2"/>
  <c r="D470" i="2"/>
  <c r="V469" i="2"/>
  <c r="U469" i="2"/>
  <c r="T469" i="2"/>
  <c r="S469" i="2"/>
  <c r="R469" i="2"/>
  <c r="Q469" i="2"/>
  <c r="P469" i="2"/>
  <c r="O469" i="2"/>
  <c r="N469" i="2"/>
  <c r="M469" i="2"/>
  <c r="L469" i="2"/>
  <c r="K469" i="2"/>
  <c r="H469" i="2"/>
  <c r="D469" i="2"/>
  <c r="V468" i="2"/>
  <c r="U468" i="2"/>
  <c r="T468" i="2"/>
  <c r="S468" i="2"/>
  <c r="R468" i="2"/>
  <c r="Q468" i="2"/>
  <c r="P468" i="2"/>
  <c r="O468" i="2"/>
  <c r="N468" i="2"/>
  <c r="M468" i="2"/>
  <c r="L468" i="2"/>
  <c r="K468" i="2"/>
  <c r="H468" i="2"/>
  <c r="D468" i="2"/>
  <c r="V467" i="2"/>
  <c r="U467" i="2"/>
  <c r="T467" i="2"/>
  <c r="S467" i="2"/>
  <c r="R467" i="2"/>
  <c r="Q467" i="2"/>
  <c r="P467" i="2"/>
  <c r="O467" i="2"/>
  <c r="N467" i="2"/>
  <c r="M467" i="2"/>
  <c r="L467" i="2"/>
  <c r="K467" i="2"/>
  <c r="H467" i="2"/>
  <c r="D467" i="2"/>
  <c r="V466" i="2"/>
  <c r="U466" i="2"/>
  <c r="T466" i="2"/>
  <c r="S466" i="2"/>
  <c r="R466" i="2"/>
  <c r="Q466" i="2"/>
  <c r="P466" i="2"/>
  <c r="O466" i="2"/>
  <c r="N466" i="2"/>
  <c r="M466" i="2"/>
  <c r="L466" i="2"/>
  <c r="K466" i="2"/>
  <c r="H466" i="2"/>
  <c r="D466" i="2"/>
  <c r="V465" i="2"/>
  <c r="U465" i="2"/>
  <c r="T465" i="2"/>
  <c r="S465" i="2"/>
  <c r="R465" i="2"/>
  <c r="Q465" i="2"/>
  <c r="P465" i="2"/>
  <c r="O465" i="2"/>
  <c r="N465" i="2"/>
  <c r="M465" i="2"/>
  <c r="L465" i="2"/>
  <c r="K465" i="2"/>
  <c r="H465" i="2"/>
  <c r="D465" i="2"/>
  <c r="V464" i="2"/>
  <c r="U464" i="2"/>
  <c r="T464" i="2"/>
  <c r="S464" i="2"/>
  <c r="R464" i="2"/>
  <c r="Q464" i="2"/>
  <c r="P464" i="2"/>
  <c r="O464" i="2"/>
  <c r="N464" i="2"/>
  <c r="M464" i="2"/>
  <c r="L464" i="2"/>
  <c r="K464" i="2"/>
  <c r="H464" i="2"/>
  <c r="D464" i="2"/>
  <c r="V463" i="2"/>
  <c r="U463" i="2"/>
  <c r="T463" i="2"/>
  <c r="S463" i="2"/>
  <c r="R463" i="2"/>
  <c r="Q463" i="2"/>
  <c r="P463" i="2"/>
  <c r="O463" i="2"/>
  <c r="N463" i="2"/>
  <c r="M463" i="2"/>
  <c r="L463" i="2"/>
  <c r="K463" i="2"/>
  <c r="H463" i="2"/>
  <c r="D463" i="2"/>
  <c r="V462" i="2"/>
  <c r="U462" i="2"/>
  <c r="T462" i="2"/>
  <c r="S462" i="2"/>
  <c r="R462" i="2"/>
  <c r="Q462" i="2"/>
  <c r="P462" i="2"/>
  <c r="O462" i="2"/>
  <c r="N462" i="2"/>
  <c r="M462" i="2"/>
  <c r="L462" i="2"/>
  <c r="K462" i="2"/>
  <c r="H462" i="2"/>
  <c r="D462" i="2"/>
  <c r="V461" i="2"/>
  <c r="U461" i="2"/>
  <c r="T461" i="2"/>
  <c r="S461" i="2"/>
  <c r="R461" i="2"/>
  <c r="Q461" i="2"/>
  <c r="P461" i="2"/>
  <c r="O461" i="2"/>
  <c r="N461" i="2"/>
  <c r="M461" i="2"/>
  <c r="L461" i="2"/>
  <c r="K461" i="2"/>
  <c r="H461" i="2"/>
  <c r="D461" i="2"/>
  <c r="V460" i="2"/>
  <c r="U460" i="2"/>
  <c r="T460" i="2"/>
  <c r="S460" i="2"/>
  <c r="R460" i="2"/>
  <c r="Q460" i="2"/>
  <c r="P460" i="2"/>
  <c r="O460" i="2"/>
  <c r="N460" i="2"/>
  <c r="M460" i="2"/>
  <c r="L460" i="2"/>
  <c r="K460" i="2"/>
  <c r="H460" i="2"/>
  <c r="D460" i="2"/>
  <c r="V459" i="2"/>
  <c r="U459" i="2"/>
  <c r="T459" i="2"/>
  <c r="S459" i="2"/>
  <c r="R459" i="2"/>
  <c r="Q459" i="2"/>
  <c r="P459" i="2"/>
  <c r="O459" i="2"/>
  <c r="N459" i="2"/>
  <c r="M459" i="2"/>
  <c r="L459" i="2"/>
  <c r="K459" i="2"/>
  <c r="H459" i="2"/>
  <c r="D459" i="2"/>
  <c r="V458" i="2"/>
  <c r="U458" i="2"/>
  <c r="T458" i="2"/>
  <c r="S458" i="2"/>
  <c r="R458" i="2"/>
  <c r="Q458" i="2"/>
  <c r="P458" i="2"/>
  <c r="O458" i="2"/>
  <c r="N458" i="2"/>
  <c r="M458" i="2"/>
  <c r="L458" i="2"/>
  <c r="K458" i="2"/>
  <c r="H458" i="2"/>
  <c r="D458" i="2"/>
  <c r="V457" i="2"/>
  <c r="U457" i="2"/>
  <c r="T457" i="2"/>
  <c r="S457" i="2"/>
  <c r="R457" i="2"/>
  <c r="Q457" i="2"/>
  <c r="P457" i="2"/>
  <c r="O457" i="2"/>
  <c r="N457" i="2"/>
  <c r="M457" i="2"/>
  <c r="L457" i="2"/>
  <c r="K457" i="2"/>
  <c r="H457" i="2"/>
  <c r="D457" i="2"/>
  <c r="V456" i="2"/>
  <c r="U456" i="2"/>
  <c r="T456" i="2"/>
  <c r="S456" i="2"/>
  <c r="R456" i="2"/>
  <c r="Q456" i="2"/>
  <c r="P456" i="2"/>
  <c r="O456" i="2"/>
  <c r="N456" i="2"/>
  <c r="M456" i="2"/>
  <c r="L456" i="2"/>
  <c r="K456" i="2"/>
  <c r="H456" i="2"/>
  <c r="D456" i="2"/>
  <c r="V455" i="2"/>
  <c r="U455" i="2"/>
  <c r="T455" i="2"/>
  <c r="S455" i="2"/>
  <c r="R455" i="2"/>
  <c r="Q455" i="2"/>
  <c r="P455" i="2"/>
  <c r="O455" i="2"/>
  <c r="N455" i="2"/>
  <c r="M455" i="2"/>
  <c r="L455" i="2"/>
  <c r="K455" i="2"/>
  <c r="H455" i="2"/>
  <c r="D455" i="2"/>
  <c r="V454" i="2"/>
  <c r="U454" i="2"/>
  <c r="T454" i="2"/>
  <c r="S454" i="2"/>
  <c r="R454" i="2"/>
  <c r="Q454" i="2"/>
  <c r="P454" i="2"/>
  <c r="O454" i="2"/>
  <c r="N454" i="2"/>
  <c r="M454" i="2"/>
  <c r="L454" i="2"/>
  <c r="K454" i="2"/>
  <c r="H454" i="2"/>
  <c r="D454" i="2"/>
  <c r="V453" i="2"/>
  <c r="U453" i="2"/>
  <c r="T453" i="2"/>
  <c r="S453" i="2"/>
  <c r="R453" i="2"/>
  <c r="Q453" i="2"/>
  <c r="P453" i="2"/>
  <c r="O453" i="2"/>
  <c r="N453" i="2"/>
  <c r="M453" i="2"/>
  <c r="L453" i="2"/>
  <c r="K453" i="2"/>
  <c r="H453" i="2"/>
  <c r="D453" i="2"/>
  <c r="V452" i="2"/>
  <c r="U452" i="2"/>
  <c r="T452" i="2"/>
  <c r="S452" i="2"/>
  <c r="R452" i="2"/>
  <c r="Q452" i="2"/>
  <c r="P452" i="2"/>
  <c r="O452" i="2"/>
  <c r="N452" i="2"/>
  <c r="M452" i="2"/>
  <c r="L452" i="2"/>
  <c r="K452" i="2"/>
  <c r="H452" i="2"/>
  <c r="D452" i="2"/>
  <c r="V451" i="2"/>
  <c r="U451" i="2"/>
  <c r="T451" i="2"/>
  <c r="S451" i="2"/>
  <c r="R451" i="2"/>
  <c r="Q451" i="2"/>
  <c r="P451" i="2"/>
  <c r="O451" i="2"/>
  <c r="N451" i="2"/>
  <c r="M451" i="2"/>
  <c r="L451" i="2"/>
  <c r="K451" i="2"/>
  <c r="H451" i="2"/>
  <c r="D451" i="2"/>
  <c r="V450" i="2"/>
  <c r="U450" i="2"/>
  <c r="T450" i="2"/>
  <c r="S450" i="2"/>
  <c r="R450" i="2"/>
  <c r="Q450" i="2"/>
  <c r="P450" i="2"/>
  <c r="O450" i="2"/>
  <c r="N450" i="2"/>
  <c r="M450" i="2"/>
  <c r="L450" i="2"/>
  <c r="K450" i="2"/>
  <c r="H450" i="2"/>
  <c r="D450" i="2"/>
  <c r="V449" i="2"/>
  <c r="U449" i="2"/>
  <c r="T449" i="2"/>
  <c r="S449" i="2"/>
  <c r="R449" i="2"/>
  <c r="Q449" i="2"/>
  <c r="P449" i="2"/>
  <c r="O449" i="2"/>
  <c r="N449" i="2"/>
  <c r="M449" i="2"/>
  <c r="L449" i="2"/>
  <c r="K449" i="2"/>
  <c r="H449" i="2"/>
  <c r="D449" i="2"/>
  <c r="V448" i="2"/>
  <c r="U448" i="2"/>
  <c r="T448" i="2"/>
  <c r="S448" i="2"/>
  <c r="R448" i="2"/>
  <c r="Q448" i="2"/>
  <c r="P448" i="2"/>
  <c r="O448" i="2"/>
  <c r="N448" i="2"/>
  <c r="M448" i="2"/>
  <c r="L448" i="2"/>
  <c r="K448" i="2"/>
  <c r="H448" i="2"/>
  <c r="D448" i="2"/>
  <c r="V447" i="2"/>
  <c r="U447" i="2"/>
  <c r="T447" i="2"/>
  <c r="S447" i="2"/>
  <c r="R447" i="2"/>
  <c r="Q447" i="2"/>
  <c r="P447" i="2"/>
  <c r="O447" i="2"/>
  <c r="N447" i="2"/>
  <c r="M447" i="2"/>
  <c r="L447" i="2"/>
  <c r="K447" i="2"/>
  <c r="H447" i="2"/>
  <c r="D447" i="2"/>
  <c r="V446" i="2"/>
  <c r="U446" i="2"/>
  <c r="T446" i="2"/>
  <c r="S446" i="2"/>
  <c r="R446" i="2"/>
  <c r="Q446" i="2"/>
  <c r="P446" i="2"/>
  <c r="O446" i="2"/>
  <c r="N446" i="2"/>
  <c r="M446" i="2"/>
  <c r="L446" i="2"/>
  <c r="K446" i="2"/>
  <c r="H446" i="2"/>
  <c r="D446" i="2"/>
  <c r="V445" i="2"/>
  <c r="U445" i="2"/>
  <c r="T445" i="2"/>
  <c r="S445" i="2"/>
  <c r="R445" i="2"/>
  <c r="Q445" i="2"/>
  <c r="P445" i="2"/>
  <c r="O445" i="2"/>
  <c r="N445" i="2"/>
  <c r="M445" i="2"/>
  <c r="L445" i="2"/>
  <c r="K445" i="2"/>
  <c r="H445" i="2"/>
  <c r="D445" i="2"/>
  <c r="V444" i="2"/>
  <c r="U444" i="2"/>
  <c r="T444" i="2"/>
  <c r="S444" i="2"/>
  <c r="R444" i="2"/>
  <c r="Q444" i="2"/>
  <c r="P444" i="2"/>
  <c r="O444" i="2"/>
  <c r="N444" i="2"/>
  <c r="M444" i="2"/>
  <c r="L444" i="2"/>
  <c r="K444" i="2"/>
  <c r="H444" i="2"/>
  <c r="D444" i="2"/>
  <c r="V443" i="2"/>
  <c r="U443" i="2"/>
  <c r="T443" i="2"/>
  <c r="S443" i="2"/>
  <c r="R443" i="2"/>
  <c r="Q443" i="2"/>
  <c r="P443" i="2"/>
  <c r="O443" i="2"/>
  <c r="N443" i="2"/>
  <c r="M443" i="2"/>
  <c r="L443" i="2"/>
  <c r="K443" i="2"/>
  <c r="H443" i="2"/>
  <c r="D443" i="2"/>
  <c r="V442" i="2"/>
  <c r="U442" i="2"/>
  <c r="T442" i="2"/>
  <c r="S442" i="2"/>
  <c r="R442" i="2"/>
  <c r="Q442" i="2"/>
  <c r="P442" i="2"/>
  <c r="O442" i="2"/>
  <c r="N442" i="2"/>
  <c r="M442" i="2"/>
  <c r="L442" i="2"/>
  <c r="K442" i="2"/>
  <c r="H442" i="2"/>
  <c r="D442" i="2"/>
  <c r="V441" i="2"/>
  <c r="U441" i="2"/>
  <c r="T441" i="2"/>
  <c r="S441" i="2"/>
  <c r="R441" i="2"/>
  <c r="Q441" i="2"/>
  <c r="P441" i="2"/>
  <c r="O441" i="2"/>
  <c r="N441" i="2"/>
  <c r="M441" i="2"/>
  <c r="L441" i="2"/>
  <c r="K441" i="2"/>
  <c r="H441" i="2"/>
  <c r="D441" i="2"/>
  <c r="V440" i="2"/>
  <c r="U440" i="2"/>
  <c r="T440" i="2"/>
  <c r="S440" i="2"/>
  <c r="R440" i="2"/>
  <c r="Q440" i="2"/>
  <c r="P440" i="2"/>
  <c r="O440" i="2"/>
  <c r="N440" i="2"/>
  <c r="M440" i="2"/>
  <c r="L440" i="2"/>
  <c r="K440" i="2"/>
  <c r="H440" i="2"/>
  <c r="D440" i="2"/>
  <c r="V439" i="2"/>
  <c r="U439" i="2"/>
  <c r="T439" i="2"/>
  <c r="S439" i="2"/>
  <c r="R439" i="2"/>
  <c r="Q439" i="2"/>
  <c r="P439" i="2"/>
  <c r="O439" i="2"/>
  <c r="N439" i="2"/>
  <c r="M439" i="2"/>
  <c r="L439" i="2"/>
  <c r="K439" i="2"/>
  <c r="H439" i="2"/>
  <c r="D439" i="2"/>
  <c r="V438" i="2"/>
  <c r="U438" i="2"/>
  <c r="T438" i="2"/>
  <c r="S438" i="2"/>
  <c r="R438" i="2"/>
  <c r="Q438" i="2"/>
  <c r="P438" i="2"/>
  <c r="O438" i="2"/>
  <c r="N438" i="2"/>
  <c r="M438" i="2"/>
  <c r="L438" i="2"/>
  <c r="K438" i="2"/>
  <c r="H438" i="2"/>
  <c r="D438" i="2"/>
  <c r="V437" i="2"/>
  <c r="U437" i="2"/>
  <c r="T437" i="2"/>
  <c r="S437" i="2"/>
  <c r="R437" i="2"/>
  <c r="Q437" i="2"/>
  <c r="P437" i="2"/>
  <c r="O437" i="2"/>
  <c r="N437" i="2"/>
  <c r="M437" i="2"/>
  <c r="L437" i="2"/>
  <c r="K437" i="2"/>
  <c r="H437" i="2"/>
  <c r="D437" i="2"/>
  <c r="V436" i="2"/>
  <c r="U436" i="2"/>
  <c r="T436" i="2"/>
  <c r="S436" i="2"/>
  <c r="R436" i="2"/>
  <c r="Q436" i="2"/>
  <c r="P436" i="2"/>
  <c r="O436" i="2"/>
  <c r="N436" i="2"/>
  <c r="M436" i="2"/>
  <c r="L436" i="2"/>
  <c r="K436" i="2"/>
  <c r="H436" i="2"/>
  <c r="D436" i="2"/>
  <c r="V435" i="2"/>
  <c r="U435" i="2"/>
  <c r="T435" i="2"/>
  <c r="S435" i="2"/>
  <c r="R435" i="2"/>
  <c r="Q435" i="2"/>
  <c r="P435" i="2"/>
  <c r="O435" i="2"/>
  <c r="N435" i="2"/>
  <c r="M435" i="2"/>
  <c r="L435" i="2"/>
  <c r="K435" i="2"/>
  <c r="H435" i="2"/>
  <c r="D435" i="2"/>
  <c r="V434" i="2"/>
  <c r="U434" i="2"/>
  <c r="T434" i="2"/>
  <c r="S434" i="2"/>
  <c r="R434" i="2"/>
  <c r="Q434" i="2"/>
  <c r="P434" i="2"/>
  <c r="O434" i="2"/>
  <c r="N434" i="2"/>
  <c r="M434" i="2"/>
  <c r="L434" i="2"/>
  <c r="K434" i="2"/>
  <c r="H434" i="2"/>
  <c r="D434" i="2"/>
  <c r="V433" i="2"/>
  <c r="U433" i="2"/>
  <c r="T433" i="2"/>
  <c r="S433" i="2"/>
  <c r="R433" i="2"/>
  <c r="Q433" i="2"/>
  <c r="P433" i="2"/>
  <c r="O433" i="2"/>
  <c r="N433" i="2"/>
  <c r="M433" i="2"/>
  <c r="L433" i="2"/>
  <c r="K433" i="2"/>
  <c r="H433" i="2"/>
  <c r="D433" i="2"/>
  <c r="V432" i="2"/>
  <c r="U432" i="2"/>
  <c r="T432" i="2"/>
  <c r="S432" i="2"/>
  <c r="R432" i="2"/>
  <c r="Q432" i="2"/>
  <c r="P432" i="2"/>
  <c r="O432" i="2"/>
  <c r="N432" i="2"/>
  <c r="M432" i="2"/>
  <c r="L432" i="2"/>
  <c r="K432" i="2"/>
  <c r="H432" i="2"/>
  <c r="D432" i="2"/>
  <c r="V431" i="2"/>
  <c r="U431" i="2"/>
  <c r="T431" i="2"/>
  <c r="S431" i="2"/>
  <c r="R431" i="2"/>
  <c r="Q431" i="2"/>
  <c r="P431" i="2"/>
  <c r="O431" i="2"/>
  <c r="N431" i="2"/>
  <c r="M431" i="2"/>
  <c r="L431" i="2"/>
  <c r="K431" i="2"/>
  <c r="H431" i="2"/>
  <c r="D431" i="2"/>
  <c r="V430" i="2"/>
  <c r="U430" i="2"/>
  <c r="T430" i="2"/>
  <c r="S430" i="2"/>
  <c r="R430" i="2"/>
  <c r="Q430" i="2"/>
  <c r="P430" i="2"/>
  <c r="O430" i="2"/>
  <c r="N430" i="2"/>
  <c r="M430" i="2"/>
  <c r="L430" i="2"/>
  <c r="K430" i="2"/>
  <c r="H430" i="2"/>
  <c r="D430" i="2"/>
  <c r="V429" i="2"/>
  <c r="U429" i="2"/>
  <c r="T429" i="2"/>
  <c r="S429" i="2"/>
  <c r="R429" i="2"/>
  <c r="Q429" i="2"/>
  <c r="P429" i="2"/>
  <c r="O429" i="2"/>
  <c r="N429" i="2"/>
  <c r="M429" i="2"/>
  <c r="L429" i="2"/>
  <c r="K429" i="2"/>
  <c r="H429" i="2"/>
  <c r="D429" i="2"/>
  <c r="V428" i="2"/>
  <c r="U428" i="2"/>
  <c r="T428" i="2"/>
  <c r="S428" i="2"/>
  <c r="R428" i="2"/>
  <c r="Q428" i="2"/>
  <c r="P428" i="2"/>
  <c r="O428" i="2"/>
  <c r="N428" i="2"/>
  <c r="M428" i="2"/>
  <c r="L428" i="2"/>
  <c r="K428" i="2"/>
  <c r="H428" i="2"/>
  <c r="D428" i="2"/>
  <c r="V427" i="2"/>
  <c r="U427" i="2"/>
  <c r="T427" i="2"/>
  <c r="S427" i="2"/>
  <c r="R427" i="2"/>
  <c r="Q427" i="2"/>
  <c r="P427" i="2"/>
  <c r="O427" i="2"/>
  <c r="N427" i="2"/>
  <c r="M427" i="2"/>
  <c r="L427" i="2"/>
  <c r="K427" i="2"/>
  <c r="H427" i="2"/>
  <c r="D427" i="2"/>
  <c r="V426" i="2"/>
  <c r="U426" i="2"/>
  <c r="T426" i="2"/>
  <c r="S426" i="2"/>
  <c r="R426" i="2"/>
  <c r="Q426" i="2"/>
  <c r="P426" i="2"/>
  <c r="O426" i="2"/>
  <c r="N426" i="2"/>
  <c r="M426" i="2"/>
  <c r="L426" i="2"/>
  <c r="K426" i="2"/>
  <c r="H426" i="2"/>
  <c r="D426" i="2"/>
  <c r="V425" i="2"/>
  <c r="U425" i="2"/>
  <c r="T425" i="2"/>
  <c r="S425" i="2"/>
  <c r="R425" i="2"/>
  <c r="Q425" i="2"/>
  <c r="P425" i="2"/>
  <c r="O425" i="2"/>
  <c r="N425" i="2"/>
  <c r="M425" i="2"/>
  <c r="L425" i="2"/>
  <c r="K425" i="2"/>
  <c r="H425" i="2"/>
  <c r="D425" i="2"/>
  <c r="V424" i="2"/>
  <c r="U424" i="2"/>
  <c r="T424" i="2"/>
  <c r="S424" i="2"/>
  <c r="R424" i="2"/>
  <c r="Q424" i="2"/>
  <c r="P424" i="2"/>
  <c r="O424" i="2"/>
  <c r="N424" i="2"/>
  <c r="M424" i="2"/>
  <c r="L424" i="2"/>
  <c r="K424" i="2"/>
  <c r="H424" i="2"/>
  <c r="D424" i="2"/>
  <c r="V423" i="2"/>
  <c r="U423" i="2"/>
  <c r="T423" i="2"/>
  <c r="S423" i="2"/>
  <c r="R423" i="2"/>
  <c r="Q423" i="2"/>
  <c r="P423" i="2"/>
  <c r="O423" i="2"/>
  <c r="N423" i="2"/>
  <c r="M423" i="2"/>
  <c r="L423" i="2"/>
  <c r="K423" i="2"/>
  <c r="H423" i="2"/>
  <c r="D423" i="2"/>
  <c r="V422" i="2"/>
  <c r="U422" i="2"/>
  <c r="T422" i="2"/>
  <c r="S422" i="2"/>
  <c r="R422" i="2"/>
  <c r="Q422" i="2"/>
  <c r="P422" i="2"/>
  <c r="O422" i="2"/>
  <c r="N422" i="2"/>
  <c r="M422" i="2"/>
  <c r="L422" i="2"/>
  <c r="K422" i="2"/>
  <c r="H422" i="2"/>
  <c r="D422" i="2"/>
  <c r="V421" i="2"/>
  <c r="U421" i="2"/>
  <c r="T421" i="2"/>
  <c r="S421" i="2"/>
  <c r="R421" i="2"/>
  <c r="Q421" i="2"/>
  <c r="P421" i="2"/>
  <c r="O421" i="2"/>
  <c r="N421" i="2"/>
  <c r="M421" i="2"/>
  <c r="L421" i="2"/>
  <c r="K421" i="2"/>
  <c r="H421" i="2"/>
  <c r="D421" i="2"/>
  <c r="V420" i="2"/>
  <c r="U420" i="2"/>
  <c r="T420" i="2"/>
  <c r="S420" i="2"/>
  <c r="R420" i="2"/>
  <c r="Q420" i="2"/>
  <c r="P420" i="2"/>
  <c r="O420" i="2"/>
  <c r="N420" i="2"/>
  <c r="M420" i="2"/>
  <c r="L420" i="2"/>
  <c r="K420" i="2"/>
  <c r="H420" i="2"/>
  <c r="D420" i="2"/>
  <c r="V419" i="2"/>
  <c r="U419" i="2"/>
  <c r="T419" i="2"/>
  <c r="S419" i="2"/>
  <c r="R419" i="2"/>
  <c r="Q419" i="2"/>
  <c r="P419" i="2"/>
  <c r="O419" i="2"/>
  <c r="N419" i="2"/>
  <c r="M419" i="2"/>
  <c r="L419" i="2"/>
  <c r="K419" i="2"/>
  <c r="H419" i="2"/>
  <c r="D419" i="2"/>
  <c r="V418" i="2"/>
  <c r="U418" i="2"/>
  <c r="T418" i="2"/>
  <c r="S418" i="2"/>
  <c r="R418" i="2"/>
  <c r="Q418" i="2"/>
  <c r="P418" i="2"/>
  <c r="O418" i="2"/>
  <c r="N418" i="2"/>
  <c r="M418" i="2"/>
  <c r="L418" i="2"/>
  <c r="K418" i="2"/>
  <c r="H418" i="2"/>
  <c r="D418" i="2"/>
  <c r="V417" i="2"/>
  <c r="U417" i="2"/>
  <c r="T417" i="2"/>
  <c r="S417" i="2"/>
  <c r="R417" i="2"/>
  <c r="Q417" i="2"/>
  <c r="P417" i="2"/>
  <c r="O417" i="2"/>
  <c r="N417" i="2"/>
  <c r="M417" i="2"/>
  <c r="L417" i="2"/>
  <c r="K417" i="2"/>
  <c r="H417" i="2"/>
  <c r="D417" i="2"/>
  <c r="V416" i="2"/>
  <c r="U416" i="2"/>
  <c r="T416" i="2"/>
  <c r="S416" i="2"/>
  <c r="R416" i="2"/>
  <c r="Q416" i="2"/>
  <c r="P416" i="2"/>
  <c r="O416" i="2"/>
  <c r="N416" i="2"/>
  <c r="M416" i="2"/>
  <c r="L416" i="2"/>
  <c r="K416" i="2"/>
  <c r="H416" i="2"/>
  <c r="D416" i="2"/>
  <c r="V415" i="2"/>
  <c r="U415" i="2"/>
  <c r="T415" i="2"/>
  <c r="S415" i="2"/>
  <c r="R415" i="2"/>
  <c r="Q415" i="2"/>
  <c r="P415" i="2"/>
  <c r="O415" i="2"/>
  <c r="N415" i="2"/>
  <c r="M415" i="2"/>
  <c r="L415" i="2"/>
  <c r="K415" i="2"/>
  <c r="H415" i="2"/>
  <c r="D415" i="2"/>
  <c r="V414" i="2"/>
  <c r="U414" i="2"/>
  <c r="T414" i="2"/>
  <c r="S414" i="2"/>
  <c r="R414" i="2"/>
  <c r="Q414" i="2"/>
  <c r="P414" i="2"/>
  <c r="O414" i="2"/>
  <c r="N414" i="2"/>
  <c r="M414" i="2"/>
  <c r="L414" i="2"/>
  <c r="K414" i="2"/>
  <c r="H414" i="2"/>
  <c r="D414" i="2"/>
  <c r="V413" i="2"/>
  <c r="U413" i="2"/>
  <c r="T413" i="2"/>
  <c r="S413" i="2"/>
  <c r="R413" i="2"/>
  <c r="Q413" i="2"/>
  <c r="P413" i="2"/>
  <c r="O413" i="2"/>
  <c r="N413" i="2"/>
  <c r="M413" i="2"/>
  <c r="L413" i="2"/>
  <c r="K413" i="2"/>
  <c r="H413" i="2"/>
  <c r="D413" i="2"/>
  <c r="V412" i="2"/>
  <c r="U412" i="2"/>
  <c r="T412" i="2"/>
  <c r="S412" i="2"/>
  <c r="R412" i="2"/>
  <c r="Q412" i="2"/>
  <c r="P412" i="2"/>
  <c r="O412" i="2"/>
  <c r="N412" i="2"/>
  <c r="M412" i="2"/>
  <c r="L412" i="2"/>
  <c r="K412" i="2"/>
  <c r="H412" i="2"/>
  <c r="D412" i="2"/>
  <c r="V411" i="2"/>
  <c r="U411" i="2"/>
  <c r="T411" i="2"/>
  <c r="S411" i="2"/>
  <c r="R411" i="2"/>
  <c r="Q411" i="2"/>
  <c r="P411" i="2"/>
  <c r="O411" i="2"/>
  <c r="N411" i="2"/>
  <c r="M411" i="2"/>
  <c r="L411" i="2"/>
  <c r="K411" i="2"/>
  <c r="H411" i="2"/>
  <c r="D411" i="2"/>
  <c r="V410" i="2"/>
  <c r="U410" i="2"/>
  <c r="T410" i="2"/>
  <c r="S410" i="2"/>
  <c r="R410" i="2"/>
  <c r="Q410" i="2"/>
  <c r="P410" i="2"/>
  <c r="O410" i="2"/>
  <c r="N410" i="2"/>
  <c r="M410" i="2"/>
  <c r="L410" i="2"/>
  <c r="K410" i="2"/>
  <c r="H410" i="2"/>
  <c r="D410" i="2"/>
  <c r="V409" i="2"/>
  <c r="U409" i="2"/>
  <c r="T409" i="2"/>
  <c r="S409" i="2"/>
  <c r="R409" i="2"/>
  <c r="Q409" i="2"/>
  <c r="P409" i="2"/>
  <c r="O409" i="2"/>
  <c r="N409" i="2"/>
  <c r="M409" i="2"/>
  <c r="L409" i="2"/>
  <c r="K409" i="2"/>
  <c r="H409" i="2"/>
  <c r="D409" i="2"/>
  <c r="V408" i="2"/>
  <c r="U408" i="2"/>
  <c r="T408" i="2"/>
  <c r="S408" i="2"/>
  <c r="R408" i="2"/>
  <c r="Q408" i="2"/>
  <c r="P408" i="2"/>
  <c r="O408" i="2"/>
  <c r="N408" i="2"/>
  <c r="M408" i="2"/>
  <c r="L408" i="2"/>
  <c r="K408" i="2"/>
  <c r="H408" i="2"/>
  <c r="D408" i="2"/>
  <c r="V407" i="2"/>
  <c r="U407" i="2"/>
  <c r="T407" i="2"/>
  <c r="S407" i="2"/>
  <c r="R407" i="2"/>
  <c r="Q407" i="2"/>
  <c r="P407" i="2"/>
  <c r="O407" i="2"/>
  <c r="N407" i="2"/>
  <c r="M407" i="2"/>
  <c r="L407" i="2"/>
  <c r="K407" i="2"/>
  <c r="H407" i="2"/>
  <c r="D407" i="2"/>
  <c r="V406" i="2"/>
  <c r="U406" i="2"/>
  <c r="T406" i="2"/>
  <c r="S406" i="2"/>
  <c r="R406" i="2"/>
  <c r="Q406" i="2"/>
  <c r="P406" i="2"/>
  <c r="O406" i="2"/>
  <c r="N406" i="2"/>
  <c r="M406" i="2"/>
  <c r="L406" i="2"/>
  <c r="K406" i="2"/>
  <c r="H406" i="2"/>
  <c r="D406" i="2"/>
  <c r="V405" i="2"/>
  <c r="U405" i="2"/>
  <c r="T405" i="2"/>
  <c r="S405" i="2"/>
  <c r="R405" i="2"/>
  <c r="Q405" i="2"/>
  <c r="P405" i="2"/>
  <c r="O405" i="2"/>
  <c r="N405" i="2"/>
  <c r="M405" i="2"/>
  <c r="L405" i="2"/>
  <c r="K405" i="2"/>
  <c r="H405" i="2"/>
  <c r="D405" i="2"/>
  <c r="V404" i="2"/>
  <c r="U404" i="2"/>
  <c r="T404" i="2"/>
  <c r="S404" i="2"/>
  <c r="R404" i="2"/>
  <c r="Q404" i="2"/>
  <c r="P404" i="2"/>
  <c r="O404" i="2"/>
  <c r="N404" i="2"/>
  <c r="M404" i="2"/>
  <c r="L404" i="2"/>
  <c r="K404" i="2"/>
  <c r="H404" i="2"/>
  <c r="D404" i="2"/>
  <c r="V403" i="2"/>
  <c r="U403" i="2"/>
  <c r="T403" i="2"/>
  <c r="S403" i="2"/>
  <c r="R403" i="2"/>
  <c r="Q403" i="2"/>
  <c r="P403" i="2"/>
  <c r="O403" i="2"/>
  <c r="N403" i="2"/>
  <c r="M403" i="2"/>
  <c r="L403" i="2"/>
  <c r="K403" i="2"/>
  <c r="H403" i="2"/>
  <c r="D403" i="2"/>
  <c r="V402" i="2"/>
  <c r="U402" i="2"/>
  <c r="T402" i="2"/>
  <c r="S402" i="2"/>
  <c r="R402" i="2"/>
  <c r="Q402" i="2"/>
  <c r="P402" i="2"/>
  <c r="O402" i="2"/>
  <c r="N402" i="2"/>
  <c r="M402" i="2"/>
  <c r="L402" i="2"/>
  <c r="K402" i="2"/>
  <c r="H402" i="2"/>
  <c r="D402" i="2"/>
  <c r="V401" i="2"/>
  <c r="U401" i="2"/>
  <c r="T401" i="2"/>
  <c r="S401" i="2"/>
  <c r="R401" i="2"/>
  <c r="Q401" i="2"/>
  <c r="P401" i="2"/>
  <c r="O401" i="2"/>
  <c r="N401" i="2"/>
  <c r="M401" i="2"/>
  <c r="L401" i="2"/>
  <c r="K401" i="2"/>
  <c r="H401" i="2"/>
  <c r="D401" i="2"/>
  <c r="V400" i="2"/>
  <c r="U400" i="2"/>
  <c r="T400" i="2"/>
  <c r="S400" i="2"/>
  <c r="R400" i="2"/>
  <c r="Q400" i="2"/>
  <c r="P400" i="2"/>
  <c r="O400" i="2"/>
  <c r="N400" i="2"/>
  <c r="M400" i="2"/>
  <c r="L400" i="2"/>
  <c r="K400" i="2"/>
  <c r="H400" i="2"/>
  <c r="D400" i="2"/>
  <c r="V399" i="2"/>
  <c r="U399" i="2"/>
  <c r="T399" i="2"/>
  <c r="S399" i="2"/>
  <c r="R399" i="2"/>
  <c r="Q399" i="2"/>
  <c r="P399" i="2"/>
  <c r="O399" i="2"/>
  <c r="N399" i="2"/>
  <c r="M399" i="2"/>
  <c r="L399" i="2"/>
  <c r="K399" i="2"/>
  <c r="H399" i="2"/>
  <c r="D399" i="2"/>
  <c r="V398" i="2"/>
  <c r="U398" i="2"/>
  <c r="T398" i="2"/>
  <c r="S398" i="2"/>
  <c r="R398" i="2"/>
  <c r="Q398" i="2"/>
  <c r="P398" i="2"/>
  <c r="O398" i="2"/>
  <c r="N398" i="2"/>
  <c r="M398" i="2"/>
  <c r="L398" i="2"/>
  <c r="K398" i="2"/>
  <c r="H398" i="2"/>
  <c r="D398" i="2"/>
  <c r="V397" i="2"/>
  <c r="U397" i="2"/>
  <c r="T397" i="2"/>
  <c r="S397" i="2"/>
  <c r="R397" i="2"/>
  <c r="Q397" i="2"/>
  <c r="P397" i="2"/>
  <c r="O397" i="2"/>
  <c r="N397" i="2"/>
  <c r="M397" i="2"/>
  <c r="L397" i="2"/>
  <c r="K397" i="2"/>
  <c r="H397" i="2"/>
  <c r="D397" i="2"/>
  <c r="V396" i="2"/>
  <c r="U396" i="2"/>
  <c r="T396" i="2"/>
  <c r="S396" i="2"/>
  <c r="R396" i="2"/>
  <c r="Q396" i="2"/>
  <c r="P396" i="2"/>
  <c r="O396" i="2"/>
  <c r="N396" i="2"/>
  <c r="M396" i="2"/>
  <c r="L396" i="2"/>
  <c r="K396" i="2"/>
  <c r="H396" i="2"/>
  <c r="D396" i="2"/>
  <c r="V395" i="2"/>
  <c r="U395" i="2"/>
  <c r="T395" i="2"/>
  <c r="S395" i="2"/>
  <c r="R395" i="2"/>
  <c r="Q395" i="2"/>
  <c r="P395" i="2"/>
  <c r="O395" i="2"/>
  <c r="N395" i="2"/>
  <c r="M395" i="2"/>
  <c r="L395" i="2"/>
  <c r="K395" i="2"/>
  <c r="H395" i="2"/>
  <c r="D395" i="2"/>
  <c r="V394" i="2"/>
  <c r="U394" i="2"/>
  <c r="T394" i="2"/>
  <c r="S394" i="2"/>
  <c r="R394" i="2"/>
  <c r="Q394" i="2"/>
  <c r="P394" i="2"/>
  <c r="O394" i="2"/>
  <c r="N394" i="2"/>
  <c r="M394" i="2"/>
  <c r="L394" i="2"/>
  <c r="K394" i="2"/>
  <c r="H394" i="2"/>
  <c r="D394" i="2"/>
  <c r="V393" i="2"/>
  <c r="U393" i="2"/>
  <c r="T393" i="2"/>
  <c r="S393" i="2"/>
  <c r="R393" i="2"/>
  <c r="Q393" i="2"/>
  <c r="P393" i="2"/>
  <c r="O393" i="2"/>
  <c r="N393" i="2"/>
  <c r="M393" i="2"/>
  <c r="L393" i="2"/>
  <c r="K393" i="2"/>
  <c r="H393" i="2"/>
  <c r="D393" i="2"/>
  <c r="V392" i="2"/>
  <c r="U392" i="2"/>
  <c r="T392" i="2"/>
  <c r="S392" i="2"/>
  <c r="R392" i="2"/>
  <c r="Q392" i="2"/>
  <c r="P392" i="2"/>
  <c r="O392" i="2"/>
  <c r="N392" i="2"/>
  <c r="M392" i="2"/>
  <c r="L392" i="2"/>
  <c r="K392" i="2"/>
  <c r="H392" i="2"/>
  <c r="D392" i="2"/>
  <c r="V391" i="2"/>
  <c r="U391" i="2"/>
  <c r="T391" i="2"/>
  <c r="S391" i="2"/>
  <c r="R391" i="2"/>
  <c r="Q391" i="2"/>
  <c r="P391" i="2"/>
  <c r="O391" i="2"/>
  <c r="N391" i="2"/>
  <c r="M391" i="2"/>
  <c r="L391" i="2"/>
  <c r="K391" i="2"/>
  <c r="H391" i="2"/>
  <c r="D391" i="2"/>
  <c r="V390" i="2"/>
  <c r="U390" i="2"/>
  <c r="T390" i="2"/>
  <c r="S390" i="2"/>
  <c r="R390" i="2"/>
  <c r="Q390" i="2"/>
  <c r="P390" i="2"/>
  <c r="O390" i="2"/>
  <c r="N390" i="2"/>
  <c r="M390" i="2"/>
  <c r="L390" i="2"/>
  <c r="K390" i="2"/>
  <c r="H390" i="2"/>
  <c r="D390" i="2"/>
  <c r="V389" i="2"/>
  <c r="U389" i="2"/>
  <c r="T389" i="2"/>
  <c r="S389" i="2"/>
  <c r="R389" i="2"/>
  <c r="Q389" i="2"/>
  <c r="P389" i="2"/>
  <c r="O389" i="2"/>
  <c r="N389" i="2"/>
  <c r="M389" i="2"/>
  <c r="L389" i="2"/>
  <c r="K389" i="2"/>
  <c r="H389" i="2"/>
  <c r="D389" i="2"/>
  <c r="V388" i="2"/>
  <c r="U388" i="2"/>
  <c r="T388" i="2"/>
  <c r="S388" i="2"/>
  <c r="R388" i="2"/>
  <c r="Q388" i="2"/>
  <c r="P388" i="2"/>
  <c r="O388" i="2"/>
  <c r="N388" i="2"/>
  <c r="M388" i="2"/>
  <c r="L388" i="2"/>
  <c r="K388" i="2"/>
  <c r="H388" i="2"/>
  <c r="D388" i="2"/>
  <c r="V387" i="2"/>
  <c r="U387" i="2"/>
  <c r="T387" i="2"/>
  <c r="S387" i="2"/>
  <c r="R387" i="2"/>
  <c r="Q387" i="2"/>
  <c r="P387" i="2"/>
  <c r="O387" i="2"/>
  <c r="N387" i="2"/>
  <c r="M387" i="2"/>
  <c r="L387" i="2"/>
  <c r="K387" i="2"/>
  <c r="H387" i="2"/>
  <c r="D387" i="2"/>
  <c r="V386" i="2"/>
  <c r="U386" i="2"/>
  <c r="T386" i="2"/>
  <c r="S386" i="2"/>
  <c r="R386" i="2"/>
  <c r="Q386" i="2"/>
  <c r="P386" i="2"/>
  <c r="O386" i="2"/>
  <c r="N386" i="2"/>
  <c r="M386" i="2"/>
  <c r="L386" i="2"/>
  <c r="K386" i="2"/>
  <c r="H386" i="2"/>
  <c r="D386" i="2"/>
  <c r="V385" i="2"/>
  <c r="U385" i="2"/>
  <c r="T385" i="2"/>
  <c r="S385" i="2"/>
  <c r="R385" i="2"/>
  <c r="Q385" i="2"/>
  <c r="P385" i="2"/>
  <c r="O385" i="2"/>
  <c r="N385" i="2"/>
  <c r="M385" i="2"/>
  <c r="L385" i="2"/>
  <c r="K385" i="2"/>
  <c r="H385" i="2"/>
  <c r="D385" i="2"/>
  <c r="V384" i="2"/>
  <c r="U384" i="2"/>
  <c r="T384" i="2"/>
  <c r="S384" i="2"/>
  <c r="R384" i="2"/>
  <c r="Q384" i="2"/>
  <c r="P384" i="2"/>
  <c r="O384" i="2"/>
  <c r="N384" i="2"/>
  <c r="M384" i="2"/>
  <c r="L384" i="2"/>
  <c r="K384" i="2"/>
  <c r="H384" i="2"/>
  <c r="D384" i="2"/>
  <c r="V383" i="2"/>
  <c r="U383" i="2"/>
  <c r="T383" i="2"/>
  <c r="S383" i="2"/>
  <c r="R383" i="2"/>
  <c r="Q383" i="2"/>
  <c r="P383" i="2"/>
  <c r="O383" i="2"/>
  <c r="N383" i="2"/>
  <c r="M383" i="2"/>
  <c r="L383" i="2"/>
  <c r="K383" i="2"/>
  <c r="H383" i="2"/>
  <c r="D383" i="2"/>
  <c r="V382" i="2"/>
  <c r="U382" i="2"/>
  <c r="T382" i="2"/>
  <c r="S382" i="2"/>
  <c r="R382" i="2"/>
  <c r="Q382" i="2"/>
  <c r="P382" i="2"/>
  <c r="O382" i="2"/>
  <c r="N382" i="2"/>
  <c r="M382" i="2"/>
  <c r="L382" i="2"/>
  <c r="K382" i="2"/>
  <c r="H382" i="2"/>
  <c r="D382" i="2"/>
  <c r="V381" i="2"/>
  <c r="U381" i="2"/>
  <c r="T381" i="2"/>
  <c r="S381" i="2"/>
  <c r="R381" i="2"/>
  <c r="Q381" i="2"/>
  <c r="P381" i="2"/>
  <c r="O381" i="2"/>
  <c r="N381" i="2"/>
  <c r="M381" i="2"/>
  <c r="L381" i="2"/>
  <c r="K381" i="2"/>
  <c r="H381" i="2"/>
  <c r="D381" i="2"/>
  <c r="V380" i="2"/>
  <c r="U380" i="2"/>
  <c r="T380" i="2"/>
  <c r="S380" i="2"/>
  <c r="R380" i="2"/>
  <c r="Q380" i="2"/>
  <c r="P380" i="2"/>
  <c r="O380" i="2"/>
  <c r="N380" i="2"/>
  <c r="M380" i="2"/>
  <c r="L380" i="2"/>
  <c r="K380" i="2"/>
  <c r="H380" i="2"/>
  <c r="D380" i="2"/>
  <c r="V379" i="2"/>
  <c r="U379" i="2"/>
  <c r="T379" i="2"/>
  <c r="S379" i="2"/>
  <c r="R379" i="2"/>
  <c r="Q379" i="2"/>
  <c r="P379" i="2"/>
  <c r="O379" i="2"/>
  <c r="N379" i="2"/>
  <c r="M379" i="2"/>
  <c r="L379" i="2"/>
  <c r="K379" i="2"/>
  <c r="H379" i="2"/>
  <c r="D379" i="2"/>
  <c r="V378" i="2"/>
  <c r="U378" i="2"/>
  <c r="T378" i="2"/>
  <c r="S378" i="2"/>
  <c r="R378" i="2"/>
  <c r="Q378" i="2"/>
  <c r="P378" i="2"/>
  <c r="O378" i="2"/>
  <c r="N378" i="2"/>
  <c r="M378" i="2"/>
  <c r="L378" i="2"/>
  <c r="K378" i="2"/>
  <c r="H378" i="2"/>
  <c r="D378" i="2"/>
  <c r="V377" i="2"/>
  <c r="U377" i="2"/>
  <c r="T377" i="2"/>
  <c r="S377" i="2"/>
  <c r="R377" i="2"/>
  <c r="Q377" i="2"/>
  <c r="P377" i="2"/>
  <c r="O377" i="2"/>
  <c r="N377" i="2"/>
  <c r="M377" i="2"/>
  <c r="L377" i="2"/>
  <c r="K377" i="2"/>
  <c r="H377" i="2"/>
  <c r="D377" i="2"/>
  <c r="V376" i="2"/>
  <c r="U376" i="2"/>
  <c r="T376" i="2"/>
  <c r="S376" i="2"/>
  <c r="R376" i="2"/>
  <c r="Q376" i="2"/>
  <c r="P376" i="2"/>
  <c r="O376" i="2"/>
  <c r="N376" i="2"/>
  <c r="M376" i="2"/>
  <c r="L376" i="2"/>
  <c r="K376" i="2"/>
  <c r="H376" i="2"/>
  <c r="D376" i="2"/>
  <c r="V375" i="2"/>
  <c r="U375" i="2"/>
  <c r="T375" i="2"/>
  <c r="S375" i="2"/>
  <c r="R375" i="2"/>
  <c r="Q375" i="2"/>
  <c r="P375" i="2"/>
  <c r="O375" i="2"/>
  <c r="N375" i="2"/>
  <c r="M375" i="2"/>
  <c r="L375" i="2"/>
  <c r="K375" i="2"/>
  <c r="H375" i="2"/>
  <c r="D375" i="2"/>
  <c r="V374" i="2"/>
  <c r="U374" i="2"/>
  <c r="T374" i="2"/>
  <c r="S374" i="2"/>
  <c r="R374" i="2"/>
  <c r="Q374" i="2"/>
  <c r="P374" i="2"/>
  <c r="O374" i="2"/>
  <c r="N374" i="2"/>
  <c r="M374" i="2"/>
  <c r="L374" i="2"/>
  <c r="K374" i="2"/>
  <c r="H374" i="2"/>
  <c r="D374" i="2"/>
  <c r="V373" i="2"/>
  <c r="U373" i="2"/>
  <c r="T373" i="2"/>
  <c r="S373" i="2"/>
  <c r="R373" i="2"/>
  <c r="Q373" i="2"/>
  <c r="P373" i="2"/>
  <c r="O373" i="2"/>
  <c r="N373" i="2"/>
  <c r="M373" i="2"/>
  <c r="L373" i="2"/>
  <c r="K373" i="2"/>
  <c r="H373" i="2"/>
  <c r="D373" i="2"/>
  <c r="V372" i="2"/>
  <c r="U372" i="2"/>
  <c r="T372" i="2"/>
  <c r="S372" i="2"/>
  <c r="R372" i="2"/>
  <c r="Q372" i="2"/>
  <c r="P372" i="2"/>
  <c r="O372" i="2"/>
  <c r="N372" i="2"/>
  <c r="M372" i="2"/>
  <c r="L372" i="2"/>
  <c r="K372" i="2"/>
  <c r="H372" i="2"/>
  <c r="D372" i="2"/>
  <c r="V371" i="2"/>
  <c r="U371" i="2"/>
  <c r="T371" i="2"/>
  <c r="S371" i="2"/>
  <c r="R371" i="2"/>
  <c r="Q371" i="2"/>
  <c r="P371" i="2"/>
  <c r="O371" i="2"/>
  <c r="N371" i="2"/>
  <c r="M371" i="2"/>
  <c r="L371" i="2"/>
  <c r="K371" i="2"/>
  <c r="H371" i="2"/>
  <c r="D371" i="2"/>
  <c r="V370" i="2"/>
  <c r="U370" i="2"/>
  <c r="T370" i="2"/>
  <c r="S370" i="2"/>
  <c r="R370" i="2"/>
  <c r="Q370" i="2"/>
  <c r="P370" i="2"/>
  <c r="O370" i="2"/>
  <c r="N370" i="2"/>
  <c r="M370" i="2"/>
  <c r="L370" i="2"/>
  <c r="K370" i="2"/>
  <c r="H370" i="2"/>
  <c r="D370" i="2"/>
  <c r="V369" i="2"/>
  <c r="U369" i="2"/>
  <c r="T369" i="2"/>
  <c r="S369" i="2"/>
  <c r="R369" i="2"/>
  <c r="Q369" i="2"/>
  <c r="P369" i="2"/>
  <c r="O369" i="2"/>
  <c r="N369" i="2"/>
  <c r="M369" i="2"/>
  <c r="L369" i="2"/>
  <c r="K369" i="2"/>
  <c r="H369" i="2"/>
  <c r="D369" i="2"/>
  <c r="V368" i="2"/>
  <c r="U368" i="2"/>
  <c r="T368" i="2"/>
  <c r="S368" i="2"/>
  <c r="R368" i="2"/>
  <c r="Q368" i="2"/>
  <c r="P368" i="2"/>
  <c r="O368" i="2"/>
  <c r="N368" i="2"/>
  <c r="M368" i="2"/>
  <c r="L368" i="2"/>
  <c r="K368" i="2"/>
  <c r="H368" i="2"/>
  <c r="D368" i="2"/>
  <c r="V367" i="2"/>
  <c r="U367" i="2"/>
  <c r="T367" i="2"/>
  <c r="S367" i="2"/>
  <c r="R367" i="2"/>
  <c r="Q367" i="2"/>
  <c r="P367" i="2"/>
  <c r="O367" i="2"/>
  <c r="N367" i="2"/>
  <c r="M367" i="2"/>
  <c r="L367" i="2"/>
  <c r="K367" i="2"/>
  <c r="H367" i="2"/>
  <c r="D367" i="2"/>
  <c r="V366" i="2"/>
  <c r="U366" i="2"/>
  <c r="T366" i="2"/>
  <c r="S366" i="2"/>
  <c r="R366" i="2"/>
  <c r="Q366" i="2"/>
  <c r="P366" i="2"/>
  <c r="O366" i="2"/>
  <c r="N366" i="2"/>
  <c r="M366" i="2"/>
  <c r="L366" i="2"/>
  <c r="K366" i="2"/>
  <c r="H366" i="2"/>
  <c r="D366" i="2"/>
  <c r="V365" i="2"/>
  <c r="U365" i="2"/>
  <c r="T365" i="2"/>
  <c r="S365" i="2"/>
  <c r="R365" i="2"/>
  <c r="Q365" i="2"/>
  <c r="P365" i="2"/>
  <c r="O365" i="2"/>
  <c r="N365" i="2"/>
  <c r="M365" i="2"/>
  <c r="L365" i="2"/>
  <c r="K365" i="2"/>
  <c r="H365" i="2"/>
  <c r="D365" i="2"/>
  <c r="V364" i="2"/>
  <c r="U364" i="2"/>
  <c r="T364" i="2"/>
  <c r="S364" i="2"/>
  <c r="R364" i="2"/>
  <c r="Q364" i="2"/>
  <c r="P364" i="2"/>
  <c r="O364" i="2"/>
  <c r="N364" i="2"/>
  <c r="M364" i="2"/>
  <c r="L364" i="2"/>
  <c r="K364" i="2"/>
  <c r="H364" i="2"/>
  <c r="D364" i="2"/>
  <c r="V363" i="2"/>
  <c r="U363" i="2"/>
  <c r="T363" i="2"/>
  <c r="S363" i="2"/>
  <c r="R363" i="2"/>
  <c r="Q363" i="2"/>
  <c r="P363" i="2"/>
  <c r="O363" i="2"/>
  <c r="N363" i="2"/>
  <c r="M363" i="2"/>
  <c r="L363" i="2"/>
  <c r="K363" i="2"/>
  <c r="H363" i="2"/>
  <c r="D363" i="2"/>
  <c r="V362" i="2"/>
  <c r="U362" i="2"/>
  <c r="T362" i="2"/>
  <c r="S362" i="2"/>
  <c r="R362" i="2"/>
  <c r="Q362" i="2"/>
  <c r="P362" i="2"/>
  <c r="O362" i="2"/>
  <c r="N362" i="2"/>
  <c r="M362" i="2"/>
  <c r="L362" i="2"/>
  <c r="K362" i="2"/>
  <c r="H362" i="2"/>
  <c r="D362" i="2"/>
  <c r="V361" i="2"/>
  <c r="U361" i="2"/>
  <c r="T361" i="2"/>
  <c r="S361" i="2"/>
  <c r="R361" i="2"/>
  <c r="Q361" i="2"/>
  <c r="P361" i="2"/>
  <c r="O361" i="2"/>
  <c r="N361" i="2"/>
  <c r="M361" i="2"/>
  <c r="L361" i="2"/>
  <c r="K361" i="2"/>
  <c r="H361" i="2"/>
  <c r="D361" i="2"/>
  <c r="V360" i="2"/>
  <c r="U360" i="2"/>
  <c r="T360" i="2"/>
  <c r="S360" i="2"/>
  <c r="R360" i="2"/>
  <c r="Q360" i="2"/>
  <c r="P360" i="2"/>
  <c r="O360" i="2"/>
  <c r="N360" i="2"/>
  <c r="M360" i="2"/>
  <c r="L360" i="2"/>
  <c r="K360" i="2"/>
  <c r="H360" i="2"/>
  <c r="D360" i="2"/>
  <c r="V359" i="2"/>
  <c r="U359" i="2"/>
  <c r="T359" i="2"/>
  <c r="S359" i="2"/>
  <c r="R359" i="2"/>
  <c r="Q359" i="2"/>
  <c r="P359" i="2"/>
  <c r="O359" i="2"/>
  <c r="N359" i="2"/>
  <c r="M359" i="2"/>
  <c r="L359" i="2"/>
  <c r="K359" i="2"/>
  <c r="H359" i="2"/>
  <c r="D359" i="2"/>
  <c r="V358" i="2"/>
  <c r="U358" i="2"/>
  <c r="T358" i="2"/>
  <c r="S358" i="2"/>
  <c r="R358" i="2"/>
  <c r="Q358" i="2"/>
  <c r="P358" i="2"/>
  <c r="O358" i="2"/>
  <c r="N358" i="2"/>
  <c r="M358" i="2"/>
  <c r="L358" i="2"/>
  <c r="K358" i="2"/>
  <c r="H358" i="2"/>
  <c r="D358" i="2"/>
  <c r="V357" i="2"/>
  <c r="U357" i="2"/>
  <c r="T357" i="2"/>
  <c r="S357" i="2"/>
  <c r="R357" i="2"/>
  <c r="Q357" i="2"/>
  <c r="P357" i="2"/>
  <c r="O357" i="2"/>
  <c r="N357" i="2"/>
  <c r="M357" i="2"/>
  <c r="L357" i="2"/>
  <c r="K357" i="2"/>
  <c r="H357" i="2"/>
  <c r="D357" i="2"/>
  <c r="V356" i="2"/>
  <c r="U356" i="2"/>
  <c r="T356" i="2"/>
  <c r="S356" i="2"/>
  <c r="R356" i="2"/>
  <c r="Q356" i="2"/>
  <c r="P356" i="2"/>
  <c r="O356" i="2"/>
  <c r="N356" i="2"/>
  <c r="M356" i="2"/>
  <c r="L356" i="2"/>
  <c r="K356" i="2"/>
  <c r="H356" i="2"/>
  <c r="D356" i="2"/>
  <c r="V355" i="2"/>
  <c r="U355" i="2"/>
  <c r="T355" i="2"/>
  <c r="S355" i="2"/>
  <c r="R355" i="2"/>
  <c r="Q355" i="2"/>
  <c r="P355" i="2"/>
  <c r="O355" i="2"/>
  <c r="N355" i="2"/>
  <c r="M355" i="2"/>
  <c r="L355" i="2"/>
  <c r="K355" i="2"/>
  <c r="H355" i="2"/>
  <c r="D355" i="2"/>
  <c r="V354" i="2"/>
  <c r="U354" i="2"/>
  <c r="T354" i="2"/>
  <c r="S354" i="2"/>
  <c r="R354" i="2"/>
  <c r="Q354" i="2"/>
  <c r="P354" i="2"/>
  <c r="O354" i="2"/>
  <c r="N354" i="2"/>
  <c r="M354" i="2"/>
  <c r="L354" i="2"/>
  <c r="K354" i="2"/>
  <c r="H354" i="2"/>
  <c r="D354" i="2"/>
  <c r="V353" i="2"/>
  <c r="U353" i="2"/>
  <c r="T353" i="2"/>
  <c r="S353" i="2"/>
  <c r="R353" i="2"/>
  <c r="Q353" i="2"/>
  <c r="P353" i="2"/>
  <c r="O353" i="2"/>
  <c r="N353" i="2"/>
  <c r="M353" i="2"/>
  <c r="L353" i="2"/>
  <c r="K353" i="2"/>
  <c r="H353" i="2"/>
  <c r="D353" i="2"/>
  <c r="V352" i="2"/>
  <c r="U352" i="2"/>
  <c r="T352" i="2"/>
  <c r="S352" i="2"/>
  <c r="R352" i="2"/>
  <c r="Q352" i="2"/>
  <c r="P352" i="2"/>
  <c r="O352" i="2"/>
  <c r="N352" i="2"/>
  <c r="M352" i="2"/>
  <c r="L352" i="2"/>
  <c r="K352" i="2"/>
  <c r="H352" i="2"/>
  <c r="D352" i="2"/>
  <c r="V351" i="2"/>
  <c r="U351" i="2"/>
  <c r="T351" i="2"/>
  <c r="S351" i="2"/>
  <c r="R351" i="2"/>
  <c r="Q351" i="2"/>
  <c r="P351" i="2"/>
  <c r="O351" i="2"/>
  <c r="N351" i="2"/>
  <c r="M351" i="2"/>
  <c r="L351" i="2"/>
  <c r="K351" i="2"/>
  <c r="H351" i="2"/>
  <c r="D351" i="2"/>
  <c r="V350" i="2"/>
  <c r="U350" i="2"/>
  <c r="T350" i="2"/>
  <c r="S350" i="2"/>
  <c r="R350" i="2"/>
  <c r="Q350" i="2"/>
  <c r="P350" i="2"/>
  <c r="O350" i="2"/>
  <c r="N350" i="2"/>
  <c r="M350" i="2"/>
  <c r="L350" i="2"/>
  <c r="K350" i="2"/>
  <c r="H350" i="2"/>
  <c r="D350" i="2"/>
  <c r="V349" i="2"/>
  <c r="U349" i="2"/>
  <c r="T349" i="2"/>
  <c r="S349" i="2"/>
  <c r="R349" i="2"/>
  <c r="Q349" i="2"/>
  <c r="P349" i="2"/>
  <c r="O349" i="2"/>
  <c r="N349" i="2"/>
  <c r="M349" i="2"/>
  <c r="L349" i="2"/>
  <c r="K349" i="2"/>
  <c r="H349" i="2"/>
  <c r="D349" i="2"/>
  <c r="V348" i="2"/>
  <c r="U348" i="2"/>
  <c r="T348" i="2"/>
  <c r="S348" i="2"/>
  <c r="R348" i="2"/>
  <c r="Q348" i="2"/>
  <c r="P348" i="2"/>
  <c r="O348" i="2"/>
  <c r="N348" i="2"/>
  <c r="M348" i="2"/>
  <c r="L348" i="2"/>
  <c r="K348" i="2"/>
  <c r="H348" i="2"/>
  <c r="D348" i="2"/>
  <c r="V347" i="2"/>
  <c r="U347" i="2"/>
  <c r="T347" i="2"/>
  <c r="S347" i="2"/>
  <c r="R347" i="2"/>
  <c r="Q347" i="2"/>
  <c r="P347" i="2"/>
  <c r="O347" i="2"/>
  <c r="N347" i="2"/>
  <c r="M347" i="2"/>
  <c r="L347" i="2"/>
  <c r="K347" i="2"/>
  <c r="H347" i="2"/>
  <c r="D347" i="2"/>
  <c r="V346" i="2"/>
  <c r="U346" i="2"/>
  <c r="T346" i="2"/>
  <c r="S346" i="2"/>
  <c r="R346" i="2"/>
  <c r="Q346" i="2"/>
  <c r="P346" i="2"/>
  <c r="O346" i="2"/>
  <c r="N346" i="2"/>
  <c r="M346" i="2"/>
  <c r="L346" i="2"/>
  <c r="K346" i="2"/>
  <c r="H346" i="2"/>
  <c r="D346" i="2"/>
  <c r="V345" i="2"/>
  <c r="U345" i="2"/>
  <c r="T345" i="2"/>
  <c r="S345" i="2"/>
  <c r="R345" i="2"/>
  <c r="Q345" i="2"/>
  <c r="P345" i="2"/>
  <c r="O345" i="2"/>
  <c r="N345" i="2"/>
  <c r="M345" i="2"/>
  <c r="L345" i="2"/>
  <c r="K345" i="2"/>
  <c r="H345" i="2"/>
  <c r="D345" i="2"/>
  <c r="V344" i="2"/>
  <c r="U344" i="2"/>
  <c r="T344" i="2"/>
  <c r="S344" i="2"/>
  <c r="R344" i="2"/>
  <c r="Q344" i="2"/>
  <c r="P344" i="2"/>
  <c r="O344" i="2"/>
  <c r="N344" i="2"/>
  <c r="M344" i="2"/>
  <c r="L344" i="2"/>
  <c r="K344" i="2"/>
  <c r="H344" i="2"/>
  <c r="D344" i="2"/>
  <c r="V343" i="2"/>
  <c r="U343" i="2"/>
  <c r="T343" i="2"/>
  <c r="S343" i="2"/>
  <c r="R343" i="2"/>
  <c r="Q343" i="2"/>
  <c r="P343" i="2"/>
  <c r="O343" i="2"/>
  <c r="N343" i="2"/>
  <c r="M343" i="2"/>
  <c r="L343" i="2"/>
  <c r="K343" i="2"/>
  <c r="H343" i="2"/>
  <c r="D343" i="2"/>
  <c r="V342" i="2"/>
  <c r="U342" i="2"/>
  <c r="T342" i="2"/>
  <c r="S342" i="2"/>
  <c r="R342" i="2"/>
  <c r="Q342" i="2"/>
  <c r="P342" i="2"/>
  <c r="O342" i="2"/>
  <c r="N342" i="2"/>
  <c r="M342" i="2"/>
  <c r="L342" i="2"/>
  <c r="K342" i="2"/>
  <c r="H342" i="2"/>
  <c r="D342" i="2"/>
  <c r="V341" i="2"/>
  <c r="U341" i="2"/>
  <c r="T341" i="2"/>
  <c r="S341" i="2"/>
  <c r="R341" i="2"/>
  <c r="Q341" i="2"/>
  <c r="P341" i="2"/>
  <c r="O341" i="2"/>
  <c r="N341" i="2"/>
  <c r="M341" i="2"/>
  <c r="L341" i="2"/>
  <c r="K341" i="2"/>
  <c r="H341" i="2"/>
  <c r="D341" i="2"/>
  <c r="V340" i="2"/>
  <c r="U340" i="2"/>
  <c r="T340" i="2"/>
  <c r="S340" i="2"/>
  <c r="R340" i="2"/>
  <c r="Q340" i="2"/>
  <c r="P340" i="2"/>
  <c r="O340" i="2"/>
  <c r="N340" i="2"/>
  <c r="M340" i="2"/>
  <c r="L340" i="2"/>
  <c r="K340" i="2"/>
  <c r="H340" i="2"/>
  <c r="D340" i="2"/>
  <c r="V339" i="2"/>
  <c r="U339" i="2"/>
  <c r="T339" i="2"/>
  <c r="S339" i="2"/>
  <c r="R339" i="2"/>
  <c r="Q339" i="2"/>
  <c r="P339" i="2"/>
  <c r="O339" i="2"/>
  <c r="N339" i="2"/>
  <c r="M339" i="2"/>
  <c r="L339" i="2"/>
  <c r="K339" i="2"/>
  <c r="H339" i="2"/>
  <c r="D339" i="2"/>
  <c r="V338" i="2"/>
  <c r="U338" i="2"/>
  <c r="T338" i="2"/>
  <c r="S338" i="2"/>
  <c r="R338" i="2"/>
  <c r="Q338" i="2"/>
  <c r="P338" i="2"/>
  <c r="O338" i="2"/>
  <c r="N338" i="2"/>
  <c r="M338" i="2"/>
  <c r="L338" i="2"/>
  <c r="K338" i="2"/>
  <c r="H338" i="2"/>
  <c r="D338" i="2"/>
  <c r="V337" i="2"/>
  <c r="U337" i="2"/>
  <c r="T337" i="2"/>
  <c r="S337" i="2"/>
  <c r="R337" i="2"/>
  <c r="Q337" i="2"/>
  <c r="P337" i="2"/>
  <c r="O337" i="2"/>
  <c r="N337" i="2"/>
  <c r="M337" i="2"/>
  <c r="L337" i="2"/>
  <c r="K337" i="2"/>
  <c r="H337" i="2"/>
  <c r="D337" i="2"/>
  <c r="V336" i="2"/>
  <c r="U336" i="2"/>
  <c r="T336" i="2"/>
  <c r="S336" i="2"/>
  <c r="R336" i="2"/>
  <c r="Q336" i="2"/>
  <c r="P336" i="2"/>
  <c r="O336" i="2"/>
  <c r="N336" i="2"/>
  <c r="M336" i="2"/>
  <c r="L336" i="2"/>
  <c r="K336" i="2"/>
  <c r="H336" i="2"/>
  <c r="D336" i="2"/>
  <c r="V335" i="2"/>
  <c r="U335" i="2"/>
  <c r="T335" i="2"/>
  <c r="S335" i="2"/>
  <c r="R335" i="2"/>
  <c r="Q335" i="2"/>
  <c r="P335" i="2"/>
  <c r="O335" i="2"/>
  <c r="N335" i="2"/>
  <c r="M335" i="2"/>
  <c r="L335" i="2"/>
  <c r="K335" i="2"/>
  <c r="H335" i="2"/>
  <c r="D335" i="2"/>
  <c r="V334" i="2"/>
  <c r="U334" i="2"/>
  <c r="T334" i="2"/>
  <c r="S334" i="2"/>
  <c r="R334" i="2"/>
  <c r="Q334" i="2"/>
  <c r="P334" i="2"/>
  <c r="O334" i="2"/>
  <c r="N334" i="2"/>
  <c r="M334" i="2"/>
  <c r="L334" i="2"/>
  <c r="K334" i="2"/>
  <c r="H334" i="2"/>
  <c r="D334" i="2"/>
  <c r="V333" i="2"/>
  <c r="U333" i="2"/>
  <c r="T333" i="2"/>
  <c r="S333" i="2"/>
  <c r="R333" i="2"/>
  <c r="Q333" i="2"/>
  <c r="P333" i="2"/>
  <c r="O333" i="2"/>
  <c r="N333" i="2"/>
  <c r="M333" i="2"/>
  <c r="L333" i="2"/>
  <c r="K333" i="2"/>
  <c r="H333" i="2"/>
  <c r="D333" i="2"/>
  <c r="V332" i="2"/>
  <c r="U332" i="2"/>
  <c r="T332" i="2"/>
  <c r="S332" i="2"/>
  <c r="R332" i="2"/>
  <c r="Q332" i="2"/>
  <c r="P332" i="2"/>
  <c r="O332" i="2"/>
  <c r="N332" i="2"/>
  <c r="M332" i="2"/>
  <c r="L332" i="2"/>
  <c r="K332" i="2"/>
  <c r="H332" i="2"/>
  <c r="D332" i="2"/>
  <c r="V331" i="2"/>
  <c r="U331" i="2"/>
  <c r="T331" i="2"/>
  <c r="S331" i="2"/>
  <c r="R331" i="2"/>
  <c r="Q331" i="2"/>
  <c r="P331" i="2"/>
  <c r="O331" i="2"/>
  <c r="N331" i="2"/>
  <c r="M331" i="2"/>
  <c r="L331" i="2"/>
  <c r="K331" i="2"/>
  <c r="H331" i="2"/>
  <c r="D331" i="2"/>
  <c r="V330" i="2"/>
  <c r="U330" i="2"/>
  <c r="T330" i="2"/>
  <c r="S330" i="2"/>
  <c r="R330" i="2"/>
  <c r="Q330" i="2"/>
  <c r="P330" i="2"/>
  <c r="O330" i="2"/>
  <c r="N330" i="2"/>
  <c r="M330" i="2"/>
  <c r="L330" i="2"/>
  <c r="K330" i="2"/>
  <c r="H330" i="2"/>
  <c r="D330" i="2"/>
  <c r="V329" i="2"/>
  <c r="U329" i="2"/>
  <c r="T329" i="2"/>
  <c r="S329" i="2"/>
  <c r="R329" i="2"/>
  <c r="Q329" i="2"/>
  <c r="P329" i="2"/>
  <c r="O329" i="2"/>
  <c r="N329" i="2"/>
  <c r="M329" i="2"/>
  <c r="L329" i="2"/>
  <c r="K329" i="2"/>
  <c r="H329" i="2"/>
  <c r="D329" i="2"/>
  <c r="V328" i="2"/>
  <c r="U328" i="2"/>
  <c r="T328" i="2"/>
  <c r="S328" i="2"/>
  <c r="R328" i="2"/>
  <c r="Q328" i="2"/>
  <c r="P328" i="2"/>
  <c r="O328" i="2"/>
  <c r="N328" i="2"/>
  <c r="M328" i="2"/>
  <c r="L328" i="2"/>
  <c r="K328" i="2"/>
  <c r="H328" i="2"/>
  <c r="D328" i="2"/>
  <c r="V327" i="2"/>
  <c r="U327" i="2"/>
  <c r="T327" i="2"/>
  <c r="S327" i="2"/>
  <c r="R327" i="2"/>
  <c r="Q327" i="2"/>
  <c r="P327" i="2"/>
  <c r="O327" i="2"/>
  <c r="N327" i="2"/>
  <c r="M327" i="2"/>
  <c r="L327" i="2"/>
  <c r="K327" i="2"/>
  <c r="H327" i="2"/>
  <c r="D327" i="2"/>
  <c r="V326" i="2"/>
  <c r="U326" i="2"/>
  <c r="T326" i="2"/>
  <c r="S326" i="2"/>
  <c r="R326" i="2"/>
  <c r="Q326" i="2"/>
  <c r="P326" i="2"/>
  <c r="O326" i="2"/>
  <c r="N326" i="2"/>
  <c r="M326" i="2"/>
  <c r="L326" i="2"/>
  <c r="K326" i="2"/>
  <c r="H326" i="2"/>
  <c r="D326" i="2"/>
  <c r="V325" i="2"/>
  <c r="U325" i="2"/>
  <c r="T325" i="2"/>
  <c r="S325" i="2"/>
  <c r="R325" i="2"/>
  <c r="Q325" i="2"/>
  <c r="P325" i="2"/>
  <c r="O325" i="2"/>
  <c r="N325" i="2"/>
  <c r="M325" i="2"/>
  <c r="L325" i="2"/>
  <c r="K325" i="2"/>
  <c r="H325" i="2"/>
  <c r="D325" i="2"/>
  <c r="V324" i="2"/>
  <c r="U324" i="2"/>
  <c r="T324" i="2"/>
  <c r="S324" i="2"/>
  <c r="R324" i="2"/>
  <c r="Q324" i="2"/>
  <c r="P324" i="2"/>
  <c r="O324" i="2"/>
  <c r="N324" i="2"/>
  <c r="M324" i="2"/>
  <c r="L324" i="2"/>
  <c r="K324" i="2"/>
  <c r="H324" i="2"/>
  <c r="D324" i="2"/>
  <c r="V323" i="2"/>
  <c r="U323" i="2"/>
  <c r="T323" i="2"/>
  <c r="S323" i="2"/>
  <c r="R323" i="2"/>
  <c r="Q323" i="2"/>
  <c r="P323" i="2"/>
  <c r="O323" i="2"/>
  <c r="N323" i="2"/>
  <c r="M323" i="2"/>
  <c r="L323" i="2"/>
  <c r="K323" i="2"/>
  <c r="H323" i="2"/>
  <c r="D323" i="2"/>
  <c r="V322" i="2"/>
  <c r="U322" i="2"/>
  <c r="T322" i="2"/>
  <c r="S322" i="2"/>
  <c r="R322" i="2"/>
  <c r="Q322" i="2"/>
  <c r="P322" i="2"/>
  <c r="O322" i="2"/>
  <c r="N322" i="2"/>
  <c r="M322" i="2"/>
  <c r="L322" i="2"/>
  <c r="K322" i="2"/>
  <c r="H322" i="2"/>
  <c r="D322" i="2"/>
  <c r="V321" i="2"/>
  <c r="U321" i="2"/>
  <c r="T321" i="2"/>
  <c r="S321" i="2"/>
  <c r="R321" i="2"/>
  <c r="Q321" i="2"/>
  <c r="P321" i="2"/>
  <c r="O321" i="2"/>
  <c r="N321" i="2"/>
  <c r="M321" i="2"/>
  <c r="L321" i="2"/>
  <c r="K321" i="2"/>
  <c r="H321" i="2"/>
  <c r="D321" i="2"/>
  <c r="V320" i="2"/>
  <c r="U320" i="2"/>
  <c r="T320" i="2"/>
  <c r="S320" i="2"/>
  <c r="R320" i="2"/>
  <c r="Q320" i="2"/>
  <c r="P320" i="2"/>
  <c r="O320" i="2"/>
  <c r="N320" i="2"/>
  <c r="M320" i="2"/>
  <c r="L320" i="2"/>
  <c r="K320" i="2"/>
  <c r="H320" i="2"/>
  <c r="D320" i="2"/>
  <c r="V319" i="2"/>
  <c r="U319" i="2"/>
  <c r="T319" i="2"/>
  <c r="S319" i="2"/>
  <c r="R319" i="2"/>
  <c r="Q319" i="2"/>
  <c r="P319" i="2"/>
  <c r="O319" i="2"/>
  <c r="N319" i="2"/>
  <c r="M319" i="2"/>
  <c r="L319" i="2"/>
  <c r="K319" i="2"/>
  <c r="H319" i="2"/>
  <c r="D319" i="2"/>
  <c r="V318" i="2"/>
  <c r="U318" i="2"/>
  <c r="T318" i="2"/>
  <c r="S318" i="2"/>
  <c r="R318" i="2"/>
  <c r="Q318" i="2"/>
  <c r="P318" i="2"/>
  <c r="O318" i="2"/>
  <c r="N318" i="2"/>
  <c r="M318" i="2"/>
  <c r="L318" i="2"/>
  <c r="K318" i="2"/>
  <c r="H318" i="2"/>
  <c r="D318" i="2"/>
  <c r="V317" i="2"/>
  <c r="U317" i="2"/>
  <c r="T317" i="2"/>
  <c r="S317" i="2"/>
  <c r="R317" i="2"/>
  <c r="Q317" i="2"/>
  <c r="P317" i="2"/>
  <c r="O317" i="2"/>
  <c r="N317" i="2"/>
  <c r="M317" i="2"/>
  <c r="L317" i="2"/>
  <c r="K317" i="2"/>
  <c r="H317" i="2"/>
  <c r="D317" i="2"/>
  <c r="V316" i="2"/>
  <c r="U316" i="2"/>
  <c r="T316" i="2"/>
  <c r="S316" i="2"/>
  <c r="R316" i="2"/>
  <c r="Q316" i="2"/>
  <c r="P316" i="2"/>
  <c r="O316" i="2"/>
  <c r="N316" i="2"/>
  <c r="M316" i="2"/>
  <c r="L316" i="2"/>
  <c r="K316" i="2"/>
  <c r="H316" i="2"/>
  <c r="D316" i="2"/>
  <c r="V315" i="2"/>
  <c r="U315" i="2"/>
  <c r="T315" i="2"/>
  <c r="S315" i="2"/>
  <c r="R315" i="2"/>
  <c r="Q315" i="2"/>
  <c r="P315" i="2"/>
  <c r="O315" i="2"/>
  <c r="N315" i="2"/>
  <c r="M315" i="2"/>
  <c r="L315" i="2"/>
  <c r="K315" i="2"/>
  <c r="H315" i="2"/>
  <c r="D315" i="2"/>
  <c r="V314" i="2"/>
  <c r="U314" i="2"/>
  <c r="T314" i="2"/>
  <c r="S314" i="2"/>
  <c r="R314" i="2"/>
  <c r="Q314" i="2"/>
  <c r="P314" i="2"/>
  <c r="O314" i="2"/>
  <c r="N314" i="2"/>
  <c r="M314" i="2"/>
  <c r="L314" i="2"/>
  <c r="K314" i="2"/>
  <c r="H314" i="2"/>
  <c r="D314" i="2"/>
  <c r="V313" i="2"/>
  <c r="U313" i="2"/>
  <c r="T313" i="2"/>
  <c r="S313" i="2"/>
  <c r="R313" i="2"/>
  <c r="Q313" i="2"/>
  <c r="P313" i="2"/>
  <c r="O313" i="2"/>
  <c r="N313" i="2"/>
  <c r="M313" i="2"/>
  <c r="L313" i="2"/>
  <c r="K313" i="2"/>
  <c r="H313" i="2"/>
  <c r="D313" i="2"/>
  <c r="V312" i="2"/>
  <c r="U312" i="2"/>
  <c r="T312" i="2"/>
  <c r="S312" i="2"/>
  <c r="R312" i="2"/>
  <c r="Q312" i="2"/>
  <c r="P312" i="2"/>
  <c r="O312" i="2"/>
  <c r="N312" i="2"/>
  <c r="M312" i="2"/>
  <c r="L312" i="2"/>
  <c r="K312" i="2"/>
  <c r="H312" i="2"/>
  <c r="D312" i="2"/>
  <c r="V311" i="2"/>
  <c r="U311" i="2"/>
  <c r="T311" i="2"/>
  <c r="S311" i="2"/>
  <c r="R311" i="2"/>
  <c r="Q311" i="2"/>
  <c r="P311" i="2"/>
  <c r="O311" i="2"/>
  <c r="N311" i="2"/>
  <c r="M311" i="2"/>
  <c r="L311" i="2"/>
  <c r="K311" i="2"/>
  <c r="H311" i="2"/>
  <c r="D311" i="2"/>
  <c r="V310" i="2"/>
  <c r="U310" i="2"/>
  <c r="T310" i="2"/>
  <c r="S310" i="2"/>
  <c r="R310" i="2"/>
  <c r="Q310" i="2"/>
  <c r="P310" i="2"/>
  <c r="O310" i="2"/>
  <c r="N310" i="2"/>
  <c r="M310" i="2"/>
  <c r="L310" i="2"/>
  <c r="K310" i="2"/>
  <c r="H310" i="2"/>
  <c r="D310" i="2"/>
  <c r="V309" i="2"/>
  <c r="U309" i="2"/>
  <c r="T309" i="2"/>
  <c r="S309" i="2"/>
  <c r="R309" i="2"/>
  <c r="Q309" i="2"/>
  <c r="P309" i="2"/>
  <c r="O309" i="2"/>
  <c r="N309" i="2"/>
  <c r="M309" i="2"/>
  <c r="L309" i="2"/>
  <c r="K309" i="2"/>
  <c r="H309" i="2"/>
  <c r="D309" i="2"/>
  <c r="V308" i="2"/>
  <c r="U308" i="2"/>
  <c r="T308" i="2"/>
  <c r="S308" i="2"/>
  <c r="R308" i="2"/>
  <c r="Q308" i="2"/>
  <c r="P308" i="2"/>
  <c r="O308" i="2"/>
  <c r="N308" i="2"/>
  <c r="M308" i="2"/>
  <c r="L308" i="2"/>
  <c r="K308" i="2"/>
  <c r="H308" i="2"/>
  <c r="D308" i="2"/>
  <c r="V307" i="2"/>
  <c r="U307" i="2"/>
  <c r="T307" i="2"/>
  <c r="S307" i="2"/>
  <c r="R307" i="2"/>
  <c r="Q307" i="2"/>
  <c r="P307" i="2"/>
  <c r="O307" i="2"/>
  <c r="N307" i="2"/>
  <c r="M307" i="2"/>
  <c r="L307" i="2"/>
  <c r="K307" i="2"/>
  <c r="H307" i="2"/>
  <c r="D307" i="2"/>
  <c r="V306" i="2"/>
  <c r="U306" i="2"/>
  <c r="T306" i="2"/>
  <c r="S306" i="2"/>
  <c r="R306" i="2"/>
  <c r="Q306" i="2"/>
  <c r="P306" i="2"/>
  <c r="O306" i="2"/>
  <c r="N306" i="2"/>
  <c r="M306" i="2"/>
  <c r="L306" i="2"/>
  <c r="K306" i="2"/>
  <c r="H306" i="2"/>
  <c r="D306" i="2"/>
  <c r="V305" i="2"/>
  <c r="U305" i="2"/>
  <c r="T305" i="2"/>
  <c r="S305" i="2"/>
  <c r="R305" i="2"/>
  <c r="Q305" i="2"/>
  <c r="P305" i="2"/>
  <c r="O305" i="2"/>
  <c r="N305" i="2"/>
  <c r="M305" i="2"/>
  <c r="L305" i="2"/>
  <c r="K305" i="2"/>
  <c r="H305" i="2"/>
  <c r="D305" i="2"/>
  <c r="V304" i="2"/>
  <c r="U304" i="2"/>
  <c r="T304" i="2"/>
  <c r="S304" i="2"/>
  <c r="R304" i="2"/>
  <c r="Q304" i="2"/>
  <c r="P304" i="2"/>
  <c r="O304" i="2"/>
  <c r="N304" i="2"/>
  <c r="M304" i="2"/>
  <c r="L304" i="2"/>
  <c r="K304" i="2"/>
  <c r="H304" i="2"/>
  <c r="D304" i="2"/>
  <c r="V303" i="2"/>
  <c r="U303" i="2"/>
  <c r="T303" i="2"/>
  <c r="S303" i="2"/>
  <c r="R303" i="2"/>
  <c r="Q303" i="2"/>
  <c r="P303" i="2"/>
  <c r="O303" i="2"/>
  <c r="N303" i="2"/>
  <c r="M303" i="2"/>
  <c r="L303" i="2"/>
  <c r="K303" i="2"/>
  <c r="H303" i="2"/>
  <c r="D303" i="2"/>
  <c r="V302" i="2"/>
  <c r="U302" i="2"/>
  <c r="T302" i="2"/>
  <c r="S302" i="2"/>
  <c r="R302" i="2"/>
  <c r="Q302" i="2"/>
  <c r="P302" i="2"/>
  <c r="O302" i="2"/>
  <c r="N302" i="2"/>
  <c r="M302" i="2"/>
  <c r="L302" i="2"/>
  <c r="K302" i="2"/>
  <c r="H302" i="2"/>
  <c r="D302" i="2"/>
  <c r="V301" i="2"/>
  <c r="U301" i="2"/>
  <c r="T301" i="2"/>
  <c r="S301" i="2"/>
  <c r="R301" i="2"/>
  <c r="Q301" i="2"/>
  <c r="P301" i="2"/>
  <c r="O301" i="2"/>
  <c r="N301" i="2"/>
  <c r="M301" i="2"/>
  <c r="L301" i="2"/>
  <c r="K301" i="2"/>
  <c r="H301" i="2"/>
  <c r="D301" i="2"/>
  <c r="V300" i="2"/>
  <c r="U300" i="2"/>
  <c r="T300" i="2"/>
  <c r="S300" i="2"/>
  <c r="R300" i="2"/>
  <c r="Q300" i="2"/>
  <c r="P300" i="2"/>
  <c r="O300" i="2"/>
  <c r="N300" i="2"/>
  <c r="M300" i="2"/>
  <c r="L300" i="2"/>
  <c r="K300" i="2"/>
  <c r="H300" i="2"/>
  <c r="D300" i="2"/>
  <c r="V299" i="2"/>
  <c r="U299" i="2"/>
  <c r="T299" i="2"/>
  <c r="S299" i="2"/>
  <c r="R299" i="2"/>
  <c r="Q299" i="2"/>
  <c r="P299" i="2"/>
  <c r="O299" i="2"/>
  <c r="N299" i="2"/>
  <c r="M299" i="2"/>
  <c r="L299" i="2"/>
  <c r="K299" i="2"/>
  <c r="H299" i="2"/>
  <c r="D299" i="2"/>
  <c r="V298" i="2"/>
  <c r="U298" i="2"/>
  <c r="T298" i="2"/>
  <c r="S298" i="2"/>
  <c r="R298" i="2"/>
  <c r="Q298" i="2"/>
  <c r="P298" i="2"/>
  <c r="O298" i="2"/>
  <c r="N298" i="2"/>
  <c r="M298" i="2"/>
  <c r="L298" i="2"/>
  <c r="K298" i="2"/>
  <c r="H298" i="2"/>
  <c r="D298" i="2"/>
  <c r="V297" i="2"/>
  <c r="U297" i="2"/>
  <c r="T297" i="2"/>
  <c r="S297" i="2"/>
  <c r="R297" i="2"/>
  <c r="Q297" i="2"/>
  <c r="P297" i="2"/>
  <c r="O297" i="2"/>
  <c r="N297" i="2"/>
  <c r="M297" i="2"/>
  <c r="L297" i="2"/>
  <c r="K297" i="2"/>
  <c r="H297" i="2"/>
  <c r="D297" i="2"/>
  <c r="V296" i="2"/>
  <c r="U296" i="2"/>
  <c r="T296" i="2"/>
  <c r="S296" i="2"/>
  <c r="R296" i="2"/>
  <c r="Q296" i="2"/>
  <c r="P296" i="2"/>
  <c r="O296" i="2"/>
  <c r="N296" i="2"/>
  <c r="M296" i="2"/>
  <c r="L296" i="2"/>
  <c r="K296" i="2"/>
  <c r="H296" i="2"/>
  <c r="D296" i="2"/>
  <c r="V295" i="2"/>
  <c r="U295" i="2"/>
  <c r="T295" i="2"/>
  <c r="S295" i="2"/>
  <c r="R295" i="2"/>
  <c r="Q295" i="2"/>
  <c r="P295" i="2"/>
  <c r="O295" i="2"/>
  <c r="N295" i="2"/>
  <c r="M295" i="2"/>
  <c r="L295" i="2"/>
  <c r="K295" i="2"/>
  <c r="H295" i="2"/>
  <c r="D295" i="2"/>
  <c r="V294" i="2"/>
  <c r="U294" i="2"/>
  <c r="T294" i="2"/>
  <c r="S294" i="2"/>
  <c r="R294" i="2"/>
  <c r="Q294" i="2"/>
  <c r="P294" i="2"/>
  <c r="O294" i="2"/>
  <c r="N294" i="2"/>
  <c r="M294" i="2"/>
  <c r="L294" i="2"/>
  <c r="K294" i="2"/>
  <c r="H294" i="2"/>
  <c r="D294" i="2"/>
  <c r="V293" i="2"/>
  <c r="U293" i="2"/>
  <c r="T293" i="2"/>
  <c r="S293" i="2"/>
  <c r="R293" i="2"/>
  <c r="Q293" i="2"/>
  <c r="P293" i="2"/>
  <c r="O293" i="2"/>
  <c r="N293" i="2"/>
  <c r="M293" i="2"/>
  <c r="L293" i="2"/>
  <c r="K293" i="2"/>
  <c r="H293" i="2"/>
  <c r="D293" i="2"/>
  <c r="V292" i="2"/>
  <c r="U292" i="2"/>
  <c r="T292" i="2"/>
  <c r="S292" i="2"/>
  <c r="R292" i="2"/>
  <c r="Q292" i="2"/>
  <c r="P292" i="2"/>
  <c r="O292" i="2"/>
  <c r="N292" i="2"/>
  <c r="M292" i="2"/>
  <c r="L292" i="2"/>
  <c r="K292" i="2"/>
  <c r="H292" i="2"/>
  <c r="D292" i="2"/>
  <c r="V291" i="2"/>
  <c r="U291" i="2"/>
  <c r="T291" i="2"/>
  <c r="S291" i="2"/>
  <c r="R291" i="2"/>
  <c r="Q291" i="2"/>
  <c r="P291" i="2"/>
  <c r="O291" i="2"/>
  <c r="N291" i="2"/>
  <c r="M291" i="2"/>
  <c r="L291" i="2"/>
  <c r="K291" i="2"/>
  <c r="H291" i="2"/>
  <c r="D291" i="2"/>
  <c r="V290" i="2"/>
  <c r="U290" i="2"/>
  <c r="T290" i="2"/>
  <c r="S290" i="2"/>
  <c r="R290" i="2"/>
  <c r="Q290" i="2"/>
  <c r="P290" i="2"/>
  <c r="O290" i="2"/>
  <c r="N290" i="2"/>
  <c r="M290" i="2"/>
  <c r="L290" i="2"/>
  <c r="K290" i="2"/>
  <c r="H290" i="2"/>
  <c r="D290" i="2"/>
  <c r="V289" i="2"/>
  <c r="U289" i="2"/>
  <c r="T289" i="2"/>
  <c r="S289" i="2"/>
  <c r="R289" i="2"/>
  <c r="Q289" i="2"/>
  <c r="P289" i="2"/>
  <c r="O289" i="2"/>
  <c r="N289" i="2"/>
  <c r="M289" i="2"/>
  <c r="L289" i="2"/>
  <c r="K289" i="2"/>
  <c r="H289" i="2"/>
  <c r="D289" i="2"/>
  <c r="V288" i="2"/>
  <c r="U288" i="2"/>
  <c r="T288" i="2"/>
  <c r="S288" i="2"/>
  <c r="R288" i="2"/>
  <c r="Q288" i="2"/>
  <c r="P288" i="2"/>
  <c r="O288" i="2"/>
  <c r="N288" i="2"/>
  <c r="M288" i="2"/>
  <c r="L288" i="2"/>
  <c r="K288" i="2"/>
  <c r="H288" i="2"/>
  <c r="D288" i="2"/>
  <c r="V287" i="2"/>
  <c r="U287" i="2"/>
  <c r="T287" i="2"/>
  <c r="S287" i="2"/>
  <c r="R287" i="2"/>
  <c r="Q287" i="2"/>
  <c r="P287" i="2"/>
  <c r="O287" i="2"/>
  <c r="N287" i="2"/>
  <c r="M287" i="2"/>
  <c r="L287" i="2"/>
  <c r="K287" i="2"/>
  <c r="H287" i="2"/>
  <c r="D287" i="2"/>
  <c r="V286" i="2"/>
  <c r="U286" i="2"/>
  <c r="T286" i="2"/>
  <c r="S286" i="2"/>
  <c r="R286" i="2"/>
  <c r="Q286" i="2"/>
  <c r="P286" i="2"/>
  <c r="O286" i="2"/>
  <c r="N286" i="2"/>
  <c r="M286" i="2"/>
  <c r="L286" i="2"/>
  <c r="K286" i="2"/>
  <c r="H286" i="2"/>
  <c r="D286" i="2"/>
  <c r="V285" i="2"/>
  <c r="U285" i="2"/>
  <c r="T285" i="2"/>
  <c r="S285" i="2"/>
  <c r="R285" i="2"/>
  <c r="Q285" i="2"/>
  <c r="P285" i="2"/>
  <c r="O285" i="2"/>
  <c r="N285" i="2"/>
  <c r="M285" i="2"/>
  <c r="L285" i="2"/>
  <c r="K285" i="2"/>
  <c r="H285" i="2"/>
  <c r="D285" i="2"/>
  <c r="V284" i="2"/>
  <c r="U284" i="2"/>
  <c r="T284" i="2"/>
  <c r="S284" i="2"/>
  <c r="R284" i="2"/>
  <c r="Q284" i="2"/>
  <c r="P284" i="2"/>
  <c r="O284" i="2"/>
  <c r="N284" i="2"/>
  <c r="M284" i="2"/>
  <c r="L284" i="2"/>
  <c r="K284" i="2"/>
  <c r="H284" i="2"/>
  <c r="D284" i="2"/>
  <c r="V283" i="2"/>
  <c r="U283" i="2"/>
  <c r="T283" i="2"/>
  <c r="S283" i="2"/>
  <c r="R283" i="2"/>
  <c r="Q283" i="2"/>
  <c r="P283" i="2"/>
  <c r="O283" i="2"/>
  <c r="N283" i="2"/>
  <c r="M283" i="2"/>
  <c r="L283" i="2"/>
  <c r="K283" i="2"/>
  <c r="H283" i="2"/>
  <c r="D283" i="2"/>
  <c r="V282" i="2"/>
  <c r="U282" i="2"/>
  <c r="T282" i="2"/>
  <c r="S282" i="2"/>
  <c r="R282" i="2"/>
  <c r="Q282" i="2"/>
  <c r="P282" i="2"/>
  <c r="O282" i="2"/>
  <c r="N282" i="2"/>
  <c r="M282" i="2"/>
  <c r="L282" i="2"/>
  <c r="K282" i="2"/>
  <c r="H282" i="2"/>
  <c r="D282" i="2"/>
  <c r="V281" i="2"/>
  <c r="U281" i="2"/>
  <c r="T281" i="2"/>
  <c r="S281" i="2"/>
  <c r="R281" i="2"/>
  <c r="Q281" i="2"/>
  <c r="P281" i="2"/>
  <c r="O281" i="2"/>
  <c r="N281" i="2"/>
  <c r="M281" i="2"/>
  <c r="L281" i="2"/>
  <c r="K281" i="2"/>
  <c r="H281" i="2"/>
  <c r="D281" i="2"/>
  <c r="V280" i="2"/>
  <c r="U280" i="2"/>
  <c r="T280" i="2"/>
  <c r="S280" i="2"/>
  <c r="R280" i="2"/>
  <c r="Q280" i="2"/>
  <c r="P280" i="2"/>
  <c r="O280" i="2"/>
  <c r="N280" i="2"/>
  <c r="M280" i="2"/>
  <c r="L280" i="2"/>
  <c r="K280" i="2"/>
  <c r="H280" i="2"/>
  <c r="D280" i="2"/>
  <c r="V279" i="2"/>
  <c r="U279" i="2"/>
  <c r="T279" i="2"/>
  <c r="S279" i="2"/>
  <c r="R279" i="2"/>
  <c r="Q279" i="2"/>
  <c r="P279" i="2"/>
  <c r="O279" i="2"/>
  <c r="N279" i="2"/>
  <c r="M279" i="2"/>
  <c r="L279" i="2"/>
  <c r="K279" i="2"/>
  <c r="H279" i="2"/>
  <c r="D279" i="2"/>
  <c r="V278" i="2"/>
  <c r="U278" i="2"/>
  <c r="T278" i="2"/>
  <c r="S278" i="2"/>
  <c r="R278" i="2"/>
  <c r="Q278" i="2"/>
  <c r="P278" i="2"/>
  <c r="O278" i="2"/>
  <c r="N278" i="2"/>
  <c r="M278" i="2"/>
  <c r="L278" i="2"/>
  <c r="K278" i="2"/>
  <c r="H278" i="2"/>
  <c r="D278" i="2"/>
  <c r="V277" i="2"/>
  <c r="U277" i="2"/>
  <c r="T277" i="2"/>
  <c r="S277" i="2"/>
  <c r="R277" i="2"/>
  <c r="Q277" i="2"/>
  <c r="P277" i="2"/>
  <c r="O277" i="2"/>
  <c r="N277" i="2"/>
  <c r="M277" i="2"/>
  <c r="L277" i="2"/>
  <c r="K277" i="2"/>
  <c r="H277" i="2"/>
  <c r="D277" i="2"/>
  <c r="V276" i="2"/>
  <c r="U276" i="2"/>
  <c r="T276" i="2"/>
  <c r="S276" i="2"/>
  <c r="R276" i="2"/>
  <c r="Q276" i="2"/>
  <c r="P276" i="2"/>
  <c r="O276" i="2"/>
  <c r="N276" i="2"/>
  <c r="M276" i="2"/>
  <c r="L276" i="2"/>
  <c r="K276" i="2"/>
  <c r="H276" i="2"/>
  <c r="D276" i="2"/>
  <c r="V275" i="2"/>
  <c r="U275" i="2"/>
  <c r="T275" i="2"/>
  <c r="S275" i="2"/>
  <c r="R275" i="2"/>
  <c r="Q275" i="2"/>
  <c r="P275" i="2"/>
  <c r="O275" i="2"/>
  <c r="N275" i="2"/>
  <c r="M275" i="2"/>
  <c r="L275" i="2"/>
  <c r="K275" i="2"/>
  <c r="H275" i="2"/>
  <c r="D275" i="2"/>
  <c r="V274" i="2"/>
  <c r="U274" i="2"/>
  <c r="T274" i="2"/>
  <c r="S274" i="2"/>
  <c r="R274" i="2"/>
  <c r="Q274" i="2"/>
  <c r="P274" i="2"/>
  <c r="O274" i="2"/>
  <c r="N274" i="2"/>
  <c r="M274" i="2"/>
  <c r="L274" i="2"/>
  <c r="K274" i="2"/>
  <c r="H274" i="2"/>
  <c r="D274" i="2"/>
  <c r="V273" i="2"/>
  <c r="U273" i="2"/>
  <c r="T273" i="2"/>
  <c r="S273" i="2"/>
  <c r="R273" i="2"/>
  <c r="Q273" i="2"/>
  <c r="P273" i="2"/>
  <c r="O273" i="2"/>
  <c r="N273" i="2"/>
  <c r="M273" i="2"/>
  <c r="L273" i="2"/>
  <c r="K273" i="2"/>
  <c r="H273" i="2"/>
  <c r="D273" i="2"/>
  <c r="V272" i="2"/>
  <c r="U272" i="2"/>
  <c r="T272" i="2"/>
  <c r="S272" i="2"/>
  <c r="R272" i="2"/>
  <c r="Q272" i="2"/>
  <c r="P272" i="2"/>
  <c r="O272" i="2"/>
  <c r="N272" i="2"/>
  <c r="M272" i="2"/>
  <c r="L272" i="2"/>
  <c r="K272" i="2"/>
  <c r="H272" i="2"/>
  <c r="D272" i="2"/>
  <c r="V271" i="2"/>
  <c r="U271" i="2"/>
  <c r="T271" i="2"/>
  <c r="S271" i="2"/>
  <c r="R271" i="2"/>
  <c r="Q271" i="2"/>
  <c r="P271" i="2"/>
  <c r="O271" i="2"/>
  <c r="N271" i="2"/>
  <c r="M271" i="2"/>
  <c r="L271" i="2"/>
  <c r="K271" i="2"/>
  <c r="H271" i="2"/>
  <c r="D271" i="2"/>
  <c r="V270" i="2"/>
  <c r="U270" i="2"/>
  <c r="T270" i="2"/>
  <c r="S270" i="2"/>
  <c r="R270" i="2"/>
  <c r="Q270" i="2"/>
  <c r="P270" i="2"/>
  <c r="O270" i="2"/>
  <c r="N270" i="2"/>
  <c r="M270" i="2"/>
  <c r="L270" i="2"/>
  <c r="K270" i="2"/>
  <c r="H270" i="2"/>
  <c r="D270" i="2"/>
  <c r="V269" i="2"/>
  <c r="U269" i="2"/>
  <c r="T269" i="2"/>
  <c r="S269" i="2"/>
  <c r="R269" i="2"/>
  <c r="Q269" i="2"/>
  <c r="P269" i="2"/>
  <c r="O269" i="2"/>
  <c r="N269" i="2"/>
  <c r="M269" i="2"/>
  <c r="L269" i="2"/>
  <c r="K269" i="2"/>
  <c r="H269" i="2"/>
  <c r="D269" i="2"/>
  <c r="V268" i="2"/>
  <c r="U268" i="2"/>
  <c r="T268" i="2"/>
  <c r="S268" i="2"/>
  <c r="R268" i="2"/>
  <c r="Q268" i="2"/>
  <c r="P268" i="2"/>
  <c r="O268" i="2"/>
  <c r="N268" i="2"/>
  <c r="M268" i="2"/>
  <c r="L268" i="2"/>
  <c r="K268" i="2"/>
  <c r="H268" i="2"/>
  <c r="D268" i="2"/>
  <c r="V267" i="2"/>
  <c r="U267" i="2"/>
  <c r="T267" i="2"/>
  <c r="S267" i="2"/>
  <c r="R267" i="2"/>
  <c r="Q267" i="2"/>
  <c r="P267" i="2"/>
  <c r="O267" i="2"/>
  <c r="N267" i="2"/>
  <c r="M267" i="2"/>
  <c r="L267" i="2"/>
  <c r="K267" i="2"/>
  <c r="H267" i="2"/>
  <c r="D267" i="2"/>
  <c r="V266" i="2"/>
  <c r="U266" i="2"/>
  <c r="T266" i="2"/>
  <c r="S266" i="2"/>
  <c r="R266" i="2"/>
  <c r="Q266" i="2"/>
  <c r="P266" i="2"/>
  <c r="O266" i="2"/>
  <c r="N266" i="2"/>
  <c r="M266" i="2"/>
  <c r="L266" i="2"/>
  <c r="K266" i="2"/>
  <c r="H266" i="2"/>
  <c r="D266" i="2"/>
  <c r="V265" i="2"/>
  <c r="U265" i="2"/>
  <c r="T265" i="2"/>
  <c r="S265" i="2"/>
  <c r="R265" i="2"/>
  <c r="Q265" i="2"/>
  <c r="P265" i="2"/>
  <c r="O265" i="2"/>
  <c r="N265" i="2"/>
  <c r="M265" i="2"/>
  <c r="L265" i="2"/>
  <c r="K265" i="2"/>
  <c r="H265" i="2"/>
  <c r="D265" i="2"/>
  <c r="V264" i="2"/>
  <c r="U264" i="2"/>
  <c r="T264" i="2"/>
  <c r="S264" i="2"/>
  <c r="R264" i="2"/>
  <c r="Q264" i="2"/>
  <c r="P264" i="2"/>
  <c r="O264" i="2"/>
  <c r="N264" i="2"/>
  <c r="M264" i="2"/>
  <c r="L264" i="2"/>
  <c r="K264" i="2"/>
  <c r="H264" i="2"/>
  <c r="D264" i="2"/>
  <c r="V263" i="2"/>
  <c r="U263" i="2"/>
  <c r="T263" i="2"/>
  <c r="S263" i="2"/>
  <c r="R263" i="2"/>
  <c r="Q263" i="2"/>
  <c r="P263" i="2"/>
  <c r="O263" i="2"/>
  <c r="N263" i="2"/>
  <c r="M263" i="2"/>
  <c r="L263" i="2"/>
  <c r="K263" i="2"/>
  <c r="H263" i="2"/>
  <c r="D263" i="2"/>
  <c r="V262" i="2"/>
  <c r="U262" i="2"/>
  <c r="T262" i="2"/>
  <c r="S262" i="2"/>
  <c r="R262" i="2"/>
  <c r="Q262" i="2"/>
  <c r="P262" i="2"/>
  <c r="O262" i="2"/>
  <c r="N262" i="2"/>
  <c r="M262" i="2"/>
  <c r="L262" i="2"/>
  <c r="K262" i="2"/>
  <c r="H262" i="2"/>
  <c r="D262" i="2"/>
  <c r="V261" i="2"/>
  <c r="U261" i="2"/>
  <c r="T261" i="2"/>
  <c r="S261" i="2"/>
  <c r="R261" i="2"/>
  <c r="Q261" i="2"/>
  <c r="P261" i="2"/>
  <c r="O261" i="2"/>
  <c r="N261" i="2"/>
  <c r="M261" i="2"/>
  <c r="L261" i="2"/>
  <c r="K261" i="2"/>
  <c r="H261" i="2"/>
  <c r="D261" i="2"/>
  <c r="V260" i="2"/>
  <c r="U260" i="2"/>
  <c r="T260" i="2"/>
  <c r="S260" i="2"/>
  <c r="R260" i="2"/>
  <c r="Q260" i="2"/>
  <c r="P260" i="2"/>
  <c r="O260" i="2"/>
  <c r="N260" i="2"/>
  <c r="M260" i="2"/>
  <c r="L260" i="2"/>
  <c r="K260" i="2"/>
  <c r="H260" i="2"/>
  <c r="D260" i="2"/>
  <c r="V259" i="2"/>
  <c r="U259" i="2"/>
  <c r="T259" i="2"/>
  <c r="S259" i="2"/>
  <c r="R259" i="2"/>
  <c r="Q259" i="2"/>
  <c r="P259" i="2"/>
  <c r="O259" i="2"/>
  <c r="N259" i="2"/>
  <c r="M259" i="2"/>
  <c r="L259" i="2"/>
  <c r="K259" i="2"/>
  <c r="H259" i="2"/>
  <c r="D259" i="2"/>
  <c r="V258" i="2"/>
  <c r="U258" i="2"/>
  <c r="T258" i="2"/>
  <c r="S258" i="2"/>
  <c r="R258" i="2"/>
  <c r="Q258" i="2"/>
  <c r="P258" i="2"/>
  <c r="O258" i="2"/>
  <c r="N258" i="2"/>
  <c r="M258" i="2"/>
  <c r="L258" i="2"/>
  <c r="K258" i="2"/>
  <c r="H258" i="2"/>
  <c r="D258" i="2"/>
  <c r="V257" i="2"/>
  <c r="U257" i="2"/>
  <c r="T257" i="2"/>
  <c r="S257" i="2"/>
  <c r="R257" i="2"/>
  <c r="Q257" i="2"/>
  <c r="P257" i="2"/>
  <c r="O257" i="2"/>
  <c r="N257" i="2"/>
  <c r="M257" i="2"/>
  <c r="L257" i="2"/>
  <c r="K257" i="2"/>
  <c r="H257" i="2"/>
  <c r="D257" i="2"/>
  <c r="V256" i="2"/>
  <c r="U256" i="2"/>
  <c r="T256" i="2"/>
  <c r="S256" i="2"/>
  <c r="R256" i="2"/>
  <c r="Q256" i="2"/>
  <c r="P256" i="2"/>
  <c r="O256" i="2"/>
  <c r="N256" i="2"/>
  <c r="M256" i="2"/>
  <c r="L256" i="2"/>
  <c r="K256" i="2"/>
  <c r="H256" i="2"/>
  <c r="D256" i="2"/>
  <c r="V255" i="2"/>
  <c r="U255" i="2"/>
  <c r="T255" i="2"/>
  <c r="S255" i="2"/>
  <c r="R255" i="2"/>
  <c r="Q255" i="2"/>
  <c r="P255" i="2"/>
  <c r="O255" i="2"/>
  <c r="N255" i="2"/>
  <c r="M255" i="2"/>
  <c r="L255" i="2"/>
  <c r="K255" i="2"/>
  <c r="H255" i="2"/>
  <c r="D255" i="2"/>
  <c r="V254" i="2"/>
  <c r="U254" i="2"/>
  <c r="T254" i="2"/>
  <c r="S254" i="2"/>
  <c r="R254" i="2"/>
  <c r="Q254" i="2"/>
  <c r="P254" i="2"/>
  <c r="O254" i="2"/>
  <c r="N254" i="2"/>
  <c r="M254" i="2"/>
  <c r="L254" i="2"/>
  <c r="K254" i="2"/>
  <c r="H254" i="2"/>
  <c r="D254" i="2"/>
  <c r="V253" i="2"/>
  <c r="U253" i="2"/>
  <c r="T253" i="2"/>
  <c r="S253" i="2"/>
  <c r="R253" i="2"/>
  <c r="Q253" i="2"/>
  <c r="P253" i="2"/>
  <c r="O253" i="2"/>
  <c r="N253" i="2"/>
  <c r="M253" i="2"/>
  <c r="L253" i="2"/>
  <c r="K253" i="2"/>
  <c r="H253" i="2"/>
  <c r="D253" i="2"/>
  <c r="V252" i="2"/>
  <c r="U252" i="2"/>
  <c r="T252" i="2"/>
  <c r="S252" i="2"/>
  <c r="R252" i="2"/>
  <c r="Q252" i="2"/>
  <c r="P252" i="2"/>
  <c r="O252" i="2"/>
  <c r="N252" i="2"/>
  <c r="M252" i="2"/>
  <c r="L252" i="2"/>
  <c r="K252" i="2"/>
  <c r="H252" i="2"/>
  <c r="D252" i="2"/>
  <c r="V251" i="2"/>
  <c r="U251" i="2"/>
  <c r="T251" i="2"/>
  <c r="S251" i="2"/>
  <c r="R251" i="2"/>
  <c r="Q251" i="2"/>
  <c r="P251" i="2"/>
  <c r="O251" i="2"/>
  <c r="N251" i="2"/>
  <c r="M251" i="2"/>
  <c r="L251" i="2"/>
  <c r="K251" i="2"/>
  <c r="H251" i="2"/>
  <c r="D251" i="2"/>
  <c r="V250" i="2"/>
  <c r="U250" i="2"/>
  <c r="T250" i="2"/>
  <c r="S250" i="2"/>
  <c r="R250" i="2"/>
  <c r="Q250" i="2"/>
  <c r="P250" i="2"/>
  <c r="O250" i="2"/>
  <c r="N250" i="2"/>
  <c r="M250" i="2"/>
  <c r="L250" i="2"/>
  <c r="K250" i="2"/>
  <c r="H250" i="2"/>
  <c r="D250" i="2"/>
  <c r="V249" i="2"/>
  <c r="U249" i="2"/>
  <c r="T249" i="2"/>
  <c r="S249" i="2"/>
  <c r="R249" i="2"/>
  <c r="Q249" i="2"/>
  <c r="P249" i="2"/>
  <c r="O249" i="2"/>
  <c r="N249" i="2"/>
  <c r="M249" i="2"/>
  <c r="L249" i="2"/>
  <c r="K249" i="2"/>
  <c r="H249" i="2"/>
  <c r="D249" i="2"/>
  <c r="V248" i="2"/>
  <c r="U248" i="2"/>
  <c r="T248" i="2"/>
  <c r="S248" i="2"/>
  <c r="R248" i="2"/>
  <c r="Q248" i="2"/>
  <c r="P248" i="2"/>
  <c r="O248" i="2"/>
  <c r="N248" i="2"/>
  <c r="M248" i="2"/>
  <c r="L248" i="2"/>
  <c r="K248" i="2"/>
  <c r="H248" i="2"/>
  <c r="D248" i="2"/>
  <c r="V247" i="2"/>
  <c r="U247" i="2"/>
  <c r="T247" i="2"/>
  <c r="S247" i="2"/>
  <c r="R247" i="2"/>
  <c r="Q247" i="2"/>
  <c r="P247" i="2"/>
  <c r="O247" i="2"/>
  <c r="N247" i="2"/>
  <c r="M247" i="2"/>
  <c r="L247" i="2"/>
  <c r="K247" i="2"/>
  <c r="H247" i="2"/>
  <c r="D247" i="2"/>
  <c r="V246" i="2"/>
  <c r="U246" i="2"/>
  <c r="T246" i="2"/>
  <c r="S246" i="2"/>
  <c r="R246" i="2"/>
  <c r="Q246" i="2"/>
  <c r="P246" i="2"/>
  <c r="O246" i="2"/>
  <c r="N246" i="2"/>
  <c r="M246" i="2"/>
  <c r="L246" i="2"/>
  <c r="K246" i="2"/>
  <c r="H246" i="2"/>
  <c r="D246" i="2"/>
  <c r="V245" i="2"/>
  <c r="U245" i="2"/>
  <c r="T245" i="2"/>
  <c r="S245" i="2"/>
  <c r="R245" i="2"/>
  <c r="Q245" i="2"/>
  <c r="P245" i="2"/>
  <c r="O245" i="2"/>
  <c r="N245" i="2"/>
  <c r="M245" i="2"/>
  <c r="L245" i="2"/>
  <c r="K245" i="2"/>
  <c r="H245" i="2"/>
  <c r="D245" i="2"/>
  <c r="V244" i="2"/>
  <c r="U244" i="2"/>
  <c r="T244" i="2"/>
  <c r="S244" i="2"/>
  <c r="R244" i="2"/>
  <c r="Q244" i="2"/>
  <c r="P244" i="2"/>
  <c r="O244" i="2"/>
  <c r="N244" i="2"/>
  <c r="M244" i="2"/>
  <c r="L244" i="2"/>
  <c r="K244" i="2"/>
  <c r="H244" i="2"/>
  <c r="D244" i="2"/>
  <c r="V243" i="2"/>
  <c r="U243" i="2"/>
  <c r="T243" i="2"/>
  <c r="S243" i="2"/>
  <c r="R243" i="2"/>
  <c r="Q243" i="2"/>
  <c r="P243" i="2"/>
  <c r="O243" i="2"/>
  <c r="N243" i="2"/>
  <c r="M243" i="2"/>
  <c r="L243" i="2"/>
  <c r="K243" i="2"/>
  <c r="H243" i="2"/>
  <c r="D243" i="2"/>
  <c r="V242" i="2"/>
  <c r="U242" i="2"/>
  <c r="T242" i="2"/>
  <c r="S242" i="2"/>
  <c r="R242" i="2"/>
  <c r="Q242" i="2"/>
  <c r="P242" i="2"/>
  <c r="O242" i="2"/>
  <c r="N242" i="2"/>
  <c r="M242" i="2"/>
  <c r="L242" i="2"/>
  <c r="K242" i="2"/>
  <c r="H242" i="2"/>
  <c r="D242" i="2"/>
  <c r="V241" i="2"/>
  <c r="U241" i="2"/>
  <c r="T241" i="2"/>
  <c r="S241" i="2"/>
  <c r="R241" i="2"/>
  <c r="Q241" i="2"/>
  <c r="P241" i="2"/>
  <c r="O241" i="2"/>
  <c r="N241" i="2"/>
  <c r="M241" i="2"/>
  <c r="L241" i="2"/>
  <c r="K241" i="2"/>
  <c r="H241" i="2"/>
  <c r="D241" i="2"/>
  <c r="V240" i="2"/>
  <c r="U240" i="2"/>
  <c r="T240" i="2"/>
  <c r="S240" i="2"/>
  <c r="R240" i="2"/>
  <c r="Q240" i="2"/>
  <c r="P240" i="2"/>
  <c r="O240" i="2"/>
  <c r="N240" i="2"/>
  <c r="M240" i="2"/>
  <c r="L240" i="2"/>
  <c r="K240" i="2"/>
  <c r="H240" i="2"/>
  <c r="D240" i="2"/>
  <c r="V239" i="2"/>
  <c r="U239" i="2"/>
  <c r="T239" i="2"/>
  <c r="S239" i="2"/>
  <c r="R239" i="2"/>
  <c r="Q239" i="2"/>
  <c r="P239" i="2"/>
  <c r="O239" i="2"/>
  <c r="N239" i="2"/>
  <c r="M239" i="2"/>
  <c r="L239" i="2"/>
  <c r="K239" i="2"/>
  <c r="H239" i="2"/>
  <c r="D239" i="2"/>
  <c r="V238" i="2"/>
  <c r="U238" i="2"/>
  <c r="T238" i="2"/>
  <c r="S238" i="2"/>
  <c r="R238" i="2"/>
  <c r="Q238" i="2"/>
  <c r="P238" i="2"/>
  <c r="O238" i="2"/>
  <c r="N238" i="2"/>
  <c r="M238" i="2"/>
  <c r="L238" i="2"/>
  <c r="K238" i="2"/>
  <c r="H238" i="2"/>
  <c r="D238" i="2"/>
  <c r="V237" i="2"/>
  <c r="U237" i="2"/>
  <c r="T237" i="2"/>
  <c r="S237" i="2"/>
  <c r="R237" i="2"/>
  <c r="Q237" i="2"/>
  <c r="P237" i="2"/>
  <c r="O237" i="2"/>
  <c r="N237" i="2"/>
  <c r="M237" i="2"/>
  <c r="L237" i="2"/>
  <c r="K237" i="2"/>
  <c r="H237" i="2"/>
  <c r="D237" i="2"/>
  <c r="V236" i="2"/>
  <c r="U236" i="2"/>
  <c r="T236" i="2"/>
  <c r="S236" i="2"/>
  <c r="R236" i="2"/>
  <c r="Q236" i="2"/>
  <c r="P236" i="2"/>
  <c r="O236" i="2"/>
  <c r="N236" i="2"/>
  <c r="M236" i="2"/>
  <c r="L236" i="2"/>
  <c r="K236" i="2"/>
  <c r="H236" i="2"/>
  <c r="D236" i="2"/>
  <c r="V235" i="2"/>
  <c r="U235" i="2"/>
  <c r="T235" i="2"/>
  <c r="S235" i="2"/>
  <c r="R235" i="2"/>
  <c r="Q235" i="2"/>
  <c r="P235" i="2"/>
  <c r="O235" i="2"/>
  <c r="N235" i="2"/>
  <c r="M235" i="2"/>
  <c r="L235" i="2"/>
  <c r="K235" i="2"/>
  <c r="H235" i="2"/>
  <c r="D235" i="2"/>
  <c r="V234" i="2"/>
  <c r="U234" i="2"/>
  <c r="T234" i="2"/>
  <c r="S234" i="2"/>
  <c r="R234" i="2"/>
  <c r="Q234" i="2"/>
  <c r="P234" i="2"/>
  <c r="O234" i="2"/>
  <c r="N234" i="2"/>
  <c r="M234" i="2"/>
  <c r="L234" i="2"/>
  <c r="K234" i="2"/>
  <c r="H234" i="2"/>
  <c r="D234" i="2"/>
  <c r="V233" i="2"/>
  <c r="U233" i="2"/>
  <c r="T233" i="2"/>
  <c r="S233" i="2"/>
  <c r="R233" i="2"/>
  <c r="Q233" i="2"/>
  <c r="P233" i="2"/>
  <c r="O233" i="2"/>
  <c r="N233" i="2"/>
  <c r="M233" i="2"/>
  <c r="L233" i="2"/>
  <c r="K233" i="2"/>
  <c r="H233" i="2"/>
  <c r="D233" i="2"/>
  <c r="V232" i="2"/>
  <c r="U232" i="2"/>
  <c r="T232" i="2"/>
  <c r="S232" i="2"/>
  <c r="R232" i="2"/>
  <c r="Q232" i="2"/>
  <c r="P232" i="2"/>
  <c r="O232" i="2"/>
  <c r="N232" i="2"/>
  <c r="M232" i="2"/>
  <c r="L232" i="2"/>
  <c r="K232" i="2"/>
  <c r="H232" i="2"/>
  <c r="D232" i="2"/>
  <c r="V231" i="2"/>
  <c r="U231" i="2"/>
  <c r="T231" i="2"/>
  <c r="S231" i="2"/>
  <c r="R231" i="2"/>
  <c r="Q231" i="2"/>
  <c r="P231" i="2"/>
  <c r="O231" i="2"/>
  <c r="N231" i="2"/>
  <c r="M231" i="2"/>
  <c r="L231" i="2"/>
  <c r="K231" i="2"/>
  <c r="H231" i="2"/>
  <c r="D231" i="2"/>
  <c r="V230" i="2"/>
  <c r="U230" i="2"/>
  <c r="T230" i="2"/>
  <c r="S230" i="2"/>
  <c r="R230" i="2"/>
  <c r="Q230" i="2"/>
  <c r="P230" i="2"/>
  <c r="O230" i="2"/>
  <c r="N230" i="2"/>
  <c r="M230" i="2"/>
  <c r="L230" i="2"/>
  <c r="K230" i="2"/>
  <c r="H230" i="2"/>
  <c r="D230" i="2"/>
  <c r="V229" i="2"/>
  <c r="U229" i="2"/>
  <c r="T229" i="2"/>
  <c r="S229" i="2"/>
  <c r="R229" i="2"/>
  <c r="Q229" i="2"/>
  <c r="P229" i="2"/>
  <c r="O229" i="2"/>
  <c r="N229" i="2"/>
  <c r="M229" i="2"/>
  <c r="L229" i="2"/>
  <c r="K229" i="2"/>
  <c r="H229" i="2"/>
  <c r="D229" i="2"/>
  <c r="V228" i="2"/>
  <c r="U228" i="2"/>
  <c r="T228" i="2"/>
  <c r="S228" i="2"/>
  <c r="R228" i="2"/>
  <c r="Q228" i="2"/>
  <c r="P228" i="2"/>
  <c r="O228" i="2"/>
  <c r="N228" i="2"/>
  <c r="M228" i="2"/>
  <c r="L228" i="2"/>
  <c r="K228" i="2"/>
  <c r="H228" i="2"/>
  <c r="D228" i="2"/>
  <c r="V227" i="2"/>
  <c r="U227" i="2"/>
  <c r="T227" i="2"/>
  <c r="S227" i="2"/>
  <c r="R227" i="2"/>
  <c r="Q227" i="2"/>
  <c r="P227" i="2"/>
  <c r="O227" i="2"/>
  <c r="N227" i="2"/>
  <c r="M227" i="2"/>
  <c r="L227" i="2"/>
  <c r="K227" i="2"/>
  <c r="H227" i="2"/>
  <c r="D227" i="2"/>
  <c r="V226" i="2"/>
  <c r="U226" i="2"/>
  <c r="T226" i="2"/>
  <c r="S226" i="2"/>
  <c r="R226" i="2"/>
  <c r="Q226" i="2"/>
  <c r="P226" i="2"/>
  <c r="O226" i="2"/>
  <c r="N226" i="2"/>
  <c r="M226" i="2"/>
  <c r="L226" i="2"/>
  <c r="K226" i="2"/>
  <c r="H226" i="2"/>
  <c r="D226" i="2"/>
  <c r="V225" i="2"/>
  <c r="U225" i="2"/>
  <c r="T225" i="2"/>
  <c r="S225" i="2"/>
  <c r="R225" i="2"/>
  <c r="Q225" i="2"/>
  <c r="P225" i="2"/>
  <c r="O225" i="2"/>
  <c r="N225" i="2"/>
  <c r="M225" i="2"/>
  <c r="L225" i="2"/>
  <c r="K225" i="2"/>
  <c r="H225" i="2"/>
  <c r="D225" i="2"/>
  <c r="V224" i="2"/>
  <c r="U224" i="2"/>
  <c r="T224" i="2"/>
  <c r="S224" i="2"/>
  <c r="R224" i="2"/>
  <c r="Q224" i="2"/>
  <c r="P224" i="2"/>
  <c r="O224" i="2"/>
  <c r="N224" i="2"/>
  <c r="M224" i="2"/>
  <c r="L224" i="2"/>
  <c r="K224" i="2"/>
  <c r="H224" i="2"/>
  <c r="D224" i="2"/>
  <c r="V223" i="2"/>
  <c r="U223" i="2"/>
  <c r="T223" i="2"/>
  <c r="S223" i="2"/>
  <c r="R223" i="2"/>
  <c r="Q223" i="2"/>
  <c r="P223" i="2"/>
  <c r="O223" i="2"/>
  <c r="N223" i="2"/>
  <c r="M223" i="2"/>
  <c r="L223" i="2"/>
  <c r="K223" i="2"/>
  <c r="H223" i="2"/>
  <c r="D223" i="2"/>
  <c r="V222" i="2"/>
  <c r="U222" i="2"/>
  <c r="T222" i="2"/>
  <c r="S222" i="2"/>
  <c r="R222" i="2"/>
  <c r="Q222" i="2"/>
  <c r="P222" i="2"/>
  <c r="O222" i="2"/>
  <c r="N222" i="2"/>
  <c r="M222" i="2"/>
  <c r="L222" i="2"/>
  <c r="K222" i="2"/>
  <c r="H222" i="2"/>
  <c r="D222" i="2"/>
  <c r="V221" i="2"/>
  <c r="U221" i="2"/>
  <c r="T221" i="2"/>
  <c r="S221" i="2"/>
  <c r="R221" i="2"/>
  <c r="Q221" i="2"/>
  <c r="P221" i="2"/>
  <c r="O221" i="2"/>
  <c r="N221" i="2"/>
  <c r="M221" i="2"/>
  <c r="L221" i="2"/>
  <c r="K221" i="2"/>
  <c r="H221" i="2"/>
  <c r="D221" i="2"/>
  <c r="V220" i="2"/>
  <c r="U220" i="2"/>
  <c r="T220" i="2"/>
  <c r="S220" i="2"/>
  <c r="R220" i="2"/>
  <c r="Q220" i="2"/>
  <c r="P220" i="2"/>
  <c r="O220" i="2"/>
  <c r="N220" i="2"/>
  <c r="M220" i="2"/>
  <c r="L220" i="2"/>
  <c r="K220" i="2"/>
  <c r="H220" i="2"/>
  <c r="D220" i="2"/>
  <c r="V219" i="2"/>
  <c r="U219" i="2"/>
  <c r="T219" i="2"/>
  <c r="S219" i="2"/>
  <c r="R219" i="2"/>
  <c r="Q219" i="2"/>
  <c r="P219" i="2"/>
  <c r="O219" i="2"/>
  <c r="N219" i="2"/>
  <c r="M219" i="2"/>
  <c r="L219" i="2"/>
  <c r="K219" i="2"/>
  <c r="H219" i="2"/>
  <c r="D219" i="2"/>
  <c r="V218" i="2"/>
  <c r="U218" i="2"/>
  <c r="T218" i="2"/>
  <c r="S218" i="2"/>
  <c r="R218" i="2"/>
  <c r="Q218" i="2"/>
  <c r="P218" i="2"/>
  <c r="O218" i="2"/>
  <c r="N218" i="2"/>
  <c r="M218" i="2"/>
  <c r="L218" i="2"/>
  <c r="K218" i="2"/>
  <c r="H218" i="2"/>
  <c r="D218" i="2"/>
  <c r="V217" i="2"/>
  <c r="U217" i="2"/>
  <c r="T217" i="2"/>
  <c r="S217" i="2"/>
  <c r="R217" i="2"/>
  <c r="Q217" i="2"/>
  <c r="P217" i="2"/>
  <c r="O217" i="2"/>
  <c r="N217" i="2"/>
  <c r="M217" i="2"/>
  <c r="L217" i="2"/>
  <c r="K217" i="2"/>
  <c r="H217" i="2"/>
  <c r="D217" i="2"/>
  <c r="V216" i="2"/>
  <c r="U216" i="2"/>
  <c r="T216" i="2"/>
  <c r="S216" i="2"/>
  <c r="R216" i="2"/>
  <c r="Q216" i="2"/>
  <c r="P216" i="2"/>
  <c r="O216" i="2"/>
  <c r="N216" i="2"/>
  <c r="M216" i="2"/>
  <c r="L216" i="2"/>
  <c r="K216" i="2"/>
  <c r="H216" i="2"/>
  <c r="D216" i="2"/>
  <c r="V215" i="2"/>
  <c r="U215" i="2"/>
  <c r="T215" i="2"/>
  <c r="S215" i="2"/>
  <c r="R215" i="2"/>
  <c r="Q215" i="2"/>
  <c r="P215" i="2"/>
  <c r="O215" i="2"/>
  <c r="N215" i="2"/>
  <c r="M215" i="2"/>
  <c r="L215" i="2"/>
  <c r="K215" i="2"/>
  <c r="H215" i="2"/>
  <c r="D215" i="2"/>
  <c r="V214" i="2"/>
  <c r="U214" i="2"/>
  <c r="T214" i="2"/>
  <c r="S214" i="2"/>
  <c r="R214" i="2"/>
  <c r="Q214" i="2"/>
  <c r="P214" i="2"/>
  <c r="O214" i="2"/>
  <c r="N214" i="2"/>
  <c r="M214" i="2"/>
  <c r="L214" i="2"/>
  <c r="K214" i="2"/>
  <c r="H214" i="2"/>
  <c r="D214" i="2"/>
  <c r="V213" i="2"/>
  <c r="U213" i="2"/>
  <c r="T213" i="2"/>
  <c r="S213" i="2"/>
  <c r="R213" i="2"/>
  <c r="Q213" i="2"/>
  <c r="P213" i="2"/>
  <c r="O213" i="2"/>
  <c r="N213" i="2"/>
  <c r="M213" i="2"/>
  <c r="L213" i="2"/>
  <c r="K213" i="2"/>
  <c r="H213" i="2"/>
  <c r="D213" i="2"/>
  <c r="V212" i="2"/>
  <c r="U212" i="2"/>
  <c r="T212" i="2"/>
  <c r="S212" i="2"/>
  <c r="R212" i="2"/>
  <c r="Q212" i="2"/>
  <c r="P212" i="2"/>
  <c r="O212" i="2"/>
  <c r="N212" i="2"/>
  <c r="M212" i="2"/>
  <c r="L212" i="2"/>
  <c r="K212" i="2"/>
  <c r="H212" i="2"/>
  <c r="D212" i="2"/>
  <c r="V211" i="2"/>
  <c r="U211" i="2"/>
  <c r="T211" i="2"/>
  <c r="S211" i="2"/>
  <c r="R211" i="2"/>
  <c r="Q211" i="2"/>
  <c r="P211" i="2"/>
  <c r="O211" i="2"/>
  <c r="N211" i="2"/>
  <c r="M211" i="2"/>
  <c r="L211" i="2"/>
  <c r="K211" i="2"/>
  <c r="H211" i="2"/>
  <c r="D211" i="2"/>
  <c r="V210" i="2"/>
  <c r="U210" i="2"/>
  <c r="T210" i="2"/>
  <c r="S210" i="2"/>
  <c r="R210" i="2"/>
  <c r="Q210" i="2"/>
  <c r="P210" i="2"/>
  <c r="O210" i="2"/>
  <c r="N210" i="2"/>
  <c r="M210" i="2"/>
  <c r="L210" i="2"/>
  <c r="K210" i="2"/>
  <c r="H210" i="2"/>
  <c r="D210" i="2"/>
  <c r="V209" i="2"/>
  <c r="U209" i="2"/>
  <c r="T209" i="2"/>
  <c r="S209" i="2"/>
  <c r="R209" i="2"/>
  <c r="Q209" i="2"/>
  <c r="P209" i="2"/>
  <c r="O209" i="2"/>
  <c r="N209" i="2"/>
  <c r="M209" i="2"/>
  <c r="L209" i="2"/>
  <c r="K209" i="2"/>
  <c r="H209" i="2"/>
  <c r="D209" i="2"/>
  <c r="V208" i="2"/>
  <c r="U208" i="2"/>
  <c r="T208" i="2"/>
  <c r="S208" i="2"/>
  <c r="R208" i="2"/>
  <c r="Q208" i="2"/>
  <c r="P208" i="2"/>
  <c r="O208" i="2"/>
  <c r="N208" i="2"/>
  <c r="M208" i="2"/>
  <c r="L208" i="2"/>
  <c r="K208" i="2"/>
  <c r="H208" i="2"/>
  <c r="D208" i="2"/>
  <c r="V207" i="2"/>
  <c r="U207" i="2"/>
  <c r="T207" i="2"/>
  <c r="S207" i="2"/>
  <c r="R207" i="2"/>
  <c r="Q207" i="2"/>
  <c r="P207" i="2"/>
  <c r="O207" i="2"/>
  <c r="N207" i="2"/>
  <c r="M207" i="2"/>
  <c r="L207" i="2"/>
  <c r="K207" i="2"/>
  <c r="H207" i="2"/>
  <c r="D207" i="2"/>
  <c r="V206" i="2"/>
  <c r="U206" i="2"/>
  <c r="T206" i="2"/>
  <c r="S206" i="2"/>
  <c r="R206" i="2"/>
  <c r="Q206" i="2"/>
  <c r="P206" i="2"/>
  <c r="O206" i="2"/>
  <c r="N206" i="2"/>
  <c r="M206" i="2"/>
  <c r="L206" i="2"/>
  <c r="K206" i="2"/>
  <c r="H206" i="2"/>
  <c r="D206" i="2"/>
  <c r="V205" i="2"/>
  <c r="U205" i="2"/>
  <c r="T205" i="2"/>
  <c r="S205" i="2"/>
  <c r="R205" i="2"/>
  <c r="Q205" i="2"/>
  <c r="P205" i="2"/>
  <c r="O205" i="2"/>
  <c r="N205" i="2"/>
  <c r="M205" i="2"/>
  <c r="L205" i="2"/>
  <c r="K205" i="2"/>
  <c r="H205" i="2"/>
  <c r="D205" i="2"/>
  <c r="V204" i="2"/>
  <c r="U204" i="2"/>
  <c r="T204" i="2"/>
  <c r="S204" i="2"/>
  <c r="R204" i="2"/>
  <c r="Q204" i="2"/>
  <c r="P204" i="2"/>
  <c r="O204" i="2"/>
  <c r="N204" i="2"/>
  <c r="M204" i="2"/>
  <c r="L204" i="2"/>
  <c r="K204" i="2"/>
  <c r="H204" i="2"/>
  <c r="D204" i="2"/>
  <c r="V203" i="2"/>
  <c r="U203" i="2"/>
  <c r="T203" i="2"/>
  <c r="S203" i="2"/>
  <c r="R203" i="2"/>
  <c r="Q203" i="2"/>
  <c r="P203" i="2"/>
  <c r="O203" i="2"/>
  <c r="N203" i="2"/>
  <c r="M203" i="2"/>
  <c r="L203" i="2"/>
  <c r="K203" i="2"/>
  <c r="H203" i="2"/>
  <c r="D203" i="2"/>
  <c r="V202" i="2"/>
  <c r="U202" i="2"/>
  <c r="T202" i="2"/>
  <c r="S202" i="2"/>
  <c r="R202" i="2"/>
  <c r="Q202" i="2"/>
  <c r="P202" i="2"/>
  <c r="O202" i="2"/>
  <c r="N202" i="2"/>
  <c r="M202" i="2"/>
  <c r="L202" i="2"/>
  <c r="K202" i="2"/>
  <c r="H202" i="2"/>
  <c r="D202" i="2"/>
  <c r="V201" i="2"/>
  <c r="U201" i="2"/>
  <c r="T201" i="2"/>
  <c r="S201" i="2"/>
  <c r="R201" i="2"/>
  <c r="Q201" i="2"/>
  <c r="P201" i="2"/>
  <c r="O201" i="2"/>
  <c r="N201" i="2"/>
  <c r="M201" i="2"/>
  <c r="L201" i="2"/>
  <c r="K201" i="2"/>
  <c r="H201" i="2"/>
  <c r="D201" i="2"/>
  <c r="V200" i="2"/>
  <c r="U200" i="2"/>
  <c r="T200" i="2"/>
  <c r="S200" i="2"/>
  <c r="R200" i="2"/>
  <c r="Q200" i="2"/>
  <c r="P200" i="2"/>
  <c r="O200" i="2"/>
  <c r="N200" i="2"/>
  <c r="M200" i="2"/>
  <c r="L200" i="2"/>
  <c r="K200" i="2"/>
  <c r="H200" i="2"/>
  <c r="D200" i="2"/>
  <c r="V199" i="2"/>
  <c r="U199" i="2"/>
  <c r="T199" i="2"/>
  <c r="S199" i="2"/>
  <c r="R199" i="2"/>
  <c r="Q199" i="2"/>
  <c r="P199" i="2"/>
  <c r="O199" i="2"/>
  <c r="N199" i="2"/>
  <c r="M199" i="2"/>
  <c r="L199" i="2"/>
  <c r="K199" i="2"/>
  <c r="H199" i="2"/>
  <c r="D199" i="2"/>
  <c r="V198" i="2"/>
  <c r="U198" i="2"/>
  <c r="T198" i="2"/>
  <c r="S198" i="2"/>
  <c r="R198" i="2"/>
  <c r="Q198" i="2"/>
  <c r="P198" i="2"/>
  <c r="O198" i="2"/>
  <c r="N198" i="2"/>
  <c r="M198" i="2"/>
  <c r="L198" i="2"/>
  <c r="K198" i="2"/>
  <c r="H198" i="2"/>
  <c r="D198" i="2"/>
  <c r="V197" i="2"/>
  <c r="U197" i="2"/>
  <c r="T197" i="2"/>
  <c r="S197" i="2"/>
  <c r="R197" i="2"/>
  <c r="Q197" i="2"/>
  <c r="P197" i="2"/>
  <c r="O197" i="2"/>
  <c r="N197" i="2"/>
  <c r="M197" i="2"/>
  <c r="L197" i="2"/>
  <c r="K197" i="2"/>
  <c r="H197" i="2"/>
  <c r="D197" i="2"/>
  <c r="V196" i="2"/>
  <c r="U196" i="2"/>
  <c r="T196" i="2"/>
  <c r="S196" i="2"/>
  <c r="R196" i="2"/>
  <c r="Q196" i="2"/>
  <c r="P196" i="2"/>
  <c r="O196" i="2"/>
  <c r="N196" i="2"/>
  <c r="M196" i="2"/>
  <c r="L196" i="2"/>
  <c r="K196" i="2"/>
  <c r="H196" i="2"/>
  <c r="D196" i="2"/>
  <c r="V195" i="2"/>
  <c r="U195" i="2"/>
  <c r="T195" i="2"/>
  <c r="S195" i="2"/>
  <c r="R195" i="2"/>
  <c r="Q195" i="2"/>
  <c r="P195" i="2"/>
  <c r="O195" i="2"/>
  <c r="N195" i="2"/>
  <c r="M195" i="2"/>
  <c r="L195" i="2"/>
  <c r="K195" i="2"/>
  <c r="H195" i="2"/>
  <c r="D195" i="2"/>
  <c r="V194" i="2"/>
  <c r="U194" i="2"/>
  <c r="T194" i="2"/>
  <c r="S194" i="2"/>
  <c r="R194" i="2"/>
  <c r="Q194" i="2"/>
  <c r="P194" i="2"/>
  <c r="O194" i="2"/>
  <c r="N194" i="2"/>
  <c r="M194" i="2"/>
  <c r="L194" i="2"/>
  <c r="K194" i="2"/>
  <c r="H194" i="2"/>
  <c r="D194" i="2"/>
  <c r="V193" i="2"/>
  <c r="U193" i="2"/>
  <c r="T193" i="2"/>
  <c r="S193" i="2"/>
  <c r="R193" i="2"/>
  <c r="Q193" i="2"/>
  <c r="P193" i="2"/>
  <c r="O193" i="2"/>
  <c r="N193" i="2"/>
  <c r="M193" i="2"/>
  <c r="L193" i="2"/>
  <c r="K193" i="2"/>
  <c r="H193" i="2"/>
  <c r="D193" i="2"/>
  <c r="V192" i="2"/>
  <c r="U192" i="2"/>
  <c r="T192" i="2"/>
  <c r="S192" i="2"/>
  <c r="R192" i="2"/>
  <c r="Q192" i="2"/>
  <c r="P192" i="2"/>
  <c r="O192" i="2"/>
  <c r="N192" i="2"/>
  <c r="M192" i="2"/>
  <c r="L192" i="2"/>
  <c r="K192" i="2"/>
  <c r="H192" i="2"/>
  <c r="D192" i="2"/>
  <c r="V191" i="2"/>
  <c r="U191" i="2"/>
  <c r="T191" i="2"/>
  <c r="S191" i="2"/>
  <c r="R191" i="2"/>
  <c r="Q191" i="2"/>
  <c r="P191" i="2"/>
  <c r="O191" i="2"/>
  <c r="N191" i="2"/>
  <c r="M191" i="2"/>
  <c r="L191" i="2"/>
  <c r="K191" i="2"/>
  <c r="H191" i="2"/>
  <c r="D191" i="2"/>
  <c r="V190" i="2"/>
  <c r="U190" i="2"/>
  <c r="T190" i="2"/>
  <c r="S190" i="2"/>
  <c r="R190" i="2"/>
  <c r="Q190" i="2"/>
  <c r="P190" i="2"/>
  <c r="O190" i="2"/>
  <c r="N190" i="2"/>
  <c r="M190" i="2"/>
  <c r="L190" i="2"/>
  <c r="K190" i="2"/>
  <c r="H190" i="2"/>
  <c r="D190" i="2"/>
  <c r="V189" i="2"/>
  <c r="U189" i="2"/>
  <c r="T189" i="2"/>
  <c r="S189" i="2"/>
  <c r="R189" i="2"/>
  <c r="Q189" i="2"/>
  <c r="P189" i="2"/>
  <c r="O189" i="2"/>
  <c r="N189" i="2"/>
  <c r="M189" i="2"/>
  <c r="L189" i="2"/>
  <c r="K189" i="2"/>
  <c r="H189" i="2"/>
  <c r="D189" i="2"/>
  <c r="V188" i="2"/>
  <c r="U188" i="2"/>
  <c r="T188" i="2"/>
  <c r="S188" i="2"/>
  <c r="R188" i="2"/>
  <c r="Q188" i="2"/>
  <c r="P188" i="2"/>
  <c r="O188" i="2"/>
  <c r="N188" i="2"/>
  <c r="M188" i="2"/>
  <c r="L188" i="2"/>
  <c r="K188" i="2"/>
  <c r="H188" i="2"/>
  <c r="D188" i="2"/>
  <c r="V187" i="2"/>
  <c r="U187" i="2"/>
  <c r="T187" i="2"/>
  <c r="S187" i="2"/>
  <c r="R187" i="2"/>
  <c r="Q187" i="2"/>
  <c r="P187" i="2"/>
  <c r="O187" i="2"/>
  <c r="N187" i="2"/>
  <c r="M187" i="2"/>
  <c r="L187" i="2"/>
  <c r="K187" i="2"/>
  <c r="H187" i="2"/>
  <c r="D187" i="2"/>
  <c r="V186" i="2"/>
  <c r="U186" i="2"/>
  <c r="T186" i="2"/>
  <c r="S186" i="2"/>
  <c r="R186" i="2"/>
  <c r="Q186" i="2"/>
  <c r="P186" i="2"/>
  <c r="O186" i="2"/>
  <c r="N186" i="2"/>
  <c r="M186" i="2"/>
  <c r="L186" i="2"/>
  <c r="K186" i="2"/>
  <c r="H186" i="2"/>
  <c r="D186" i="2"/>
  <c r="V185" i="2"/>
  <c r="U185" i="2"/>
  <c r="T185" i="2"/>
  <c r="S185" i="2"/>
  <c r="R185" i="2"/>
  <c r="Q185" i="2"/>
  <c r="P185" i="2"/>
  <c r="O185" i="2"/>
  <c r="N185" i="2"/>
  <c r="M185" i="2"/>
  <c r="L185" i="2"/>
  <c r="K185" i="2"/>
  <c r="H185" i="2"/>
  <c r="D185" i="2"/>
  <c r="V184" i="2"/>
  <c r="U184" i="2"/>
  <c r="T184" i="2"/>
  <c r="S184" i="2"/>
  <c r="R184" i="2"/>
  <c r="Q184" i="2"/>
  <c r="P184" i="2"/>
  <c r="O184" i="2"/>
  <c r="N184" i="2"/>
  <c r="M184" i="2"/>
  <c r="L184" i="2"/>
  <c r="K184" i="2"/>
  <c r="H184" i="2"/>
  <c r="D184" i="2"/>
  <c r="V183" i="2"/>
  <c r="U183" i="2"/>
  <c r="T183" i="2"/>
  <c r="S183" i="2"/>
  <c r="R183" i="2"/>
  <c r="Q183" i="2"/>
  <c r="P183" i="2"/>
  <c r="O183" i="2"/>
  <c r="N183" i="2"/>
  <c r="M183" i="2"/>
  <c r="L183" i="2"/>
  <c r="K183" i="2"/>
  <c r="H183" i="2"/>
  <c r="D183" i="2"/>
  <c r="V182" i="2"/>
  <c r="U182" i="2"/>
  <c r="T182" i="2"/>
  <c r="S182" i="2"/>
  <c r="R182" i="2"/>
  <c r="Q182" i="2"/>
  <c r="P182" i="2"/>
  <c r="O182" i="2"/>
  <c r="N182" i="2"/>
  <c r="M182" i="2"/>
  <c r="L182" i="2"/>
  <c r="K182" i="2"/>
  <c r="H182" i="2"/>
  <c r="D182" i="2"/>
  <c r="V181" i="2"/>
  <c r="U181" i="2"/>
  <c r="T181" i="2"/>
  <c r="S181" i="2"/>
  <c r="R181" i="2"/>
  <c r="Q181" i="2"/>
  <c r="P181" i="2"/>
  <c r="O181" i="2"/>
  <c r="N181" i="2"/>
  <c r="M181" i="2"/>
  <c r="L181" i="2"/>
  <c r="K181" i="2"/>
  <c r="H181" i="2"/>
  <c r="D181" i="2"/>
  <c r="V180" i="2"/>
  <c r="U180" i="2"/>
  <c r="T180" i="2"/>
  <c r="S180" i="2"/>
  <c r="R180" i="2"/>
  <c r="Q180" i="2"/>
  <c r="P180" i="2"/>
  <c r="O180" i="2"/>
  <c r="N180" i="2"/>
  <c r="M180" i="2"/>
  <c r="L180" i="2"/>
  <c r="K180" i="2"/>
  <c r="H180" i="2"/>
  <c r="D180" i="2"/>
  <c r="V179" i="2"/>
  <c r="U179" i="2"/>
  <c r="T179" i="2"/>
  <c r="S179" i="2"/>
  <c r="R179" i="2"/>
  <c r="Q179" i="2"/>
  <c r="P179" i="2"/>
  <c r="O179" i="2"/>
  <c r="N179" i="2"/>
  <c r="M179" i="2"/>
  <c r="L179" i="2"/>
  <c r="K179" i="2"/>
  <c r="H179" i="2"/>
  <c r="D179" i="2"/>
  <c r="V178" i="2"/>
  <c r="U178" i="2"/>
  <c r="T178" i="2"/>
  <c r="S178" i="2"/>
  <c r="R178" i="2"/>
  <c r="Q178" i="2"/>
  <c r="P178" i="2"/>
  <c r="O178" i="2"/>
  <c r="N178" i="2"/>
  <c r="M178" i="2"/>
  <c r="L178" i="2"/>
  <c r="K178" i="2"/>
  <c r="H178" i="2"/>
  <c r="D178" i="2"/>
  <c r="V177" i="2"/>
  <c r="U177" i="2"/>
  <c r="T177" i="2"/>
  <c r="S177" i="2"/>
  <c r="R177" i="2"/>
  <c r="Q177" i="2"/>
  <c r="P177" i="2"/>
  <c r="O177" i="2"/>
  <c r="N177" i="2"/>
  <c r="M177" i="2"/>
  <c r="L177" i="2"/>
  <c r="K177" i="2"/>
  <c r="H177" i="2"/>
  <c r="D177" i="2"/>
  <c r="V176" i="2"/>
  <c r="U176" i="2"/>
  <c r="T176" i="2"/>
  <c r="S176" i="2"/>
  <c r="R176" i="2"/>
  <c r="Q176" i="2"/>
  <c r="P176" i="2"/>
  <c r="O176" i="2"/>
  <c r="N176" i="2"/>
  <c r="M176" i="2"/>
  <c r="L176" i="2"/>
  <c r="K176" i="2"/>
  <c r="H176" i="2"/>
  <c r="D176" i="2"/>
  <c r="V175" i="2"/>
  <c r="U175" i="2"/>
  <c r="T175" i="2"/>
  <c r="S175" i="2"/>
  <c r="R175" i="2"/>
  <c r="Q175" i="2"/>
  <c r="P175" i="2"/>
  <c r="O175" i="2"/>
  <c r="N175" i="2"/>
  <c r="M175" i="2"/>
  <c r="L175" i="2"/>
  <c r="K175" i="2"/>
  <c r="H175" i="2"/>
  <c r="D175" i="2"/>
  <c r="V174" i="2"/>
  <c r="U174" i="2"/>
  <c r="T174" i="2"/>
  <c r="S174" i="2"/>
  <c r="R174" i="2"/>
  <c r="Q174" i="2"/>
  <c r="P174" i="2"/>
  <c r="O174" i="2"/>
  <c r="N174" i="2"/>
  <c r="M174" i="2"/>
  <c r="L174" i="2"/>
  <c r="K174" i="2"/>
  <c r="H174" i="2"/>
  <c r="D174" i="2"/>
  <c r="V173" i="2"/>
  <c r="U173" i="2"/>
  <c r="T173" i="2"/>
  <c r="S173" i="2"/>
  <c r="R173" i="2"/>
  <c r="Q173" i="2"/>
  <c r="P173" i="2"/>
  <c r="O173" i="2"/>
  <c r="N173" i="2"/>
  <c r="M173" i="2"/>
  <c r="L173" i="2"/>
  <c r="K173" i="2"/>
  <c r="H173" i="2"/>
  <c r="D173" i="2"/>
  <c r="V172" i="2"/>
  <c r="U172" i="2"/>
  <c r="T172" i="2"/>
  <c r="S172" i="2"/>
  <c r="R172" i="2"/>
  <c r="Q172" i="2"/>
  <c r="P172" i="2"/>
  <c r="O172" i="2"/>
  <c r="N172" i="2"/>
  <c r="M172" i="2"/>
  <c r="L172" i="2"/>
  <c r="K172" i="2"/>
  <c r="H172" i="2"/>
  <c r="D172" i="2"/>
  <c r="V171" i="2"/>
  <c r="U171" i="2"/>
  <c r="T171" i="2"/>
  <c r="S171" i="2"/>
  <c r="R171" i="2"/>
  <c r="Q171" i="2"/>
  <c r="P171" i="2"/>
  <c r="O171" i="2"/>
  <c r="N171" i="2"/>
  <c r="M171" i="2"/>
  <c r="L171" i="2"/>
  <c r="K171" i="2"/>
  <c r="H171" i="2"/>
  <c r="D171" i="2"/>
  <c r="V170" i="2"/>
  <c r="U170" i="2"/>
  <c r="T170" i="2"/>
  <c r="S170" i="2"/>
  <c r="R170" i="2"/>
  <c r="Q170" i="2"/>
  <c r="P170" i="2"/>
  <c r="O170" i="2"/>
  <c r="N170" i="2"/>
  <c r="M170" i="2"/>
  <c r="L170" i="2"/>
  <c r="K170" i="2"/>
  <c r="H170" i="2"/>
  <c r="D170" i="2"/>
  <c r="V169" i="2"/>
  <c r="U169" i="2"/>
  <c r="T169" i="2"/>
  <c r="S169" i="2"/>
  <c r="R169" i="2"/>
  <c r="Q169" i="2"/>
  <c r="P169" i="2"/>
  <c r="O169" i="2"/>
  <c r="N169" i="2"/>
  <c r="M169" i="2"/>
  <c r="L169" i="2"/>
  <c r="K169" i="2"/>
  <c r="H169" i="2"/>
  <c r="D169" i="2"/>
  <c r="V168" i="2"/>
  <c r="U168" i="2"/>
  <c r="T168" i="2"/>
  <c r="S168" i="2"/>
  <c r="R168" i="2"/>
  <c r="Q168" i="2"/>
  <c r="P168" i="2"/>
  <c r="O168" i="2"/>
  <c r="N168" i="2"/>
  <c r="M168" i="2"/>
  <c r="L168" i="2"/>
  <c r="K168" i="2"/>
  <c r="H168" i="2"/>
  <c r="D168" i="2"/>
  <c r="V167" i="2"/>
  <c r="U167" i="2"/>
  <c r="T167" i="2"/>
  <c r="S167" i="2"/>
  <c r="R167" i="2"/>
  <c r="Q167" i="2"/>
  <c r="P167" i="2"/>
  <c r="O167" i="2"/>
  <c r="N167" i="2"/>
  <c r="M167" i="2"/>
  <c r="L167" i="2"/>
  <c r="K167" i="2"/>
  <c r="H167" i="2"/>
  <c r="D167" i="2"/>
  <c r="V166" i="2"/>
  <c r="U166" i="2"/>
  <c r="T166" i="2"/>
  <c r="S166" i="2"/>
  <c r="R166" i="2"/>
  <c r="Q166" i="2"/>
  <c r="P166" i="2"/>
  <c r="O166" i="2"/>
  <c r="N166" i="2"/>
  <c r="M166" i="2"/>
  <c r="L166" i="2"/>
  <c r="K166" i="2"/>
  <c r="H166" i="2"/>
  <c r="D166" i="2"/>
  <c r="V165" i="2"/>
  <c r="U165" i="2"/>
  <c r="T165" i="2"/>
  <c r="S165" i="2"/>
  <c r="R165" i="2"/>
  <c r="Q165" i="2"/>
  <c r="P165" i="2"/>
  <c r="O165" i="2"/>
  <c r="N165" i="2"/>
  <c r="M165" i="2"/>
  <c r="L165" i="2"/>
  <c r="K165" i="2"/>
  <c r="H165" i="2"/>
  <c r="D165" i="2"/>
  <c r="V164" i="2"/>
  <c r="U164" i="2"/>
  <c r="T164" i="2"/>
  <c r="S164" i="2"/>
  <c r="R164" i="2"/>
  <c r="Q164" i="2"/>
  <c r="P164" i="2"/>
  <c r="O164" i="2"/>
  <c r="N164" i="2"/>
  <c r="M164" i="2"/>
  <c r="L164" i="2"/>
  <c r="K164" i="2"/>
  <c r="H164" i="2"/>
  <c r="D164" i="2"/>
  <c r="V163" i="2"/>
  <c r="U163" i="2"/>
  <c r="T163" i="2"/>
  <c r="S163" i="2"/>
  <c r="R163" i="2"/>
  <c r="Q163" i="2"/>
  <c r="P163" i="2"/>
  <c r="O163" i="2"/>
  <c r="N163" i="2"/>
  <c r="M163" i="2"/>
  <c r="L163" i="2"/>
  <c r="K163" i="2"/>
  <c r="H163" i="2"/>
  <c r="D163" i="2"/>
  <c r="V162" i="2"/>
  <c r="U162" i="2"/>
  <c r="T162" i="2"/>
  <c r="S162" i="2"/>
  <c r="R162" i="2"/>
  <c r="Q162" i="2"/>
  <c r="P162" i="2"/>
  <c r="O162" i="2"/>
  <c r="N162" i="2"/>
  <c r="M162" i="2"/>
  <c r="L162" i="2"/>
  <c r="K162" i="2"/>
  <c r="H162" i="2"/>
  <c r="D162" i="2"/>
  <c r="V161" i="2"/>
  <c r="U161" i="2"/>
  <c r="T161" i="2"/>
  <c r="S161" i="2"/>
  <c r="R161" i="2"/>
  <c r="Q161" i="2"/>
  <c r="P161" i="2"/>
  <c r="O161" i="2"/>
  <c r="N161" i="2"/>
  <c r="M161" i="2"/>
  <c r="L161" i="2"/>
  <c r="K161" i="2"/>
  <c r="H161" i="2"/>
  <c r="D161" i="2"/>
  <c r="V160" i="2"/>
  <c r="U160" i="2"/>
  <c r="T160" i="2"/>
  <c r="S160" i="2"/>
  <c r="R160" i="2"/>
  <c r="Q160" i="2"/>
  <c r="P160" i="2"/>
  <c r="O160" i="2"/>
  <c r="N160" i="2"/>
  <c r="M160" i="2"/>
  <c r="L160" i="2"/>
  <c r="K160" i="2"/>
  <c r="H160" i="2"/>
  <c r="D160" i="2"/>
  <c r="V159" i="2"/>
  <c r="U159" i="2"/>
  <c r="T159" i="2"/>
  <c r="S159" i="2"/>
  <c r="R159" i="2"/>
  <c r="Q159" i="2"/>
  <c r="P159" i="2"/>
  <c r="O159" i="2"/>
  <c r="N159" i="2"/>
  <c r="M159" i="2"/>
  <c r="L159" i="2"/>
  <c r="K159" i="2"/>
  <c r="H159" i="2"/>
  <c r="D159" i="2"/>
  <c r="V158" i="2"/>
  <c r="U158" i="2"/>
  <c r="T158" i="2"/>
  <c r="S158" i="2"/>
  <c r="R158" i="2"/>
  <c r="Q158" i="2"/>
  <c r="P158" i="2"/>
  <c r="O158" i="2"/>
  <c r="N158" i="2"/>
  <c r="M158" i="2"/>
  <c r="L158" i="2"/>
  <c r="K158" i="2"/>
  <c r="H158" i="2"/>
  <c r="D158" i="2"/>
  <c r="V157" i="2"/>
  <c r="U157" i="2"/>
  <c r="T157" i="2"/>
  <c r="S157" i="2"/>
  <c r="R157" i="2"/>
  <c r="Q157" i="2"/>
  <c r="P157" i="2"/>
  <c r="O157" i="2"/>
  <c r="N157" i="2"/>
  <c r="M157" i="2"/>
  <c r="L157" i="2"/>
  <c r="K157" i="2"/>
  <c r="H157" i="2"/>
  <c r="D157" i="2"/>
  <c r="V156" i="2"/>
  <c r="U156" i="2"/>
  <c r="T156" i="2"/>
  <c r="S156" i="2"/>
  <c r="R156" i="2"/>
  <c r="Q156" i="2"/>
  <c r="P156" i="2"/>
  <c r="O156" i="2"/>
  <c r="N156" i="2"/>
  <c r="M156" i="2"/>
  <c r="L156" i="2"/>
  <c r="K156" i="2"/>
  <c r="H156" i="2"/>
  <c r="D156" i="2"/>
  <c r="V155" i="2"/>
  <c r="U155" i="2"/>
  <c r="T155" i="2"/>
  <c r="S155" i="2"/>
  <c r="R155" i="2"/>
  <c r="Q155" i="2"/>
  <c r="P155" i="2"/>
  <c r="O155" i="2"/>
  <c r="N155" i="2"/>
  <c r="M155" i="2"/>
  <c r="L155" i="2"/>
  <c r="K155" i="2"/>
  <c r="H155" i="2"/>
  <c r="D155" i="2"/>
  <c r="V154" i="2"/>
  <c r="U154" i="2"/>
  <c r="T154" i="2"/>
  <c r="S154" i="2"/>
  <c r="R154" i="2"/>
  <c r="Q154" i="2"/>
  <c r="P154" i="2"/>
  <c r="O154" i="2"/>
  <c r="N154" i="2"/>
  <c r="M154" i="2"/>
  <c r="L154" i="2"/>
  <c r="K154" i="2"/>
  <c r="H154" i="2"/>
  <c r="D154" i="2"/>
  <c r="V153" i="2"/>
  <c r="U153" i="2"/>
  <c r="T153" i="2"/>
  <c r="S153" i="2"/>
  <c r="R153" i="2"/>
  <c r="Q153" i="2"/>
  <c r="P153" i="2"/>
  <c r="O153" i="2"/>
  <c r="N153" i="2"/>
  <c r="M153" i="2"/>
  <c r="L153" i="2"/>
  <c r="K153" i="2"/>
  <c r="H153" i="2"/>
  <c r="D153" i="2"/>
  <c r="V152" i="2"/>
  <c r="U152" i="2"/>
  <c r="T152" i="2"/>
  <c r="S152" i="2"/>
  <c r="R152" i="2"/>
  <c r="Q152" i="2"/>
  <c r="P152" i="2"/>
  <c r="O152" i="2"/>
  <c r="N152" i="2"/>
  <c r="M152" i="2"/>
  <c r="L152" i="2"/>
  <c r="K152" i="2"/>
  <c r="H152" i="2"/>
  <c r="D152" i="2"/>
  <c r="V151" i="2"/>
  <c r="U151" i="2"/>
  <c r="T151" i="2"/>
  <c r="S151" i="2"/>
  <c r="R151" i="2"/>
  <c r="Q151" i="2"/>
  <c r="P151" i="2"/>
  <c r="O151" i="2"/>
  <c r="N151" i="2"/>
  <c r="M151" i="2"/>
  <c r="L151" i="2"/>
  <c r="K151" i="2"/>
  <c r="H151" i="2"/>
  <c r="D151" i="2"/>
  <c r="V150" i="2"/>
  <c r="U150" i="2"/>
  <c r="T150" i="2"/>
  <c r="S150" i="2"/>
  <c r="R150" i="2"/>
  <c r="Q150" i="2"/>
  <c r="P150" i="2"/>
  <c r="O150" i="2"/>
  <c r="N150" i="2"/>
  <c r="M150" i="2"/>
  <c r="L150" i="2"/>
  <c r="K150" i="2"/>
  <c r="H150" i="2"/>
  <c r="D150" i="2"/>
  <c r="V149" i="2"/>
  <c r="U149" i="2"/>
  <c r="T149" i="2"/>
  <c r="S149" i="2"/>
  <c r="R149" i="2"/>
  <c r="Q149" i="2"/>
  <c r="P149" i="2"/>
  <c r="O149" i="2"/>
  <c r="N149" i="2"/>
  <c r="M149" i="2"/>
  <c r="L149" i="2"/>
  <c r="K149" i="2"/>
  <c r="H149" i="2"/>
  <c r="D149" i="2"/>
  <c r="V148" i="2"/>
  <c r="U148" i="2"/>
  <c r="T148" i="2"/>
  <c r="S148" i="2"/>
  <c r="R148" i="2"/>
  <c r="Q148" i="2"/>
  <c r="P148" i="2"/>
  <c r="O148" i="2"/>
  <c r="N148" i="2"/>
  <c r="M148" i="2"/>
  <c r="L148" i="2"/>
  <c r="K148" i="2"/>
  <c r="H148" i="2"/>
  <c r="D148" i="2"/>
  <c r="V147" i="2"/>
  <c r="U147" i="2"/>
  <c r="T147" i="2"/>
  <c r="S147" i="2"/>
  <c r="R147" i="2"/>
  <c r="Q147" i="2"/>
  <c r="P147" i="2"/>
  <c r="O147" i="2"/>
  <c r="N147" i="2"/>
  <c r="M147" i="2"/>
  <c r="L147" i="2"/>
  <c r="K147" i="2"/>
  <c r="H147" i="2"/>
  <c r="D147" i="2"/>
  <c r="V146" i="2"/>
  <c r="U146" i="2"/>
  <c r="T146" i="2"/>
  <c r="S146" i="2"/>
  <c r="R146" i="2"/>
  <c r="Q146" i="2"/>
  <c r="P146" i="2"/>
  <c r="O146" i="2"/>
  <c r="N146" i="2"/>
  <c r="M146" i="2"/>
  <c r="L146" i="2"/>
  <c r="K146" i="2"/>
  <c r="H146" i="2"/>
  <c r="D146" i="2"/>
  <c r="V145" i="2"/>
  <c r="U145" i="2"/>
  <c r="T145" i="2"/>
  <c r="S145" i="2"/>
  <c r="R145" i="2"/>
  <c r="Q145" i="2"/>
  <c r="P145" i="2"/>
  <c r="O145" i="2"/>
  <c r="N145" i="2"/>
  <c r="M145" i="2"/>
  <c r="L145" i="2"/>
  <c r="K145" i="2"/>
  <c r="H145" i="2"/>
  <c r="D145" i="2"/>
  <c r="V144" i="2"/>
  <c r="U144" i="2"/>
  <c r="T144" i="2"/>
  <c r="S144" i="2"/>
  <c r="R144" i="2"/>
  <c r="Q144" i="2"/>
  <c r="P144" i="2"/>
  <c r="O144" i="2"/>
  <c r="N144" i="2"/>
  <c r="M144" i="2"/>
  <c r="L144" i="2"/>
  <c r="K144" i="2"/>
  <c r="H144" i="2"/>
  <c r="D144" i="2"/>
  <c r="V143" i="2"/>
  <c r="U143" i="2"/>
  <c r="T143" i="2"/>
  <c r="S143" i="2"/>
  <c r="R143" i="2"/>
  <c r="Q143" i="2"/>
  <c r="P143" i="2"/>
  <c r="O143" i="2"/>
  <c r="N143" i="2"/>
  <c r="M143" i="2"/>
  <c r="L143" i="2"/>
  <c r="K143" i="2"/>
  <c r="H143" i="2"/>
  <c r="D143" i="2"/>
  <c r="V142" i="2"/>
  <c r="U142" i="2"/>
  <c r="T142" i="2"/>
  <c r="S142" i="2"/>
  <c r="R142" i="2"/>
  <c r="Q142" i="2"/>
  <c r="P142" i="2"/>
  <c r="O142" i="2"/>
  <c r="N142" i="2"/>
  <c r="M142" i="2"/>
  <c r="L142" i="2"/>
  <c r="K142" i="2"/>
  <c r="H142" i="2"/>
  <c r="D142" i="2"/>
  <c r="V141" i="2"/>
  <c r="U141" i="2"/>
  <c r="T141" i="2"/>
  <c r="S141" i="2"/>
  <c r="R141" i="2"/>
  <c r="Q141" i="2"/>
  <c r="P141" i="2"/>
  <c r="O141" i="2"/>
  <c r="N141" i="2"/>
  <c r="M141" i="2"/>
  <c r="L141" i="2"/>
  <c r="K141" i="2"/>
  <c r="H141" i="2"/>
  <c r="D141" i="2"/>
  <c r="V140" i="2"/>
  <c r="U140" i="2"/>
  <c r="T140" i="2"/>
  <c r="S140" i="2"/>
  <c r="R140" i="2"/>
  <c r="Q140" i="2"/>
  <c r="P140" i="2"/>
  <c r="O140" i="2"/>
  <c r="N140" i="2"/>
  <c r="M140" i="2"/>
  <c r="L140" i="2"/>
  <c r="K140" i="2"/>
  <c r="H140" i="2"/>
  <c r="D140" i="2"/>
  <c r="V139" i="2"/>
  <c r="U139" i="2"/>
  <c r="T139" i="2"/>
  <c r="S139" i="2"/>
  <c r="R139" i="2"/>
  <c r="Q139" i="2"/>
  <c r="P139" i="2"/>
  <c r="O139" i="2"/>
  <c r="N139" i="2"/>
  <c r="M139" i="2"/>
  <c r="L139" i="2"/>
  <c r="K139" i="2"/>
  <c r="H139" i="2"/>
  <c r="D139" i="2"/>
  <c r="V138" i="2"/>
  <c r="U138" i="2"/>
  <c r="T138" i="2"/>
  <c r="S138" i="2"/>
  <c r="R138" i="2"/>
  <c r="Q138" i="2"/>
  <c r="P138" i="2"/>
  <c r="O138" i="2"/>
  <c r="N138" i="2"/>
  <c r="M138" i="2"/>
  <c r="L138" i="2"/>
  <c r="K138" i="2"/>
  <c r="H138" i="2"/>
  <c r="D138" i="2"/>
  <c r="V137" i="2"/>
  <c r="U137" i="2"/>
  <c r="T137" i="2"/>
  <c r="S137" i="2"/>
  <c r="R137" i="2"/>
  <c r="Q137" i="2"/>
  <c r="P137" i="2"/>
  <c r="O137" i="2"/>
  <c r="N137" i="2"/>
  <c r="M137" i="2"/>
  <c r="L137" i="2"/>
  <c r="K137" i="2"/>
  <c r="H137" i="2"/>
  <c r="D137" i="2"/>
  <c r="V136" i="2"/>
  <c r="U136" i="2"/>
  <c r="T136" i="2"/>
  <c r="S136" i="2"/>
  <c r="R136" i="2"/>
  <c r="Q136" i="2"/>
  <c r="P136" i="2"/>
  <c r="O136" i="2"/>
  <c r="N136" i="2"/>
  <c r="M136" i="2"/>
  <c r="L136" i="2"/>
  <c r="K136" i="2"/>
  <c r="H136" i="2"/>
  <c r="D136" i="2"/>
  <c r="V135" i="2"/>
  <c r="U135" i="2"/>
  <c r="T135" i="2"/>
  <c r="S135" i="2"/>
  <c r="R135" i="2"/>
  <c r="Q135" i="2"/>
  <c r="P135" i="2"/>
  <c r="O135" i="2"/>
  <c r="N135" i="2"/>
  <c r="M135" i="2"/>
  <c r="L135" i="2"/>
  <c r="K135" i="2"/>
  <c r="H135" i="2"/>
  <c r="D135" i="2"/>
  <c r="V134" i="2"/>
  <c r="U134" i="2"/>
  <c r="T134" i="2"/>
  <c r="S134" i="2"/>
  <c r="R134" i="2"/>
  <c r="Q134" i="2"/>
  <c r="P134" i="2"/>
  <c r="O134" i="2"/>
  <c r="N134" i="2"/>
  <c r="M134" i="2"/>
  <c r="L134" i="2"/>
  <c r="K134" i="2"/>
  <c r="H134" i="2"/>
  <c r="D134" i="2"/>
  <c r="V133" i="2"/>
  <c r="U133" i="2"/>
  <c r="T133" i="2"/>
  <c r="S133" i="2"/>
  <c r="R133" i="2"/>
  <c r="Q133" i="2"/>
  <c r="P133" i="2"/>
  <c r="O133" i="2"/>
  <c r="N133" i="2"/>
  <c r="M133" i="2"/>
  <c r="L133" i="2"/>
  <c r="K133" i="2"/>
  <c r="H133" i="2"/>
  <c r="D133" i="2"/>
  <c r="V132" i="2"/>
  <c r="U132" i="2"/>
  <c r="T132" i="2"/>
  <c r="S132" i="2"/>
  <c r="R132" i="2"/>
  <c r="Q132" i="2"/>
  <c r="P132" i="2"/>
  <c r="O132" i="2"/>
  <c r="N132" i="2"/>
  <c r="M132" i="2"/>
  <c r="L132" i="2"/>
  <c r="K132" i="2"/>
  <c r="H132" i="2"/>
  <c r="D132" i="2"/>
  <c r="V131" i="2"/>
  <c r="U131" i="2"/>
  <c r="T131" i="2"/>
  <c r="S131" i="2"/>
  <c r="R131" i="2"/>
  <c r="Q131" i="2"/>
  <c r="P131" i="2"/>
  <c r="O131" i="2"/>
  <c r="N131" i="2"/>
  <c r="M131" i="2"/>
  <c r="L131" i="2"/>
  <c r="K131" i="2"/>
  <c r="H131" i="2"/>
  <c r="D131" i="2"/>
  <c r="V130" i="2"/>
  <c r="U130" i="2"/>
  <c r="T130" i="2"/>
  <c r="S130" i="2"/>
  <c r="R130" i="2"/>
  <c r="Q130" i="2"/>
  <c r="P130" i="2"/>
  <c r="O130" i="2"/>
  <c r="N130" i="2"/>
  <c r="M130" i="2"/>
  <c r="L130" i="2"/>
  <c r="K130" i="2"/>
  <c r="H130" i="2"/>
  <c r="D130" i="2"/>
  <c r="V129" i="2"/>
  <c r="U129" i="2"/>
  <c r="T129" i="2"/>
  <c r="S129" i="2"/>
  <c r="R129" i="2"/>
  <c r="Q129" i="2"/>
  <c r="P129" i="2"/>
  <c r="O129" i="2"/>
  <c r="N129" i="2"/>
  <c r="M129" i="2"/>
  <c r="L129" i="2"/>
  <c r="K129" i="2"/>
  <c r="H129" i="2"/>
  <c r="D129" i="2"/>
  <c r="V128" i="2"/>
  <c r="U128" i="2"/>
  <c r="T128" i="2"/>
  <c r="S128" i="2"/>
  <c r="R128" i="2"/>
  <c r="Q128" i="2"/>
  <c r="P128" i="2"/>
  <c r="O128" i="2"/>
  <c r="N128" i="2"/>
  <c r="M128" i="2"/>
  <c r="L128" i="2"/>
  <c r="K128" i="2"/>
  <c r="H128" i="2"/>
  <c r="D128" i="2"/>
  <c r="V127" i="2"/>
  <c r="U127" i="2"/>
  <c r="T127" i="2"/>
  <c r="S127" i="2"/>
  <c r="R127" i="2"/>
  <c r="Q127" i="2"/>
  <c r="P127" i="2"/>
  <c r="O127" i="2"/>
  <c r="N127" i="2"/>
  <c r="M127" i="2"/>
  <c r="L127" i="2"/>
  <c r="K127" i="2"/>
  <c r="H127" i="2"/>
  <c r="D127" i="2"/>
  <c r="V126" i="2"/>
  <c r="U126" i="2"/>
  <c r="T126" i="2"/>
  <c r="S126" i="2"/>
  <c r="R126" i="2"/>
  <c r="Q126" i="2"/>
  <c r="P126" i="2"/>
  <c r="O126" i="2"/>
  <c r="N126" i="2"/>
  <c r="M126" i="2"/>
  <c r="L126" i="2"/>
  <c r="K126" i="2"/>
  <c r="H126" i="2"/>
  <c r="D126" i="2"/>
  <c r="V125" i="2"/>
  <c r="U125" i="2"/>
  <c r="T125" i="2"/>
  <c r="S125" i="2"/>
  <c r="R125" i="2"/>
  <c r="Q125" i="2"/>
  <c r="P125" i="2"/>
  <c r="O125" i="2"/>
  <c r="N125" i="2"/>
  <c r="M125" i="2"/>
  <c r="L125" i="2"/>
  <c r="K125" i="2"/>
  <c r="H125" i="2"/>
  <c r="D125" i="2"/>
  <c r="V124" i="2"/>
  <c r="U124" i="2"/>
  <c r="T124" i="2"/>
  <c r="S124" i="2"/>
  <c r="R124" i="2"/>
  <c r="Q124" i="2"/>
  <c r="P124" i="2"/>
  <c r="O124" i="2"/>
  <c r="N124" i="2"/>
  <c r="M124" i="2"/>
  <c r="L124" i="2"/>
  <c r="K124" i="2"/>
  <c r="H124" i="2"/>
  <c r="D124" i="2"/>
  <c r="V123" i="2"/>
  <c r="U123" i="2"/>
  <c r="T123" i="2"/>
  <c r="S123" i="2"/>
  <c r="R123" i="2"/>
  <c r="Q123" i="2"/>
  <c r="P123" i="2"/>
  <c r="O123" i="2"/>
  <c r="N123" i="2"/>
  <c r="M123" i="2"/>
  <c r="L123" i="2"/>
  <c r="K123" i="2"/>
  <c r="H123" i="2"/>
  <c r="D123" i="2"/>
  <c r="V122" i="2"/>
  <c r="U122" i="2"/>
  <c r="T122" i="2"/>
  <c r="S122" i="2"/>
  <c r="R122" i="2"/>
  <c r="Q122" i="2"/>
  <c r="P122" i="2"/>
  <c r="O122" i="2"/>
  <c r="N122" i="2"/>
  <c r="M122" i="2"/>
  <c r="L122" i="2"/>
  <c r="K122" i="2"/>
  <c r="H122" i="2"/>
  <c r="D122" i="2"/>
  <c r="V121" i="2"/>
  <c r="U121" i="2"/>
  <c r="T121" i="2"/>
  <c r="S121" i="2"/>
  <c r="R121" i="2"/>
  <c r="Q121" i="2"/>
  <c r="P121" i="2"/>
  <c r="O121" i="2"/>
  <c r="N121" i="2"/>
  <c r="M121" i="2"/>
  <c r="L121" i="2"/>
  <c r="K121" i="2"/>
  <c r="H121" i="2"/>
  <c r="D121" i="2"/>
  <c r="V120" i="2"/>
  <c r="U120" i="2"/>
  <c r="T120" i="2"/>
  <c r="S120" i="2"/>
  <c r="R120" i="2"/>
  <c r="Q120" i="2"/>
  <c r="P120" i="2"/>
  <c r="O120" i="2"/>
  <c r="N120" i="2"/>
  <c r="M120" i="2"/>
  <c r="L120" i="2"/>
  <c r="K120" i="2"/>
  <c r="H120" i="2"/>
  <c r="D120" i="2"/>
  <c r="V119" i="2"/>
  <c r="U119" i="2"/>
  <c r="T119" i="2"/>
  <c r="S119" i="2"/>
  <c r="R119" i="2"/>
  <c r="Q119" i="2"/>
  <c r="P119" i="2"/>
  <c r="O119" i="2"/>
  <c r="N119" i="2"/>
  <c r="M119" i="2"/>
  <c r="L119" i="2"/>
  <c r="K119" i="2"/>
  <c r="H119" i="2"/>
  <c r="D119" i="2"/>
  <c r="V118" i="2"/>
  <c r="U118" i="2"/>
  <c r="T118" i="2"/>
  <c r="S118" i="2"/>
  <c r="R118" i="2"/>
  <c r="Q118" i="2"/>
  <c r="P118" i="2"/>
  <c r="O118" i="2"/>
  <c r="N118" i="2"/>
  <c r="M118" i="2"/>
  <c r="L118" i="2"/>
  <c r="K118" i="2"/>
  <c r="H118" i="2"/>
  <c r="D118" i="2"/>
  <c r="V117" i="2"/>
  <c r="U117" i="2"/>
  <c r="T117" i="2"/>
  <c r="S117" i="2"/>
  <c r="R117" i="2"/>
  <c r="Q117" i="2"/>
  <c r="P117" i="2"/>
  <c r="O117" i="2"/>
  <c r="N117" i="2"/>
  <c r="M117" i="2"/>
  <c r="L117" i="2"/>
  <c r="K117" i="2"/>
  <c r="H117" i="2"/>
  <c r="D117" i="2"/>
  <c r="V116" i="2"/>
  <c r="U116" i="2"/>
  <c r="T116" i="2"/>
  <c r="S116" i="2"/>
  <c r="R116" i="2"/>
  <c r="Q116" i="2"/>
  <c r="P116" i="2"/>
  <c r="O116" i="2"/>
  <c r="N116" i="2"/>
  <c r="M116" i="2"/>
  <c r="L116" i="2"/>
  <c r="K116" i="2"/>
  <c r="H116" i="2"/>
  <c r="D116" i="2"/>
  <c r="V115" i="2"/>
  <c r="U115" i="2"/>
  <c r="T115" i="2"/>
  <c r="S115" i="2"/>
  <c r="R115" i="2"/>
  <c r="Q115" i="2"/>
  <c r="P115" i="2"/>
  <c r="O115" i="2"/>
  <c r="N115" i="2"/>
  <c r="M115" i="2"/>
  <c r="L115" i="2"/>
  <c r="K115" i="2"/>
  <c r="H115" i="2"/>
  <c r="D115" i="2"/>
  <c r="V114" i="2"/>
  <c r="U114" i="2"/>
  <c r="T114" i="2"/>
  <c r="S114" i="2"/>
  <c r="R114" i="2"/>
  <c r="Q114" i="2"/>
  <c r="P114" i="2"/>
  <c r="O114" i="2"/>
  <c r="N114" i="2"/>
  <c r="M114" i="2"/>
  <c r="L114" i="2"/>
  <c r="K114" i="2"/>
  <c r="H114" i="2"/>
  <c r="D114" i="2"/>
  <c r="V113" i="2"/>
  <c r="U113" i="2"/>
  <c r="T113" i="2"/>
  <c r="S113" i="2"/>
  <c r="R113" i="2"/>
  <c r="Q113" i="2"/>
  <c r="P113" i="2"/>
  <c r="O113" i="2"/>
  <c r="N113" i="2"/>
  <c r="M113" i="2"/>
  <c r="L113" i="2"/>
  <c r="K113" i="2"/>
  <c r="H113" i="2"/>
  <c r="D113" i="2"/>
  <c r="V112" i="2"/>
  <c r="U112" i="2"/>
  <c r="T112" i="2"/>
  <c r="S112" i="2"/>
  <c r="R112" i="2"/>
  <c r="Q112" i="2"/>
  <c r="P112" i="2"/>
  <c r="O112" i="2"/>
  <c r="N112" i="2"/>
  <c r="M112" i="2"/>
  <c r="L112" i="2"/>
  <c r="K112" i="2"/>
  <c r="H112" i="2"/>
  <c r="D112" i="2"/>
  <c r="V111" i="2"/>
  <c r="U111" i="2"/>
  <c r="T111" i="2"/>
  <c r="S111" i="2"/>
  <c r="R111" i="2"/>
  <c r="Q111" i="2"/>
  <c r="P111" i="2"/>
  <c r="O111" i="2"/>
  <c r="N111" i="2"/>
  <c r="M111" i="2"/>
  <c r="L111" i="2"/>
  <c r="K111" i="2"/>
  <c r="H111" i="2"/>
  <c r="D111" i="2"/>
  <c r="V110" i="2"/>
  <c r="U110" i="2"/>
  <c r="T110" i="2"/>
  <c r="S110" i="2"/>
  <c r="R110" i="2"/>
  <c r="Q110" i="2"/>
  <c r="P110" i="2"/>
  <c r="O110" i="2"/>
  <c r="N110" i="2"/>
  <c r="M110" i="2"/>
  <c r="L110" i="2"/>
  <c r="K110" i="2"/>
  <c r="H110" i="2"/>
  <c r="D110" i="2"/>
  <c r="V109" i="2"/>
  <c r="U109" i="2"/>
  <c r="T109" i="2"/>
  <c r="S109" i="2"/>
  <c r="R109" i="2"/>
  <c r="Q109" i="2"/>
  <c r="P109" i="2"/>
  <c r="O109" i="2"/>
  <c r="N109" i="2"/>
  <c r="M109" i="2"/>
  <c r="L109" i="2"/>
  <c r="K109" i="2"/>
  <c r="H109" i="2"/>
  <c r="D109" i="2"/>
  <c r="V108" i="2"/>
  <c r="U108" i="2"/>
  <c r="T108" i="2"/>
  <c r="S108" i="2"/>
  <c r="R108" i="2"/>
  <c r="Q108" i="2"/>
  <c r="P108" i="2"/>
  <c r="O108" i="2"/>
  <c r="N108" i="2"/>
  <c r="M108" i="2"/>
  <c r="L108" i="2"/>
  <c r="K108" i="2"/>
  <c r="H108" i="2"/>
  <c r="D108" i="2"/>
  <c r="V107" i="2"/>
  <c r="U107" i="2"/>
  <c r="T107" i="2"/>
  <c r="S107" i="2"/>
  <c r="R107" i="2"/>
  <c r="Q107" i="2"/>
  <c r="P107" i="2"/>
  <c r="O107" i="2"/>
  <c r="N107" i="2"/>
  <c r="M107" i="2"/>
  <c r="L107" i="2"/>
  <c r="K107" i="2"/>
  <c r="H107" i="2"/>
  <c r="D107" i="2"/>
  <c r="V106" i="2"/>
  <c r="U106" i="2"/>
  <c r="T106" i="2"/>
  <c r="S106" i="2"/>
  <c r="R106" i="2"/>
  <c r="Q106" i="2"/>
  <c r="P106" i="2"/>
  <c r="O106" i="2"/>
  <c r="N106" i="2"/>
  <c r="M106" i="2"/>
  <c r="L106" i="2"/>
  <c r="K106" i="2"/>
  <c r="H106" i="2"/>
  <c r="D106" i="2"/>
  <c r="V105" i="2"/>
  <c r="U105" i="2"/>
  <c r="T105" i="2"/>
  <c r="S105" i="2"/>
  <c r="R105" i="2"/>
  <c r="Q105" i="2"/>
  <c r="P105" i="2"/>
  <c r="O105" i="2"/>
  <c r="N105" i="2"/>
  <c r="M105" i="2"/>
  <c r="L105" i="2"/>
  <c r="K105" i="2"/>
  <c r="H105" i="2"/>
  <c r="D105" i="2"/>
  <c r="V104" i="2"/>
  <c r="U104" i="2"/>
  <c r="T104" i="2"/>
  <c r="S104" i="2"/>
  <c r="R104" i="2"/>
  <c r="Q104" i="2"/>
  <c r="P104" i="2"/>
  <c r="O104" i="2"/>
  <c r="N104" i="2"/>
  <c r="M104" i="2"/>
  <c r="L104" i="2"/>
  <c r="K104" i="2"/>
  <c r="H104" i="2"/>
  <c r="D104" i="2"/>
  <c r="V103" i="2"/>
  <c r="U103" i="2"/>
  <c r="T103" i="2"/>
  <c r="S103" i="2"/>
  <c r="R103" i="2"/>
  <c r="Q103" i="2"/>
  <c r="P103" i="2"/>
  <c r="O103" i="2"/>
  <c r="N103" i="2"/>
  <c r="M103" i="2"/>
  <c r="L103" i="2"/>
  <c r="K103" i="2"/>
  <c r="H103" i="2"/>
  <c r="D103" i="2"/>
  <c r="V102" i="2"/>
  <c r="U102" i="2"/>
  <c r="T102" i="2"/>
  <c r="S102" i="2"/>
  <c r="R102" i="2"/>
  <c r="Q102" i="2"/>
  <c r="P102" i="2"/>
  <c r="O102" i="2"/>
  <c r="N102" i="2"/>
  <c r="M102" i="2"/>
  <c r="L102" i="2"/>
  <c r="K102" i="2"/>
  <c r="H102" i="2"/>
  <c r="D102" i="2"/>
  <c r="V101" i="2"/>
  <c r="U101" i="2"/>
  <c r="T101" i="2"/>
  <c r="S101" i="2"/>
  <c r="R101" i="2"/>
  <c r="Q101" i="2"/>
  <c r="P101" i="2"/>
  <c r="O101" i="2"/>
  <c r="N101" i="2"/>
  <c r="M101" i="2"/>
  <c r="L101" i="2"/>
  <c r="K101" i="2"/>
  <c r="H101" i="2"/>
  <c r="D101" i="2"/>
  <c r="V100" i="2"/>
  <c r="U100" i="2"/>
  <c r="T100" i="2"/>
  <c r="S100" i="2"/>
  <c r="R100" i="2"/>
  <c r="Q100" i="2"/>
  <c r="P100" i="2"/>
  <c r="O100" i="2"/>
  <c r="N100" i="2"/>
  <c r="M100" i="2"/>
  <c r="L100" i="2"/>
  <c r="K100" i="2"/>
  <c r="H100" i="2"/>
  <c r="D100" i="2"/>
  <c r="V99" i="2"/>
  <c r="U99" i="2"/>
  <c r="T99" i="2"/>
  <c r="S99" i="2"/>
  <c r="R99" i="2"/>
  <c r="Q99" i="2"/>
  <c r="P99" i="2"/>
  <c r="O99" i="2"/>
  <c r="N99" i="2"/>
  <c r="M99" i="2"/>
  <c r="L99" i="2"/>
  <c r="K99" i="2"/>
  <c r="H99" i="2"/>
  <c r="D99" i="2"/>
  <c r="V98" i="2"/>
  <c r="U98" i="2"/>
  <c r="T98" i="2"/>
  <c r="S98" i="2"/>
  <c r="R98" i="2"/>
  <c r="Q98" i="2"/>
  <c r="P98" i="2"/>
  <c r="O98" i="2"/>
  <c r="N98" i="2"/>
  <c r="M98" i="2"/>
  <c r="L98" i="2"/>
  <c r="K98" i="2"/>
  <c r="H98" i="2"/>
  <c r="D98" i="2"/>
  <c r="V97" i="2"/>
  <c r="U97" i="2"/>
  <c r="T97" i="2"/>
  <c r="S97" i="2"/>
  <c r="R97" i="2"/>
  <c r="Q97" i="2"/>
  <c r="P97" i="2"/>
  <c r="O97" i="2"/>
  <c r="N97" i="2"/>
  <c r="M97" i="2"/>
  <c r="L97" i="2"/>
  <c r="K97" i="2"/>
  <c r="H97" i="2"/>
  <c r="D97" i="2"/>
  <c r="V96" i="2"/>
  <c r="U96" i="2"/>
  <c r="T96" i="2"/>
  <c r="S96" i="2"/>
  <c r="R96" i="2"/>
  <c r="Q96" i="2"/>
  <c r="P96" i="2"/>
  <c r="O96" i="2"/>
  <c r="N96" i="2"/>
  <c r="M96" i="2"/>
  <c r="L96" i="2"/>
  <c r="K96" i="2"/>
  <c r="H96" i="2"/>
  <c r="D96" i="2"/>
  <c r="V95" i="2"/>
  <c r="U95" i="2"/>
  <c r="T95" i="2"/>
  <c r="S95" i="2"/>
  <c r="R95" i="2"/>
  <c r="Q95" i="2"/>
  <c r="P95" i="2"/>
  <c r="O95" i="2"/>
  <c r="N95" i="2"/>
  <c r="M95" i="2"/>
  <c r="L95" i="2"/>
  <c r="K95" i="2"/>
  <c r="H95" i="2"/>
  <c r="D95" i="2"/>
  <c r="V94" i="2"/>
  <c r="U94" i="2"/>
  <c r="T94" i="2"/>
  <c r="S94" i="2"/>
  <c r="R94" i="2"/>
  <c r="Q94" i="2"/>
  <c r="P94" i="2"/>
  <c r="O94" i="2"/>
  <c r="N94" i="2"/>
  <c r="M94" i="2"/>
  <c r="L94" i="2"/>
  <c r="K94" i="2"/>
  <c r="H94" i="2"/>
  <c r="D94" i="2"/>
  <c r="V93" i="2"/>
  <c r="U93" i="2"/>
  <c r="T93" i="2"/>
  <c r="S93" i="2"/>
  <c r="R93" i="2"/>
  <c r="Q93" i="2"/>
  <c r="P93" i="2"/>
  <c r="O93" i="2"/>
  <c r="N93" i="2"/>
  <c r="M93" i="2"/>
  <c r="L93" i="2"/>
  <c r="K93" i="2"/>
  <c r="H93" i="2"/>
  <c r="D93" i="2"/>
  <c r="V92" i="2"/>
  <c r="U92" i="2"/>
  <c r="T92" i="2"/>
  <c r="S92" i="2"/>
  <c r="R92" i="2"/>
  <c r="Q92" i="2"/>
  <c r="P92" i="2"/>
  <c r="O92" i="2"/>
  <c r="N92" i="2"/>
  <c r="M92" i="2"/>
  <c r="L92" i="2"/>
  <c r="K92" i="2"/>
  <c r="H92" i="2"/>
  <c r="D92" i="2"/>
  <c r="V91" i="2"/>
  <c r="U91" i="2"/>
  <c r="T91" i="2"/>
  <c r="S91" i="2"/>
  <c r="R91" i="2"/>
  <c r="Q91" i="2"/>
  <c r="P91" i="2"/>
  <c r="O91" i="2"/>
  <c r="N91" i="2"/>
  <c r="M91" i="2"/>
  <c r="L91" i="2"/>
  <c r="K91" i="2"/>
  <c r="H91" i="2"/>
  <c r="D91" i="2"/>
  <c r="V90" i="2"/>
  <c r="U90" i="2"/>
  <c r="T90" i="2"/>
  <c r="S90" i="2"/>
  <c r="R90" i="2"/>
  <c r="Q90" i="2"/>
  <c r="P90" i="2"/>
  <c r="O90" i="2"/>
  <c r="N90" i="2"/>
  <c r="M90" i="2"/>
  <c r="L90" i="2"/>
  <c r="K90" i="2"/>
  <c r="H90" i="2"/>
  <c r="D90" i="2"/>
  <c r="V89" i="2"/>
  <c r="U89" i="2"/>
  <c r="T89" i="2"/>
  <c r="S89" i="2"/>
  <c r="R89" i="2"/>
  <c r="Q89" i="2"/>
  <c r="P89" i="2"/>
  <c r="O89" i="2"/>
  <c r="N89" i="2"/>
  <c r="M89" i="2"/>
  <c r="L89" i="2"/>
  <c r="K89" i="2"/>
  <c r="H89" i="2"/>
  <c r="D89" i="2"/>
  <c r="V88" i="2"/>
  <c r="U88" i="2"/>
  <c r="T88" i="2"/>
  <c r="S88" i="2"/>
  <c r="R88" i="2"/>
  <c r="Q88" i="2"/>
  <c r="P88" i="2"/>
  <c r="O88" i="2"/>
  <c r="N88" i="2"/>
  <c r="M88" i="2"/>
  <c r="L88" i="2"/>
  <c r="K88" i="2"/>
  <c r="H88" i="2"/>
  <c r="D88" i="2"/>
  <c r="V87" i="2"/>
  <c r="U87" i="2"/>
  <c r="T87" i="2"/>
  <c r="S87" i="2"/>
  <c r="R87" i="2"/>
  <c r="Q87" i="2"/>
  <c r="P87" i="2"/>
  <c r="O87" i="2"/>
  <c r="N87" i="2"/>
  <c r="M87" i="2"/>
  <c r="L87" i="2"/>
  <c r="K87" i="2"/>
  <c r="H87" i="2"/>
  <c r="D87" i="2"/>
  <c r="V86" i="2"/>
  <c r="U86" i="2"/>
  <c r="T86" i="2"/>
  <c r="S86" i="2"/>
  <c r="R86" i="2"/>
  <c r="Q86" i="2"/>
  <c r="P86" i="2"/>
  <c r="O86" i="2"/>
  <c r="N86" i="2"/>
  <c r="M86" i="2"/>
  <c r="L86" i="2"/>
  <c r="K86" i="2"/>
  <c r="H86" i="2"/>
  <c r="D86" i="2"/>
  <c r="V85" i="2"/>
  <c r="U85" i="2"/>
  <c r="T85" i="2"/>
  <c r="S85" i="2"/>
  <c r="R85" i="2"/>
  <c r="Q85" i="2"/>
  <c r="P85" i="2"/>
  <c r="O85" i="2"/>
  <c r="N85" i="2"/>
  <c r="M85" i="2"/>
  <c r="L85" i="2"/>
  <c r="K85" i="2"/>
  <c r="H85" i="2"/>
  <c r="D85" i="2"/>
  <c r="V84" i="2"/>
  <c r="U84" i="2"/>
  <c r="T84" i="2"/>
  <c r="S84" i="2"/>
  <c r="R84" i="2"/>
  <c r="Q84" i="2"/>
  <c r="P84" i="2"/>
  <c r="O84" i="2"/>
  <c r="N84" i="2"/>
  <c r="M84" i="2"/>
  <c r="L84" i="2"/>
  <c r="K84" i="2"/>
  <c r="H84" i="2"/>
  <c r="D84" i="2"/>
  <c r="V83" i="2"/>
  <c r="U83" i="2"/>
  <c r="T83" i="2"/>
  <c r="S83" i="2"/>
  <c r="R83" i="2"/>
  <c r="Q83" i="2"/>
  <c r="P83" i="2"/>
  <c r="O83" i="2"/>
  <c r="N83" i="2"/>
  <c r="M83" i="2"/>
  <c r="L83" i="2"/>
  <c r="K83" i="2"/>
  <c r="H83" i="2"/>
  <c r="D83" i="2"/>
  <c r="V82" i="2"/>
  <c r="U82" i="2"/>
  <c r="T82" i="2"/>
  <c r="S82" i="2"/>
  <c r="R82" i="2"/>
  <c r="Q82" i="2"/>
  <c r="P82" i="2"/>
  <c r="O82" i="2"/>
  <c r="N82" i="2"/>
  <c r="M82" i="2"/>
  <c r="L82" i="2"/>
  <c r="K82" i="2"/>
  <c r="H82" i="2"/>
  <c r="D82" i="2"/>
  <c r="V81" i="2"/>
  <c r="U81" i="2"/>
  <c r="T81" i="2"/>
  <c r="S81" i="2"/>
  <c r="R81" i="2"/>
  <c r="Q81" i="2"/>
  <c r="P81" i="2"/>
  <c r="O81" i="2"/>
  <c r="N81" i="2"/>
  <c r="M81" i="2"/>
  <c r="L81" i="2"/>
  <c r="K81" i="2"/>
  <c r="H81" i="2"/>
  <c r="D81" i="2"/>
  <c r="V80" i="2"/>
  <c r="U80" i="2"/>
  <c r="T80" i="2"/>
  <c r="S80" i="2"/>
  <c r="R80" i="2"/>
  <c r="Q80" i="2"/>
  <c r="P80" i="2"/>
  <c r="O80" i="2"/>
  <c r="N80" i="2"/>
  <c r="M80" i="2"/>
  <c r="L80" i="2"/>
  <c r="K80" i="2"/>
  <c r="H80" i="2"/>
  <c r="D80" i="2"/>
  <c r="V79" i="2"/>
  <c r="U79" i="2"/>
  <c r="T79" i="2"/>
  <c r="S79" i="2"/>
  <c r="R79" i="2"/>
  <c r="Q79" i="2"/>
  <c r="P79" i="2"/>
  <c r="O79" i="2"/>
  <c r="N79" i="2"/>
  <c r="M79" i="2"/>
  <c r="L79" i="2"/>
  <c r="K79" i="2"/>
  <c r="H79" i="2"/>
  <c r="D79" i="2"/>
  <c r="V78" i="2"/>
  <c r="U78" i="2"/>
  <c r="T78" i="2"/>
  <c r="S78" i="2"/>
  <c r="R78" i="2"/>
  <c r="Q78" i="2"/>
  <c r="P78" i="2"/>
  <c r="O78" i="2"/>
  <c r="N78" i="2"/>
  <c r="M78" i="2"/>
  <c r="L78" i="2"/>
  <c r="K78" i="2"/>
  <c r="H78" i="2"/>
  <c r="D78" i="2"/>
  <c r="V77" i="2"/>
  <c r="U77" i="2"/>
  <c r="T77" i="2"/>
  <c r="S77" i="2"/>
  <c r="R77" i="2"/>
  <c r="Q77" i="2"/>
  <c r="P77" i="2"/>
  <c r="O77" i="2"/>
  <c r="N77" i="2"/>
  <c r="M77" i="2"/>
  <c r="L77" i="2"/>
  <c r="K77" i="2"/>
  <c r="H77" i="2"/>
  <c r="D77" i="2"/>
  <c r="V76" i="2"/>
  <c r="U76" i="2"/>
  <c r="T76" i="2"/>
  <c r="S76" i="2"/>
  <c r="R76" i="2"/>
  <c r="Q76" i="2"/>
  <c r="P76" i="2"/>
  <c r="O76" i="2"/>
  <c r="N76" i="2"/>
  <c r="M76" i="2"/>
  <c r="L76" i="2"/>
  <c r="K76" i="2"/>
  <c r="H76" i="2"/>
  <c r="D76" i="2"/>
  <c r="V75" i="2"/>
  <c r="U75" i="2"/>
  <c r="T75" i="2"/>
  <c r="S75" i="2"/>
  <c r="R75" i="2"/>
  <c r="Q75" i="2"/>
  <c r="P75" i="2"/>
  <c r="O75" i="2"/>
  <c r="N75" i="2"/>
  <c r="M75" i="2"/>
  <c r="L75" i="2"/>
  <c r="K75" i="2"/>
  <c r="H75" i="2"/>
  <c r="D75" i="2"/>
  <c r="V74" i="2"/>
  <c r="U74" i="2"/>
  <c r="T74" i="2"/>
  <c r="S74" i="2"/>
  <c r="R74" i="2"/>
  <c r="Q74" i="2"/>
  <c r="P74" i="2"/>
  <c r="O74" i="2"/>
  <c r="N74" i="2"/>
  <c r="M74" i="2"/>
  <c r="L74" i="2"/>
  <c r="K74" i="2"/>
  <c r="H74" i="2"/>
  <c r="D74" i="2"/>
  <c r="V73" i="2"/>
  <c r="U73" i="2"/>
  <c r="T73" i="2"/>
  <c r="S73" i="2"/>
  <c r="R73" i="2"/>
  <c r="Q73" i="2"/>
  <c r="P73" i="2"/>
  <c r="O73" i="2"/>
  <c r="N73" i="2"/>
  <c r="M73" i="2"/>
  <c r="L73" i="2"/>
  <c r="K73" i="2"/>
  <c r="H73" i="2"/>
  <c r="D73" i="2"/>
  <c r="V72" i="2"/>
  <c r="U72" i="2"/>
  <c r="T72" i="2"/>
  <c r="S72" i="2"/>
  <c r="R72" i="2"/>
  <c r="Q72" i="2"/>
  <c r="P72" i="2"/>
  <c r="O72" i="2"/>
  <c r="N72" i="2"/>
  <c r="M72" i="2"/>
  <c r="L72" i="2"/>
  <c r="K72" i="2"/>
  <c r="H72" i="2"/>
  <c r="D72" i="2"/>
  <c r="V71" i="2"/>
  <c r="U71" i="2"/>
  <c r="T71" i="2"/>
  <c r="S71" i="2"/>
  <c r="R71" i="2"/>
  <c r="Q71" i="2"/>
  <c r="P71" i="2"/>
  <c r="O71" i="2"/>
  <c r="N71" i="2"/>
  <c r="M71" i="2"/>
  <c r="L71" i="2"/>
  <c r="K71" i="2"/>
  <c r="H71" i="2"/>
  <c r="D71" i="2"/>
  <c r="V70" i="2"/>
  <c r="U70" i="2"/>
  <c r="T70" i="2"/>
  <c r="S70" i="2"/>
  <c r="R70" i="2"/>
  <c r="Q70" i="2"/>
  <c r="P70" i="2"/>
  <c r="O70" i="2"/>
  <c r="N70" i="2"/>
  <c r="M70" i="2"/>
  <c r="L70" i="2"/>
  <c r="K70" i="2"/>
  <c r="H70" i="2"/>
  <c r="D70" i="2"/>
  <c r="V69" i="2"/>
  <c r="U69" i="2"/>
  <c r="T69" i="2"/>
  <c r="S69" i="2"/>
  <c r="R69" i="2"/>
  <c r="Q69" i="2"/>
  <c r="P69" i="2"/>
  <c r="O69" i="2"/>
  <c r="N69" i="2"/>
  <c r="M69" i="2"/>
  <c r="L69" i="2"/>
  <c r="K69" i="2"/>
  <c r="H69" i="2"/>
  <c r="D69" i="2"/>
  <c r="V68" i="2"/>
  <c r="U68" i="2"/>
  <c r="T68" i="2"/>
  <c r="S68" i="2"/>
  <c r="R68" i="2"/>
  <c r="Q68" i="2"/>
  <c r="P68" i="2"/>
  <c r="O68" i="2"/>
  <c r="N68" i="2"/>
  <c r="M68" i="2"/>
  <c r="L68" i="2"/>
  <c r="K68" i="2"/>
  <c r="H68" i="2"/>
  <c r="D68" i="2"/>
  <c r="V67" i="2"/>
  <c r="U67" i="2"/>
  <c r="T67" i="2"/>
  <c r="S67" i="2"/>
  <c r="R67" i="2"/>
  <c r="Q67" i="2"/>
  <c r="P67" i="2"/>
  <c r="O67" i="2"/>
  <c r="N67" i="2"/>
  <c r="M67" i="2"/>
  <c r="L67" i="2"/>
  <c r="K67" i="2"/>
  <c r="H67" i="2"/>
  <c r="D67" i="2"/>
  <c r="V66" i="2"/>
  <c r="U66" i="2"/>
  <c r="T66" i="2"/>
  <c r="S66" i="2"/>
  <c r="R66" i="2"/>
  <c r="Q66" i="2"/>
  <c r="P66" i="2"/>
  <c r="O66" i="2"/>
  <c r="N66" i="2"/>
  <c r="M66" i="2"/>
  <c r="L66" i="2"/>
  <c r="K66" i="2"/>
  <c r="H66" i="2"/>
  <c r="D66" i="2"/>
  <c r="V65" i="2"/>
  <c r="U65" i="2"/>
  <c r="T65" i="2"/>
  <c r="S65" i="2"/>
  <c r="R65" i="2"/>
  <c r="Q65" i="2"/>
  <c r="P65" i="2"/>
  <c r="O65" i="2"/>
  <c r="N65" i="2"/>
  <c r="M65" i="2"/>
  <c r="L65" i="2"/>
  <c r="K65" i="2"/>
  <c r="H65" i="2"/>
  <c r="D65" i="2"/>
  <c r="V64" i="2"/>
  <c r="U64" i="2"/>
  <c r="T64" i="2"/>
  <c r="S64" i="2"/>
  <c r="R64" i="2"/>
  <c r="Q64" i="2"/>
  <c r="P64" i="2"/>
  <c r="O64" i="2"/>
  <c r="N64" i="2"/>
  <c r="M64" i="2"/>
  <c r="L64" i="2"/>
  <c r="K64" i="2"/>
  <c r="H64" i="2"/>
  <c r="D64" i="2"/>
  <c r="V63" i="2"/>
  <c r="U63" i="2"/>
  <c r="T63" i="2"/>
  <c r="S63" i="2"/>
  <c r="R63" i="2"/>
  <c r="Q63" i="2"/>
  <c r="P63" i="2"/>
  <c r="O63" i="2"/>
  <c r="N63" i="2"/>
  <c r="M63" i="2"/>
  <c r="L63" i="2"/>
  <c r="K63" i="2"/>
  <c r="H63" i="2"/>
  <c r="D63" i="2"/>
  <c r="V62" i="2"/>
  <c r="U62" i="2"/>
  <c r="T62" i="2"/>
  <c r="S62" i="2"/>
  <c r="R62" i="2"/>
  <c r="Q62" i="2"/>
  <c r="P62" i="2"/>
  <c r="O62" i="2"/>
  <c r="N62" i="2"/>
  <c r="M62" i="2"/>
  <c r="L62" i="2"/>
  <c r="K62" i="2"/>
  <c r="H62" i="2"/>
  <c r="D62" i="2"/>
  <c r="V61" i="2"/>
  <c r="U61" i="2"/>
  <c r="T61" i="2"/>
  <c r="S61" i="2"/>
  <c r="R61" i="2"/>
  <c r="Q61" i="2"/>
  <c r="P61" i="2"/>
  <c r="O61" i="2"/>
  <c r="N61" i="2"/>
  <c r="M61" i="2"/>
  <c r="L61" i="2"/>
  <c r="K61" i="2"/>
  <c r="H61" i="2"/>
  <c r="D61" i="2"/>
  <c r="V60" i="2"/>
  <c r="U60" i="2"/>
  <c r="T60" i="2"/>
  <c r="S60" i="2"/>
  <c r="R60" i="2"/>
  <c r="Q60" i="2"/>
  <c r="P60" i="2"/>
  <c r="O60" i="2"/>
  <c r="N60" i="2"/>
  <c r="M60" i="2"/>
  <c r="L60" i="2"/>
  <c r="K60" i="2"/>
  <c r="H60" i="2"/>
  <c r="D60" i="2"/>
  <c r="V59" i="2"/>
  <c r="U59" i="2"/>
  <c r="T59" i="2"/>
  <c r="S59" i="2"/>
  <c r="R59" i="2"/>
  <c r="Q59" i="2"/>
  <c r="P59" i="2"/>
  <c r="O59" i="2"/>
  <c r="N59" i="2"/>
  <c r="M59" i="2"/>
  <c r="L59" i="2"/>
  <c r="K59" i="2"/>
  <c r="H59" i="2"/>
  <c r="D59" i="2"/>
  <c r="V58" i="2"/>
  <c r="U58" i="2"/>
  <c r="T58" i="2"/>
  <c r="S58" i="2"/>
  <c r="R58" i="2"/>
  <c r="Q58" i="2"/>
  <c r="P58" i="2"/>
  <c r="O58" i="2"/>
  <c r="N58" i="2"/>
  <c r="M58" i="2"/>
  <c r="L58" i="2"/>
  <c r="K58" i="2"/>
  <c r="H58" i="2"/>
  <c r="D58" i="2"/>
  <c r="V57" i="2"/>
  <c r="U57" i="2"/>
  <c r="T57" i="2"/>
  <c r="S57" i="2"/>
  <c r="R57" i="2"/>
  <c r="Q57" i="2"/>
  <c r="P57" i="2"/>
  <c r="O57" i="2"/>
  <c r="N57" i="2"/>
  <c r="M57" i="2"/>
  <c r="L57" i="2"/>
  <c r="K57" i="2"/>
  <c r="H57" i="2"/>
  <c r="D57" i="2"/>
  <c r="V56" i="2"/>
  <c r="U56" i="2"/>
  <c r="T56" i="2"/>
  <c r="S56" i="2"/>
  <c r="R56" i="2"/>
  <c r="Q56" i="2"/>
  <c r="P56" i="2"/>
  <c r="O56" i="2"/>
  <c r="N56" i="2"/>
  <c r="M56" i="2"/>
  <c r="L56" i="2"/>
  <c r="K56" i="2"/>
  <c r="H56" i="2"/>
  <c r="D56" i="2"/>
  <c r="V55" i="2"/>
  <c r="U55" i="2"/>
  <c r="T55" i="2"/>
  <c r="S55" i="2"/>
  <c r="R55" i="2"/>
  <c r="Q55" i="2"/>
  <c r="P55" i="2"/>
  <c r="O55" i="2"/>
  <c r="N55" i="2"/>
  <c r="M55" i="2"/>
  <c r="L55" i="2"/>
  <c r="K55" i="2"/>
  <c r="H55" i="2"/>
  <c r="D55" i="2"/>
  <c r="V54" i="2"/>
  <c r="U54" i="2"/>
  <c r="T54" i="2"/>
  <c r="S54" i="2"/>
  <c r="R54" i="2"/>
  <c r="Q54" i="2"/>
  <c r="P54" i="2"/>
  <c r="O54" i="2"/>
  <c r="N54" i="2"/>
  <c r="M54" i="2"/>
  <c r="L54" i="2"/>
  <c r="K54" i="2"/>
  <c r="H54" i="2"/>
  <c r="D54" i="2"/>
  <c r="V53" i="2"/>
  <c r="U53" i="2"/>
  <c r="T53" i="2"/>
  <c r="S53" i="2"/>
  <c r="R53" i="2"/>
  <c r="Q53" i="2"/>
  <c r="P53" i="2"/>
  <c r="O53" i="2"/>
  <c r="N53" i="2"/>
  <c r="M53" i="2"/>
  <c r="L53" i="2"/>
  <c r="K53" i="2"/>
  <c r="H53" i="2"/>
  <c r="D53" i="2"/>
  <c r="V52" i="2"/>
  <c r="U52" i="2"/>
  <c r="T52" i="2"/>
  <c r="S52" i="2"/>
  <c r="R52" i="2"/>
  <c r="Q52" i="2"/>
  <c r="P52" i="2"/>
  <c r="O52" i="2"/>
  <c r="N52" i="2"/>
  <c r="M52" i="2"/>
  <c r="L52" i="2"/>
  <c r="K52" i="2"/>
  <c r="H52" i="2"/>
  <c r="D52" i="2"/>
  <c r="V51" i="2"/>
  <c r="U51" i="2"/>
  <c r="T51" i="2"/>
  <c r="S51" i="2"/>
  <c r="R51" i="2"/>
  <c r="Q51" i="2"/>
  <c r="P51" i="2"/>
  <c r="O51" i="2"/>
  <c r="N51" i="2"/>
  <c r="M51" i="2"/>
  <c r="L51" i="2"/>
  <c r="K51" i="2"/>
  <c r="H51" i="2"/>
  <c r="D51" i="2"/>
  <c r="V50" i="2"/>
  <c r="U50" i="2"/>
  <c r="T50" i="2"/>
  <c r="S50" i="2"/>
  <c r="R50" i="2"/>
  <c r="Q50" i="2"/>
  <c r="P50" i="2"/>
  <c r="O50" i="2"/>
  <c r="N50" i="2"/>
  <c r="M50" i="2"/>
  <c r="L50" i="2"/>
  <c r="K50" i="2"/>
  <c r="H50" i="2"/>
  <c r="D50" i="2"/>
  <c r="V49" i="2"/>
  <c r="U49" i="2"/>
  <c r="T49" i="2"/>
  <c r="S49" i="2"/>
  <c r="R49" i="2"/>
  <c r="Q49" i="2"/>
  <c r="P49" i="2"/>
  <c r="O49" i="2"/>
  <c r="N49" i="2"/>
  <c r="M49" i="2"/>
  <c r="L49" i="2"/>
  <c r="K49" i="2"/>
  <c r="H49" i="2"/>
  <c r="D49" i="2"/>
  <c r="V48" i="2"/>
  <c r="U48" i="2"/>
  <c r="T48" i="2"/>
  <c r="S48" i="2"/>
  <c r="R48" i="2"/>
  <c r="Q48" i="2"/>
  <c r="P48" i="2"/>
  <c r="O48" i="2"/>
  <c r="N48" i="2"/>
  <c r="M48" i="2"/>
  <c r="L48" i="2"/>
  <c r="K48" i="2"/>
  <c r="H48" i="2"/>
  <c r="D48" i="2"/>
  <c r="V47" i="2"/>
  <c r="U47" i="2"/>
  <c r="T47" i="2"/>
  <c r="S47" i="2"/>
  <c r="R47" i="2"/>
  <c r="Q47" i="2"/>
  <c r="P47" i="2"/>
  <c r="O47" i="2"/>
  <c r="N47" i="2"/>
  <c r="M47" i="2"/>
  <c r="L47" i="2"/>
  <c r="K47" i="2"/>
  <c r="H47" i="2"/>
  <c r="D47" i="2"/>
  <c r="V46" i="2"/>
  <c r="U46" i="2"/>
  <c r="T46" i="2"/>
  <c r="S46" i="2"/>
  <c r="R46" i="2"/>
  <c r="Q46" i="2"/>
  <c r="P46" i="2"/>
  <c r="O46" i="2"/>
  <c r="N46" i="2"/>
  <c r="M46" i="2"/>
  <c r="L46" i="2"/>
  <c r="K46" i="2"/>
  <c r="H46" i="2"/>
  <c r="D46" i="2"/>
  <c r="V45" i="2"/>
  <c r="U45" i="2"/>
  <c r="T45" i="2"/>
  <c r="S45" i="2"/>
  <c r="R45" i="2"/>
  <c r="Q45" i="2"/>
  <c r="P45" i="2"/>
  <c r="O45" i="2"/>
  <c r="N45" i="2"/>
  <c r="M45" i="2"/>
  <c r="L45" i="2"/>
  <c r="K45" i="2"/>
  <c r="H45" i="2"/>
  <c r="D45" i="2"/>
  <c r="V44" i="2"/>
  <c r="U44" i="2"/>
  <c r="T44" i="2"/>
  <c r="S44" i="2"/>
  <c r="R44" i="2"/>
  <c r="Q44" i="2"/>
  <c r="P44" i="2"/>
  <c r="O44" i="2"/>
  <c r="N44" i="2"/>
  <c r="M44" i="2"/>
  <c r="L44" i="2"/>
  <c r="K44" i="2"/>
  <c r="H44" i="2"/>
  <c r="D44" i="2"/>
  <c r="V43" i="2"/>
  <c r="U43" i="2"/>
  <c r="T43" i="2"/>
  <c r="S43" i="2"/>
  <c r="R43" i="2"/>
  <c r="Q43" i="2"/>
  <c r="P43" i="2"/>
  <c r="O43" i="2"/>
  <c r="N43" i="2"/>
  <c r="M43" i="2"/>
  <c r="L43" i="2"/>
  <c r="K43" i="2"/>
  <c r="H43" i="2"/>
  <c r="D43" i="2"/>
  <c r="V42" i="2"/>
  <c r="U42" i="2"/>
  <c r="T42" i="2"/>
  <c r="S42" i="2"/>
  <c r="R42" i="2"/>
  <c r="Q42" i="2"/>
  <c r="P42" i="2"/>
  <c r="O42" i="2"/>
  <c r="N42" i="2"/>
  <c r="M42" i="2"/>
  <c r="L42" i="2"/>
  <c r="K42" i="2"/>
  <c r="H42" i="2"/>
  <c r="D42" i="2"/>
  <c r="V41" i="2"/>
  <c r="U41" i="2"/>
  <c r="T41" i="2"/>
  <c r="S41" i="2"/>
  <c r="R41" i="2"/>
  <c r="Q41" i="2"/>
  <c r="P41" i="2"/>
  <c r="O41" i="2"/>
  <c r="N41" i="2"/>
  <c r="M41" i="2"/>
  <c r="L41" i="2"/>
  <c r="K41" i="2"/>
  <c r="H41" i="2"/>
  <c r="D41" i="2"/>
  <c r="V40" i="2"/>
  <c r="U40" i="2"/>
  <c r="T40" i="2"/>
  <c r="S40" i="2"/>
  <c r="R40" i="2"/>
  <c r="Q40" i="2"/>
  <c r="P40" i="2"/>
  <c r="O40" i="2"/>
  <c r="N40" i="2"/>
  <c r="M40" i="2"/>
  <c r="L40" i="2"/>
  <c r="K40" i="2"/>
  <c r="H40" i="2"/>
  <c r="D40" i="2"/>
  <c r="V39" i="2"/>
  <c r="U39" i="2"/>
  <c r="T39" i="2"/>
  <c r="S39" i="2"/>
  <c r="R39" i="2"/>
  <c r="Q39" i="2"/>
  <c r="P39" i="2"/>
  <c r="O39" i="2"/>
  <c r="N39" i="2"/>
  <c r="M39" i="2"/>
  <c r="L39" i="2"/>
  <c r="K39" i="2"/>
  <c r="H39" i="2"/>
  <c r="D39" i="2"/>
  <c r="V38" i="2"/>
  <c r="U38" i="2"/>
  <c r="T38" i="2"/>
  <c r="S38" i="2"/>
  <c r="R38" i="2"/>
  <c r="Q38" i="2"/>
  <c r="P38" i="2"/>
  <c r="O38" i="2"/>
  <c r="N38" i="2"/>
  <c r="M38" i="2"/>
  <c r="L38" i="2"/>
  <c r="K38" i="2"/>
  <c r="H38" i="2"/>
  <c r="D38" i="2"/>
  <c r="V37" i="2"/>
  <c r="U37" i="2"/>
  <c r="T37" i="2"/>
  <c r="S37" i="2"/>
  <c r="R37" i="2"/>
  <c r="Q37" i="2"/>
  <c r="P37" i="2"/>
  <c r="O37" i="2"/>
  <c r="N37" i="2"/>
  <c r="M37" i="2"/>
  <c r="L37" i="2"/>
  <c r="K37" i="2"/>
  <c r="H37" i="2"/>
  <c r="D37" i="2"/>
  <c r="V36" i="2"/>
  <c r="U36" i="2"/>
  <c r="T36" i="2"/>
  <c r="S36" i="2"/>
  <c r="R36" i="2"/>
  <c r="Q36" i="2"/>
  <c r="P36" i="2"/>
  <c r="O36" i="2"/>
  <c r="N36" i="2"/>
  <c r="M36" i="2"/>
  <c r="L36" i="2"/>
  <c r="K36" i="2"/>
  <c r="H36" i="2"/>
  <c r="D36" i="2"/>
  <c r="V35" i="2"/>
  <c r="U35" i="2"/>
  <c r="T35" i="2"/>
  <c r="S35" i="2"/>
  <c r="R35" i="2"/>
  <c r="Q35" i="2"/>
  <c r="P35" i="2"/>
  <c r="O35" i="2"/>
  <c r="N35" i="2"/>
  <c r="M35" i="2"/>
  <c r="L35" i="2"/>
  <c r="K35" i="2"/>
  <c r="H35" i="2"/>
  <c r="D35" i="2"/>
  <c r="V34" i="2"/>
  <c r="U34" i="2"/>
  <c r="T34" i="2"/>
  <c r="S34" i="2"/>
  <c r="R34" i="2"/>
  <c r="Q34" i="2"/>
  <c r="P34" i="2"/>
  <c r="O34" i="2"/>
  <c r="N34" i="2"/>
  <c r="M34" i="2"/>
  <c r="L34" i="2"/>
  <c r="K34" i="2"/>
  <c r="H34" i="2"/>
  <c r="D34" i="2"/>
  <c r="V33" i="2"/>
  <c r="U33" i="2"/>
  <c r="T33" i="2"/>
  <c r="S33" i="2"/>
  <c r="R33" i="2"/>
  <c r="Q33" i="2"/>
  <c r="P33" i="2"/>
  <c r="O33" i="2"/>
  <c r="N33" i="2"/>
  <c r="M33" i="2"/>
  <c r="L33" i="2"/>
  <c r="K33" i="2"/>
  <c r="H33" i="2"/>
  <c r="D33" i="2"/>
  <c r="V32" i="2"/>
  <c r="U32" i="2"/>
  <c r="T32" i="2"/>
  <c r="S32" i="2"/>
  <c r="R32" i="2"/>
  <c r="Q32" i="2"/>
  <c r="P32" i="2"/>
  <c r="O32" i="2"/>
  <c r="N32" i="2"/>
  <c r="M32" i="2"/>
  <c r="L32" i="2"/>
  <c r="K32" i="2"/>
  <c r="H32" i="2"/>
  <c r="D32" i="2"/>
  <c r="V31" i="2"/>
  <c r="U31" i="2"/>
  <c r="T31" i="2"/>
  <c r="S31" i="2"/>
  <c r="R31" i="2"/>
  <c r="Q31" i="2"/>
  <c r="P31" i="2"/>
  <c r="O31" i="2"/>
  <c r="N31" i="2"/>
  <c r="M31" i="2"/>
  <c r="L31" i="2"/>
  <c r="K31" i="2"/>
  <c r="H31" i="2"/>
  <c r="D31" i="2"/>
  <c r="V30" i="2"/>
  <c r="U30" i="2"/>
  <c r="T30" i="2"/>
  <c r="S30" i="2"/>
  <c r="R30" i="2"/>
  <c r="Q30" i="2"/>
  <c r="P30" i="2"/>
  <c r="O30" i="2"/>
  <c r="N30" i="2"/>
  <c r="M30" i="2"/>
  <c r="L30" i="2"/>
  <c r="K30" i="2"/>
  <c r="H30" i="2"/>
  <c r="D30" i="2"/>
  <c r="V29" i="2"/>
  <c r="U29" i="2"/>
  <c r="T29" i="2"/>
  <c r="S29" i="2"/>
  <c r="R29" i="2"/>
  <c r="Q29" i="2"/>
  <c r="P29" i="2"/>
  <c r="O29" i="2"/>
  <c r="N29" i="2"/>
  <c r="M29" i="2"/>
  <c r="L29" i="2"/>
  <c r="K29" i="2"/>
  <c r="H29" i="2"/>
  <c r="D29" i="2"/>
  <c r="V28" i="2"/>
  <c r="U28" i="2"/>
  <c r="T28" i="2"/>
  <c r="S28" i="2"/>
  <c r="R28" i="2"/>
  <c r="Q28" i="2"/>
  <c r="P28" i="2"/>
  <c r="O28" i="2"/>
  <c r="N28" i="2"/>
  <c r="M28" i="2"/>
  <c r="L28" i="2"/>
  <c r="K28" i="2"/>
  <c r="H28" i="2"/>
  <c r="D28" i="2"/>
  <c r="V27" i="2"/>
  <c r="U27" i="2"/>
  <c r="T27" i="2"/>
  <c r="S27" i="2"/>
  <c r="R27" i="2"/>
  <c r="Q27" i="2"/>
  <c r="P27" i="2"/>
  <c r="O27" i="2"/>
  <c r="N27" i="2"/>
  <c r="M27" i="2"/>
  <c r="L27" i="2"/>
  <c r="K27" i="2"/>
  <c r="H27" i="2"/>
  <c r="D27" i="2"/>
  <c r="V26" i="2"/>
  <c r="U26" i="2"/>
  <c r="T26" i="2"/>
  <c r="S26" i="2"/>
  <c r="R26" i="2"/>
  <c r="Q26" i="2"/>
  <c r="P26" i="2"/>
  <c r="O26" i="2"/>
  <c r="N26" i="2"/>
  <c r="M26" i="2"/>
  <c r="L26" i="2"/>
  <c r="K26" i="2"/>
  <c r="H26" i="2"/>
  <c r="D26" i="2"/>
  <c r="V25" i="2"/>
  <c r="U25" i="2"/>
  <c r="T25" i="2"/>
  <c r="S25" i="2"/>
  <c r="R25" i="2"/>
  <c r="Q25" i="2"/>
  <c r="P25" i="2"/>
  <c r="O25" i="2"/>
  <c r="N25" i="2"/>
  <c r="M25" i="2"/>
  <c r="L25" i="2"/>
  <c r="K25" i="2"/>
  <c r="H25" i="2"/>
  <c r="D25" i="2"/>
  <c r="V24" i="2"/>
  <c r="U24" i="2"/>
  <c r="T24" i="2"/>
  <c r="S24" i="2"/>
  <c r="R24" i="2"/>
  <c r="Q24" i="2"/>
  <c r="P24" i="2"/>
  <c r="O24" i="2"/>
  <c r="N24" i="2"/>
  <c r="M24" i="2"/>
  <c r="L24" i="2"/>
  <c r="K24" i="2"/>
  <c r="H24" i="2"/>
  <c r="D24" i="2"/>
  <c r="V23" i="2"/>
  <c r="U23" i="2"/>
  <c r="T23" i="2"/>
  <c r="S23" i="2"/>
  <c r="R23" i="2"/>
  <c r="Q23" i="2"/>
  <c r="P23" i="2"/>
  <c r="O23" i="2"/>
  <c r="N23" i="2"/>
  <c r="M23" i="2"/>
  <c r="L23" i="2"/>
  <c r="K23" i="2"/>
  <c r="H23" i="2"/>
  <c r="D23" i="2"/>
  <c r="V22" i="2"/>
  <c r="U22" i="2"/>
  <c r="T22" i="2"/>
  <c r="S22" i="2"/>
  <c r="R22" i="2"/>
  <c r="Q22" i="2"/>
  <c r="P22" i="2"/>
  <c r="O22" i="2"/>
  <c r="N22" i="2"/>
  <c r="M22" i="2"/>
  <c r="L22" i="2"/>
  <c r="K22" i="2"/>
  <c r="H22" i="2"/>
  <c r="D22" i="2"/>
  <c r="V21" i="2"/>
  <c r="U21" i="2"/>
  <c r="T21" i="2"/>
  <c r="S21" i="2"/>
  <c r="R21" i="2"/>
  <c r="Q21" i="2"/>
  <c r="P21" i="2"/>
  <c r="O21" i="2"/>
  <c r="N21" i="2"/>
  <c r="M21" i="2"/>
  <c r="L21" i="2"/>
  <c r="K21" i="2"/>
  <c r="H21" i="2"/>
  <c r="D21" i="2"/>
  <c r="V20" i="2"/>
  <c r="U20" i="2"/>
  <c r="T20" i="2"/>
  <c r="S20" i="2"/>
  <c r="R20" i="2"/>
  <c r="Q20" i="2"/>
  <c r="P20" i="2"/>
  <c r="O20" i="2"/>
  <c r="N20" i="2"/>
  <c r="M20" i="2"/>
  <c r="L20" i="2"/>
  <c r="K20" i="2"/>
  <c r="H20" i="2"/>
  <c r="D20" i="2"/>
  <c r="V19" i="2"/>
  <c r="U19" i="2"/>
  <c r="T19" i="2"/>
  <c r="S19" i="2"/>
  <c r="R19" i="2"/>
  <c r="Q19" i="2"/>
  <c r="P19" i="2"/>
  <c r="O19" i="2"/>
  <c r="N19" i="2"/>
  <c r="M19" i="2"/>
  <c r="L19" i="2"/>
  <c r="K19" i="2"/>
  <c r="H19" i="2"/>
  <c r="D19" i="2"/>
  <c r="V18" i="2"/>
  <c r="U18" i="2"/>
  <c r="T18" i="2"/>
  <c r="S18" i="2"/>
  <c r="R18" i="2"/>
  <c r="Q18" i="2"/>
  <c r="P18" i="2"/>
  <c r="O18" i="2"/>
  <c r="N18" i="2"/>
  <c r="M18" i="2"/>
  <c r="L18" i="2"/>
  <c r="K18" i="2"/>
  <c r="H18" i="2"/>
  <c r="D18" i="2"/>
  <c r="V17" i="2"/>
  <c r="U17" i="2"/>
  <c r="T17" i="2"/>
  <c r="S17" i="2"/>
  <c r="R17" i="2"/>
  <c r="Q17" i="2"/>
  <c r="P17" i="2"/>
  <c r="O17" i="2"/>
  <c r="N17" i="2"/>
  <c r="M17" i="2"/>
  <c r="L17" i="2"/>
  <c r="K17" i="2"/>
  <c r="H17" i="2"/>
  <c r="D17" i="2"/>
  <c r="V16" i="2"/>
  <c r="U16" i="2"/>
  <c r="T16" i="2"/>
  <c r="S16" i="2"/>
  <c r="R16" i="2"/>
  <c r="Q16" i="2"/>
  <c r="P16" i="2"/>
  <c r="O16" i="2"/>
  <c r="N16" i="2"/>
  <c r="M16" i="2"/>
  <c r="L16" i="2"/>
  <c r="K16" i="2"/>
  <c r="H16" i="2"/>
  <c r="D16" i="2"/>
  <c r="V15" i="2"/>
  <c r="U15" i="2"/>
  <c r="T15" i="2"/>
  <c r="S15" i="2"/>
  <c r="R15" i="2"/>
  <c r="Q15" i="2"/>
  <c r="P15" i="2"/>
  <c r="O15" i="2"/>
  <c r="N15" i="2"/>
  <c r="M15" i="2"/>
  <c r="L15" i="2"/>
  <c r="K15" i="2"/>
  <c r="H15" i="2"/>
  <c r="D15" i="2"/>
  <c r="V14" i="2"/>
  <c r="U14" i="2"/>
  <c r="T14" i="2"/>
  <c r="S14" i="2"/>
  <c r="R14" i="2"/>
  <c r="Q14" i="2"/>
  <c r="P14" i="2"/>
  <c r="O14" i="2"/>
  <c r="N14" i="2"/>
  <c r="M14" i="2"/>
  <c r="L14" i="2"/>
  <c r="K14" i="2"/>
  <c r="H14" i="2"/>
  <c r="D14" i="2"/>
  <c r="V13" i="2"/>
  <c r="U13" i="2"/>
  <c r="T13" i="2"/>
  <c r="S13" i="2"/>
  <c r="R13" i="2"/>
  <c r="Q13" i="2"/>
  <c r="P13" i="2"/>
  <c r="O13" i="2"/>
  <c r="N13" i="2"/>
  <c r="M13" i="2"/>
  <c r="L13" i="2"/>
  <c r="K13" i="2"/>
  <c r="H13" i="2"/>
  <c r="D13" i="2"/>
  <c r="V12" i="2"/>
  <c r="U12" i="2"/>
  <c r="T12" i="2"/>
  <c r="S12" i="2"/>
  <c r="R12" i="2"/>
  <c r="Q12" i="2"/>
  <c r="P12" i="2"/>
  <c r="O12" i="2"/>
  <c r="N12" i="2"/>
  <c r="M12" i="2"/>
  <c r="L12" i="2"/>
  <c r="K12" i="2"/>
  <c r="H12" i="2"/>
  <c r="D12" i="2"/>
  <c r="V11" i="2"/>
  <c r="U11" i="2"/>
  <c r="T11" i="2"/>
  <c r="S11" i="2"/>
  <c r="R11" i="2"/>
  <c r="Q11" i="2"/>
  <c r="P11" i="2"/>
  <c r="O11" i="2"/>
  <c r="N11" i="2"/>
  <c r="M11" i="2"/>
  <c r="L11" i="2"/>
  <c r="K11" i="2"/>
  <c r="H11" i="2"/>
  <c r="D11" i="2"/>
  <c r="V10" i="2"/>
  <c r="U10" i="2"/>
  <c r="T10" i="2"/>
  <c r="S10" i="2"/>
  <c r="R10" i="2"/>
  <c r="Q10" i="2"/>
  <c r="P10" i="2"/>
  <c r="O10" i="2"/>
  <c r="N10" i="2"/>
  <c r="M10" i="2"/>
  <c r="L10" i="2"/>
  <c r="K10" i="2"/>
  <c r="H10" i="2"/>
  <c r="D10" i="2"/>
  <c r="V9" i="2"/>
  <c r="U9" i="2"/>
  <c r="T9" i="2"/>
  <c r="S9" i="2"/>
  <c r="R9" i="2"/>
  <c r="Q9" i="2"/>
  <c r="P9" i="2"/>
  <c r="O9" i="2"/>
  <c r="N9" i="2"/>
  <c r="M9" i="2"/>
  <c r="L9" i="2"/>
  <c r="K9" i="2"/>
  <c r="H9" i="2"/>
  <c r="D9" i="2"/>
  <c r="V8" i="2"/>
  <c r="U8" i="2"/>
  <c r="T8" i="2"/>
  <c r="S8" i="2"/>
  <c r="R8" i="2"/>
  <c r="Q8" i="2"/>
  <c r="P8" i="2"/>
  <c r="O8" i="2"/>
  <c r="N8" i="2"/>
  <c r="M8" i="2"/>
  <c r="L8" i="2"/>
  <c r="K8" i="2"/>
  <c r="H8" i="2"/>
  <c r="D8" i="2"/>
  <c r="V7" i="2"/>
  <c r="U7" i="2"/>
  <c r="T7" i="2"/>
  <c r="S7" i="2"/>
  <c r="R7" i="2"/>
  <c r="Q7" i="2"/>
  <c r="P7" i="2"/>
  <c r="O7" i="2"/>
  <c r="N7" i="2"/>
  <c r="M7" i="2"/>
  <c r="L7" i="2"/>
  <c r="K7" i="2"/>
  <c r="H7" i="2"/>
  <c r="D7" i="2"/>
  <c r="V6" i="2"/>
  <c r="U6" i="2"/>
  <c r="T6" i="2"/>
  <c r="S6" i="2"/>
  <c r="R6" i="2"/>
  <c r="Q6" i="2"/>
  <c r="P6" i="2"/>
  <c r="O6" i="2"/>
  <c r="N6" i="2"/>
  <c r="M6" i="2"/>
  <c r="L6" i="2"/>
  <c r="K6" i="2"/>
  <c r="H6" i="2"/>
  <c r="D6" i="2"/>
  <c r="V5" i="2"/>
  <c r="U5" i="2"/>
  <c r="T5" i="2"/>
  <c r="S5" i="2"/>
  <c r="R5" i="2"/>
  <c r="Q5" i="2"/>
  <c r="P5" i="2"/>
  <c r="O5" i="2"/>
  <c r="N5" i="2"/>
  <c r="M5" i="2"/>
  <c r="L5" i="2"/>
  <c r="K5" i="2"/>
  <c r="H5" i="2"/>
  <c r="D5" i="2"/>
  <c r="V4" i="2"/>
  <c r="U4" i="2"/>
  <c r="T4" i="2"/>
  <c r="S4" i="2"/>
  <c r="R4" i="2"/>
  <c r="Q4" i="2"/>
  <c r="P4" i="2"/>
  <c r="O4" i="2"/>
  <c r="N4" i="2"/>
  <c r="M4" i="2"/>
  <c r="L4" i="2"/>
  <c r="K4" i="2"/>
  <c r="H4" i="2"/>
  <c r="D4" i="2"/>
  <c r="V3" i="2"/>
  <c r="U3" i="2"/>
  <c r="T3" i="2"/>
  <c r="S3" i="2"/>
  <c r="R3" i="2"/>
  <c r="Q3" i="2"/>
  <c r="P3" i="2"/>
  <c r="O3" i="2"/>
  <c r="N3" i="2"/>
  <c r="M3" i="2"/>
  <c r="L3" i="2"/>
  <c r="K3" i="2"/>
  <c r="H3" i="2"/>
  <c r="D3" i="2"/>
  <c r="V2" i="2"/>
  <c r="U2" i="2"/>
  <c r="T2" i="2"/>
  <c r="S2" i="2"/>
  <c r="R2" i="2"/>
  <c r="Q2" i="2"/>
  <c r="P2" i="2"/>
  <c r="O2" i="2"/>
  <c r="N2" i="2"/>
  <c r="M2" i="2"/>
  <c r="L2" i="2"/>
  <c r="K2" i="2"/>
  <c r="H2" i="2"/>
  <c r="D2" i="2"/>
</calcChain>
</file>

<file path=xl/sharedStrings.xml><?xml version="1.0" encoding="utf-8"?>
<sst xmlns="http://schemas.openxmlformats.org/spreadsheetml/2006/main" count="1943" uniqueCount="614">
  <si>
    <t>productID</t>
  </si>
  <si>
    <t>productName</t>
  </si>
  <si>
    <t>quantityPerUnit</t>
  </si>
  <si>
    <t>unitPrice</t>
  </si>
  <si>
    <t>discontinued</t>
  </si>
  <si>
    <t>categoryID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</si>
  <si>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</si>
  <si>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</si>
  <si>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</si>
  <si>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</si>
  <si>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</si>
  <si>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</si>
  <si>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</si>
  <si>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</si>
  <si>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</si>
  <si>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</si>
  <si>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</si>
  <si>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</si>
  <si>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</si>
  <si>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</si>
  <si>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</si>
  <si>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</si>
  <si>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</si>
  <si>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</si>
  <si>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</si>
  <si>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</si>
  <si>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</si>
  <si>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</si>
  <si>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</si>
  <si>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</si>
  <si>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</si>
  <si>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</si>
  <si>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</si>
  <si>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</si>
  <si>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</si>
  <si>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</si>
  <si>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</si>
  <si>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</si>
  <si>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</si>
  <si>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</si>
  <si>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</si>
  <si>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</si>
  <si>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</si>
  <si>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</si>
  <si>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</si>
  <si>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</si>
  <si>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</si>
  <si>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</si>
  <si>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Knackebröd</t>
  </si>
  <si>
    <t>24 - 500 g pkgs.</t>
  </si>
  <si>
    <t>Tunnbröd</t>
  </si>
  <si>
    <t>12 - 250 g pkgs.</t>
  </si>
  <si>
    <t>Guarana Fantastica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</si>
  <si>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</si>
  <si>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</si>
  <si>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</si>
  <si>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</si>
  <si>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</si>
  <si>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</si>
  <si>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</si>
  <si>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</si>
  <si>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</si>
  <si>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</si>
  <si>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</si>
  <si>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</si>
  <si>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</si>
  <si>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</si>
  <si>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</si>
  <si>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</si>
  <si>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</si>
  <si>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</si>
  <si>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</si>
  <si>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</si>
  <si>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</si>
  <si>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</si>
  <si>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</si>
  <si>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</si>
  <si>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</si>
  <si>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</si>
  <si>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</si>
  <si>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</si>
  <si>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</si>
  <si>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</si>
  <si>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</si>
  <si>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</si>
  <si>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</si>
  <si>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</si>
  <si>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</si>
  <si>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</si>
  <si>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</si>
  <si>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</si>
  <si>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</si>
  <si>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</si>
  <si>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</si>
  <si>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</si>
  <si>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</si>
  <si>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</si>
  <si>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</si>
  <si>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</si>
  <si>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</si>
  <si>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</si>
  <si>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</si>
  <si>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</si>
  <si>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</si>
  <si>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</si>
  <si>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</si>
  <si>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</si>
  <si>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</si>
  <si>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</si>
  <si>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</si>
  <si>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</si>
  <si>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</si>
  <si>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</si>
  <si>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</si>
  <si>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</si>
  <si>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</si>
  <si>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</si>
  <si>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</si>
  <si>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</si>
  <si>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</si>
  <si>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</si>
  <si>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</si>
  <si>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</si>
  <si>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</si>
  <si>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</si>
  <si>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</si>
  <si>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</si>
  <si>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</si>
  <si>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</si>
  <si>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</si>
  <si>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</si>
  <si>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</si>
  <si>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</si>
  <si>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</si>
  <si>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</si>
  <si>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</si>
  <si>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</si>
  <si>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</si>
  <si>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</si>
  <si>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</si>
  <si>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</si>
  <si>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</si>
  <si>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</si>
  <si>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</si>
  <si>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</si>
  <si>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</si>
  <si>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</si>
  <si>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</si>
  <si>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</si>
  <si>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Lakkaliköri</t>
  </si>
  <si>
    <t>500 ml</t>
  </si>
  <si>
    <t>Original Frankfurter Grüne Soße</t>
  </si>
  <si>
    <t>12 boxes</t>
  </si>
  <si>
    <t>RATTC</t>
  </si>
  <si>
    <t>BONAP</t>
  </si>
  <si>
    <t>RICSU</t>
  </si>
  <si>
    <t>SIMOB</t>
  </si>
  <si>
    <t>PERIC</t>
  </si>
  <si>
    <t>ERNSH</t>
  </si>
  <si>
    <t>LILAS</t>
  </si>
  <si>
    <t>LEHMS</t>
  </si>
  <si>
    <t>TORTU</t>
  </si>
  <si>
    <t>QUEEN</t>
  </si>
  <si>
    <t>DRACD</t>
  </si>
  <si>
    <t>WHITC</t>
  </si>
  <si>
    <t>SAVEA</t>
  </si>
  <si>
    <t>HUNGO</t>
  </si>
  <si>
    <t>REGGC</t>
  </si>
  <si>
    <t>GREAL</t>
  </si>
  <si>
    <t>FRANS</t>
  </si>
  <si>
    <t>RICAR</t>
  </si>
  <si>
    <t>BLAUS</t>
  </si>
  <si>
    <t>NORTS</t>
  </si>
  <si>
    <t>EASTC</t>
  </si>
  <si>
    <t>HILAA</t>
  </si>
  <si>
    <t>CACTU</t>
  </si>
  <si>
    <t>PICCO</t>
  </si>
  <si>
    <t>HANAR</t>
  </si>
  <si>
    <t>LAMAI</t>
  </si>
  <si>
    <t>FOLKO</t>
  </si>
  <si>
    <t>GOURL</t>
  </si>
  <si>
    <t>BOTTM</t>
  </si>
  <si>
    <t>WANDK</t>
  </si>
  <si>
    <t>WOLZA</t>
  </si>
  <si>
    <t>SPECD</t>
  </si>
  <si>
    <t>COMMI</t>
  </si>
  <si>
    <t>CHOPS</t>
  </si>
  <si>
    <t>LINOD</t>
  </si>
  <si>
    <t>SUPRD</t>
  </si>
  <si>
    <t>GODOS</t>
  </si>
  <si>
    <t>OLDWO</t>
  </si>
  <si>
    <t>KOENE</t>
  </si>
  <si>
    <t>WARTH</t>
  </si>
  <si>
    <t>BSBEV</t>
  </si>
  <si>
    <t>QUICK</t>
  </si>
  <si>
    <t>OTTIK</t>
  </si>
  <si>
    <t>RANCH</t>
  </si>
  <si>
    <t>LONEP</t>
  </si>
  <si>
    <t>AROUT</t>
  </si>
  <si>
    <t>SANTG</t>
  </si>
  <si>
    <t>ROMEY</t>
  </si>
  <si>
    <t>FRANK</t>
  </si>
  <si>
    <t>ALFKI</t>
  </si>
  <si>
    <t>PRINI</t>
  </si>
  <si>
    <t>WILMK</t>
  </si>
  <si>
    <t>MAISD</t>
  </si>
  <si>
    <t>THECR</t>
  </si>
  <si>
    <t>VAFFE</t>
  </si>
  <si>
    <t>THEBI</t>
  </si>
  <si>
    <t>QUEDE</t>
  </si>
  <si>
    <t>OCEAN</t>
  </si>
  <si>
    <t>SPLIR</t>
  </si>
  <si>
    <t>LACOR</t>
  </si>
  <si>
    <t>FRANR</t>
  </si>
  <si>
    <t>BOLID</t>
  </si>
  <si>
    <t>TOMSP</t>
  </si>
  <si>
    <t>FURIB</t>
  </si>
  <si>
    <t>MAGAA</t>
  </si>
  <si>
    <t>MORGK</t>
  </si>
  <si>
    <t>WELLI</t>
  </si>
  <si>
    <t>ISLAT</t>
  </si>
  <si>
    <t>GALED</t>
  </si>
  <si>
    <t>ANATR</t>
  </si>
  <si>
    <t>BERGS</t>
  </si>
  <si>
    <t>DUMON</t>
  </si>
  <si>
    <t>LETSS</t>
  </si>
  <si>
    <t>SEVES</t>
  </si>
  <si>
    <t>ANTON</t>
  </si>
  <si>
    <t>VICTE</t>
  </si>
  <si>
    <t>CONSH</t>
  </si>
  <si>
    <t>TRADH</t>
  </si>
  <si>
    <t>BLONP</t>
  </si>
  <si>
    <t>TRAIH</t>
  </si>
  <si>
    <t>LAUGB</t>
  </si>
  <si>
    <t>FOLIG</t>
  </si>
  <si>
    <t>GROSR</t>
  </si>
  <si>
    <t>VINET</t>
  </si>
  <si>
    <t>FAMIA</t>
  </si>
  <si>
    <t>MEREP</t>
  </si>
  <si>
    <t>HUNGC</t>
  </si>
  <si>
    <t>LAZYK</t>
  </si>
  <si>
    <t>CENTC</t>
  </si>
  <si>
    <t>freight</t>
  </si>
  <si>
    <t>shipperID</t>
  </si>
  <si>
    <t>employeeID</t>
  </si>
  <si>
    <t>customerID</t>
  </si>
  <si>
    <t>orderID</t>
  </si>
  <si>
    <t>discount</t>
  </si>
  <si>
    <t>quantity</t>
  </si>
  <si>
    <t>UK</t>
  </si>
  <si>
    <t>London</t>
  </si>
  <si>
    <t>Sales Representative</t>
  </si>
  <si>
    <t>Anne Dodsworth</t>
  </si>
  <si>
    <t>USA</t>
  </si>
  <si>
    <t>New York</t>
  </si>
  <si>
    <t>Sales Manager</t>
  </si>
  <si>
    <t>Laura Callahan</t>
  </si>
  <si>
    <t>Robert King</t>
  </si>
  <si>
    <t>Michael Suyama</t>
  </si>
  <si>
    <t>Steven Buchanan</t>
  </si>
  <si>
    <t>Margaret Peacock</t>
  </si>
  <si>
    <t>Janet Leverling</t>
  </si>
  <si>
    <t>Vice President Sales</t>
  </si>
  <si>
    <t>Andrew Fuller</t>
  </si>
  <si>
    <t>Nancy Davolio</t>
  </si>
  <si>
    <t>reportsTo</t>
  </si>
  <si>
    <t>country</t>
  </si>
  <si>
    <t>city</t>
  </si>
  <si>
    <t>title</t>
  </si>
  <si>
    <t>employeeName</t>
  </si>
  <si>
    <t>Poland</t>
  </si>
  <si>
    <t>Warszawa</t>
  </si>
  <si>
    <t>Owner</t>
  </si>
  <si>
    <t>Zbyszek Piestrzeniewicz</t>
  </si>
  <si>
    <t>Wolski  Zajazd</t>
  </si>
  <si>
    <t>Finland</t>
  </si>
  <si>
    <t>Helsinki</t>
  </si>
  <si>
    <t>Owner/Marketing Assistant</t>
  </si>
  <si>
    <t>Matti Karttunen</t>
  </si>
  <si>
    <t>Wilman Kala</t>
  </si>
  <si>
    <t>Seattle</t>
  </si>
  <si>
    <t>Karl Jablonski</t>
  </si>
  <si>
    <t>White Clover Markets</t>
  </si>
  <si>
    <t>Brazil</t>
  </si>
  <si>
    <t>Resende</t>
  </si>
  <si>
    <t>Paula Parente</t>
  </si>
  <si>
    <t>Wellington Importadora</t>
  </si>
  <si>
    <t>Oulu</t>
  </si>
  <si>
    <t>Accounting Manager</t>
  </si>
  <si>
    <t>Pirkko Koskitalo</t>
  </si>
  <si>
    <t>Wartian Herkku</t>
  </si>
  <si>
    <t>Germany</t>
  </si>
  <si>
    <t>Stuttgart</t>
  </si>
  <si>
    <t>Rita Müller</t>
  </si>
  <si>
    <t>Die Wandernde Kuh</t>
  </si>
  <si>
    <t>France</t>
  </si>
  <si>
    <t>Reims</t>
  </si>
  <si>
    <t>Paul Henriot</t>
  </si>
  <si>
    <t>Vins et alcools Chevalier</t>
  </si>
  <si>
    <t>Lyon</t>
  </si>
  <si>
    <t>Sales Agent</t>
  </si>
  <si>
    <t>Mary Saveley</t>
  </si>
  <si>
    <t>Victuailles en stock</t>
  </si>
  <si>
    <t>Denmark</t>
  </si>
  <si>
    <t>Århus</t>
  </si>
  <si>
    <t>Palle Ibsen</t>
  </si>
  <si>
    <t>Vaffeljernet</t>
  </si>
  <si>
    <t>Kirkland</t>
  </si>
  <si>
    <t>Sales Associate</t>
  </si>
  <si>
    <t>Helvetius Nagy</t>
  </si>
  <si>
    <t>Trail's Head Gourmet Provisioners</t>
  </si>
  <si>
    <t>Sao Paulo</t>
  </si>
  <si>
    <t>Anabela Domingues</t>
  </si>
  <si>
    <t>Tradição Hipermercados</t>
  </si>
  <si>
    <t>Mexico</t>
  </si>
  <si>
    <t>Mexico City</t>
  </si>
  <si>
    <t>Miguel Angel Paolino</t>
  </si>
  <si>
    <t>Tortuga Restaurante</t>
  </si>
  <si>
    <t>Münster</t>
  </si>
  <si>
    <t>Marketing Manager</t>
  </si>
  <si>
    <t>Karin Josephs</t>
  </si>
  <si>
    <t>Toms Spezialitäten</t>
  </si>
  <si>
    <t>Butte</t>
  </si>
  <si>
    <t>Marketing Assistant</t>
  </si>
  <si>
    <t>Liu Wong</t>
  </si>
  <si>
    <t>The Cracker Box</t>
  </si>
  <si>
    <t>Portland</t>
  </si>
  <si>
    <t>Liz Nixon</t>
  </si>
  <si>
    <t>The Big Cheese</t>
  </si>
  <si>
    <t>Belgium</t>
  </si>
  <si>
    <t>Charleroi</t>
  </si>
  <si>
    <t>Pascale Cartrain</t>
  </si>
  <si>
    <t>Suprêmes délices</t>
  </si>
  <si>
    <t>Lander</t>
  </si>
  <si>
    <t>Art Braunschweiger</t>
  </si>
  <si>
    <t>Split Rail Beer &amp; Ale</t>
  </si>
  <si>
    <t>Paris</t>
  </si>
  <si>
    <t>Dominique Perrier</t>
  </si>
  <si>
    <t>Spécialités du monde</t>
  </si>
  <si>
    <t>Kobenhavn</t>
  </si>
  <si>
    <t>Jytte Petersen</t>
  </si>
  <si>
    <t>Simons bistro</t>
  </si>
  <si>
    <t>Hari Kumar</t>
  </si>
  <si>
    <t>Seven Seas Imports</t>
  </si>
  <si>
    <t>Boise</t>
  </si>
  <si>
    <t>Jose Pavarotti</t>
  </si>
  <si>
    <t>Save-a-lot Markets</t>
  </si>
  <si>
    <t>Norway</t>
  </si>
  <si>
    <t>Stavern</t>
  </si>
  <si>
    <t>Jonas Bergulfsen</t>
  </si>
  <si>
    <t>Santé Gourmet</t>
  </si>
  <si>
    <t>Spain</t>
  </si>
  <si>
    <t>Madrid</t>
  </si>
  <si>
    <t>Alejandra Camino</t>
  </si>
  <si>
    <t>Romero y tomillo</t>
  </si>
  <si>
    <t>Switzerland</t>
  </si>
  <si>
    <t>Genève</t>
  </si>
  <si>
    <t>Michael Holz</t>
  </si>
  <si>
    <t>Richter Supermarkt</t>
  </si>
  <si>
    <t>Rio de Janeiro</t>
  </si>
  <si>
    <t>Assistant Sales Agent</t>
  </si>
  <si>
    <t>Janete Limeira</t>
  </si>
  <si>
    <t>Ricardo Adocicados</t>
  </si>
  <si>
    <t>Italy</t>
  </si>
  <si>
    <t>Reggio Emilia</t>
  </si>
  <si>
    <t>Maurizio Moroni</t>
  </si>
  <si>
    <t>Reggiani Caseifici</t>
  </si>
  <si>
    <t>Albuquerque</t>
  </si>
  <si>
    <t>Assistant Sales Representative</t>
  </si>
  <si>
    <t>Paula Wilson</t>
  </si>
  <si>
    <t>Rattlesnake Canyon Grocery</t>
  </si>
  <si>
    <t>Argentina</t>
  </si>
  <si>
    <t>Buenos Aires</t>
  </si>
  <si>
    <t>Sergio Gutiérrez</t>
  </si>
  <si>
    <t>Rancho grande</t>
  </si>
  <si>
    <t>Cunewalde</t>
  </si>
  <si>
    <t>Horst Kloss</t>
  </si>
  <si>
    <t>QUICK-Stop</t>
  </si>
  <si>
    <t>Lúcia Carvalho</t>
  </si>
  <si>
    <t>Queen Cozinha</t>
  </si>
  <si>
    <t>Bernardo Batista</t>
  </si>
  <si>
    <t>Que Delícia</t>
  </si>
  <si>
    <t>Portugal</t>
  </si>
  <si>
    <t>Lisboa</t>
  </si>
  <si>
    <t>Isabel de Castro</t>
  </si>
  <si>
    <t>Princesa Isabel Vinhos</t>
  </si>
  <si>
    <t>Austria</t>
  </si>
  <si>
    <t>Salzburg</t>
  </si>
  <si>
    <t>Georg Pipps</t>
  </si>
  <si>
    <t>Piccolo und mehr</t>
  </si>
  <si>
    <t>Guillermo Fernández</t>
  </si>
  <si>
    <t>Pericles Comidas clásicas</t>
  </si>
  <si>
    <t>Marie Bertrand</t>
  </si>
  <si>
    <t>Paris spécialités</t>
  </si>
  <si>
    <t>PARIS</t>
  </si>
  <si>
    <t>Köln</t>
  </si>
  <si>
    <t>Henriette Pfalzheim</t>
  </si>
  <si>
    <t>Ottilies Käseladen</t>
  </si>
  <si>
    <t>Anchorage</t>
  </si>
  <si>
    <t>Rene Phillips</t>
  </si>
  <si>
    <t>Old World Delicatessen</t>
  </si>
  <si>
    <t>Yvonne Moncada</t>
  </si>
  <si>
    <t>Océano Atlántico Ltda.</t>
  </si>
  <si>
    <t>Simon Crowther</t>
  </si>
  <si>
    <t>North/South</t>
  </si>
  <si>
    <t>Leipzig</t>
  </si>
  <si>
    <t>Alexander Feuer</t>
  </si>
  <si>
    <t>Morgenstern Gesundkost</t>
  </si>
  <si>
    <t>Canada</t>
  </si>
  <si>
    <t>Montréal</t>
  </si>
  <si>
    <t>Jean Fresnière</t>
  </si>
  <si>
    <t>Mère Paillarde</t>
  </si>
  <si>
    <t>Bruxelles</t>
  </si>
  <si>
    <t>Catherine Dewey</t>
  </si>
  <si>
    <t>Maison Dewey</t>
  </si>
  <si>
    <t>Bergamo</t>
  </si>
  <si>
    <t>Giovanni Rovelli</t>
  </si>
  <si>
    <t>Magazzini Alimentari Riuniti</t>
  </si>
  <si>
    <t>Fran Wilson</t>
  </si>
  <si>
    <t>Lonesome Pine Restaurant</t>
  </si>
  <si>
    <t>Venezuela</t>
  </si>
  <si>
    <t>I. de Margarita</t>
  </si>
  <si>
    <t>Felipe Izquierdo</t>
  </si>
  <si>
    <t>LINO-Delicateses</t>
  </si>
  <si>
    <t>Barquisimeto</t>
  </si>
  <si>
    <t>Carlos González</t>
  </si>
  <si>
    <t>LILA-Supermercado</t>
  </si>
  <si>
    <t>San Francisco</t>
  </si>
  <si>
    <t>Jaime Yorres</t>
  </si>
  <si>
    <t>Let's Stop N Shop</t>
  </si>
  <si>
    <t>Frankfurt a.M.</t>
  </si>
  <si>
    <t>Renate Messner</t>
  </si>
  <si>
    <t>Lehmanns Marktstand</t>
  </si>
  <si>
    <t>Walla Walla</t>
  </si>
  <si>
    <t>John Steel</t>
  </si>
  <si>
    <t>Lazy K Kountry Store</t>
  </si>
  <si>
    <t>Vancouver</t>
  </si>
  <si>
    <t>Yoshi Tannamuri</t>
  </si>
  <si>
    <t>Laughing Bacchus Wine Cellars</t>
  </si>
  <si>
    <t>Toulouse</t>
  </si>
  <si>
    <t>Annette Roulet</t>
  </si>
  <si>
    <t>La maison d'Asie</t>
  </si>
  <si>
    <t>Versailles</t>
  </si>
  <si>
    <t>Daniel Tonini</t>
  </si>
  <si>
    <t>La corne d'abondance</t>
  </si>
  <si>
    <t>Brandenburg</t>
  </si>
  <si>
    <t>Philip Cramer</t>
  </si>
  <si>
    <t>Königlich Essen</t>
  </si>
  <si>
    <t>Cowes</t>
  </si>
  <si>
    <t>Helen Bennett</t>
  </si>
  <si>
    <t>Island Trading</t>
  </si>
  <si>
    <t>Ireland</t>
  </si>
  <si>
    <t>Cork</t>
  </si>
  <si>
    <t>Patricia McKenna</t>
  </si>
  <si>
    <t>Hungry Owl All-Night Grocers</t>
  </si>
  <si>
    <t>Elgin</t>
  </si>
  <si>
    <t>Yoshi Latimer</t>
  </si>
  <si>
    <t>Hungry Coyote Import Store</t>
  </si>
  <si>
    <t>San Cristóbal</t>
  </si>
  <si>
    <t>Carlos Hernández</t>
  </si>
  <si>
    <t>HILARION-Abastos</t>
  </si>
  <si>
    <t>Mario Pontes</t>
  </si>
  <si>
    <t>Hanari Carnes</t>
  </si>
  <si>
    <t>Caracas</t>
  </si>
  <si>
    <t>Manuel Pereira</t>
  </si>
  <si>
    <t>GROSELLA-Restaurante</t>
  </si>
  <si>
    <t>Eugene</t>
  </si>
  <si>
    <t>Howard Snyder</t>
  </si>
  <si>
    <t>Great Lakes Food Market</t>
  </si>
  <si>
    <t>Campinas</t>
  </si>
  <si>
    <t>André Fonseca</t>
  </si>
  <si>
    <t>Gourmet Lanchonetes</t>
  </si>
  <si>
    <t>Sevilla</t>
  </si>
  <si>
    <t>José Pedro Freyre</t>
  </si>
  <si>
    <t>Godos Cocina Típica</t>
  </si>
  <si>
    <t>Barcelona</t>
  </si>
  <si>
    <t>Eduardo Saavedra</t>
  </si>
  <si>
    <t>Galería del gastrónomo</t>
  </si>
  <si>
    <t>Lino Rodriguez</t>
  </si>
  <si>
    <t>Furia Bacalhau e Frutos do Mar</t>
  </si>
  <si>
    <t>Torino</t>
  </si>
  <si>
    <t>Paolo Accorti</t>
  </si>
  <si>
    <t>Franchi S.p.A.</t>
  </si>
  <si>
    <t>Nantes</t>
  </si>
  <si>
    <t>Carine Schmitt</t>
  </si>
  <si>
    <t>France restauration</t>
  </si>
  <si>
    <t>München</t>
  </si>
  <si>
    <t>Peter Franken</t>
  </si>
  <si>
    <t>Frankenversand</t>
  </si>
  <si>
    <t>Sweden</t>
  </si>
  <si>
    <t>Bräcke</t>
  </si>
  <si>
    <t>Maria Larsson</t>
  </si>
  <si>
    <t>Folk och fä HB</t>
  </si>
  <si>
    <t>Lille</t>
  </si>
  <si>
    <t>Martine Rancé</t>
  </si>
  <si>
    <t>Folies gourmandes</t>
  </si>
  <si>
    <t>Diego Roel</t>
  </si>
  <si>
    <t>FISSA Fabrica Inter. Salchichas S.A.</t>
  </si>
  <si>
    <t>FISSA</t>
  </si>
  <si>
    <t>Aria Cruz</t>
  </si>
  <si>
    <t>Familia Arquibaldo</t>
  </si>
  <si>
    <t>Graz</t>
  </si>
  <si>
    <t>Roland Mendel</t>
  </si>
  <si>
    <t>Ernst Handel</t>
  </si>
  <si>
    <t>Ann Devon</t>
  </si>
  <si>
    <t>Eastern Connection</t>
  </si>
  <si>
    <t>Janine Labrune</t>
  </si>
  <si>
    <t>Du monde entier</t>
  </si>
  <si>
    <t>Aachen</t>
  </si>
  <si>
    <t>Order Administrator</t>
  </si>
  <si>
    <t>Sven Ottlieb</t>
  </si>
  <si>
    <t>Drachenblut Delikatessen</t>
  </si>
  <si>
    <t>Elizabeth Brown</t>
  </si>
  <si>
    <t>Consolidated Holdings</t>
  </si>
  <si>
    <t>Pedro Afonso</t>
  </si>
  <si>
    <t>Comércio Mineiro</t>
  </si>
  <si>
    <t>Bern</t>
  </si>
  <si>
    <t>Yang Wang</t>
  </si>
  <si>
    <t>Chop-suey Chinese</t>
  </si>
  <si>
    <t>Francisco Chang</t>
  </si>
  <si>
    <t>Centro comercial Moctezuma</t>
  </si>
  <si>
    <t>Patricio Simpson</t>
  </si>
  <si>
    <t>Cactus Comidas para llevar</t>
  </si>
  <si>
    <t>Victoria Ashworth</t>
  </si>
  <si>
    <t>B's Beverages</t>
  </si>
  <si>
    <t>Tsawassen</t>
  </si>
  <si>
    <t>Elizabeth Lincoln</t>
  </si>
  <si>
    <t>Bottom-Dollar Markets</t>
  </si>
  <si>
    <t>Marseille</t>
  </si>
  <si>
    <t>Laurence Lebihan</t>
  </si>
  <si>
    <t>Bon app'</t>
  </si>
  <si>
    <t>Martín Sommer</t>
  </si>
  <si>
    <t>Bólido Comidas preparadas</t>
  </si>
  <si>
    <t>Strasbourg</t>
  </si>
  <si>
    <t>Frédérique Citeaux</t>
  </si>
  <si>
    <t>Blondesddsl père et fils</t>
  </si>
  <si>
    <t>Mannheim</t>
  </si>
  <si>
    <t>Hanna Moos</t>
  </si>
  <si>
    <t>Blauer See Delikatessen</t>
  </si>
  <si>
    <t>Luleå</t>
  </si>
  <si>
    <t>Christina Berglund</t>
  </si>
  <si>
    <t>Berglunds snabbköp</t>
  </si>
  <si>
    <t>Thomas Hardy</t>
  </si>
  <si>
    <t>Around the Horn</t>
  </si>
  <si>
    <t>Antonio Moreno</t>
  </si>
  <si>
    <t>Antonio Moreno Taquería</t>
  </si>
  <si>
    <t>Ana Trujillo</t>
  </si>
  <si>
    <t>Ana Trujillo Emparedados y helados</t>
  </si>
  <si>
    <t>Berlin</t>
  </si>
  <si>
    <t>Maria Anders</t>
  </si>
  <si>
    <t>Alfreds Futterkiste</t>
  </si>
  <si>
    <t>contactTitle</t>
  </si>
  <si>
    <t>contactName</t>
  </si>
  <si>
    <t>companyName</t>
  </si>
  <si>
    <t>Federal Shipping</t>
  </si>
  <si>
    <t>United Package</t>
  </si>
  <si>
    <t>Speedy Express</t>
  </si>
  <si>
    <t>Seaweed and fish</t>
  </si>
  <si>
    <t>Seafood</t>
  </si>
  <si>
    <t>Dried fruit and bean curd</t>
  </si>
  <si>
    <t>Produce</t>
  </si>
  <si>
    <t>Prepared meats</t>
  </si>
  <si>
    <t>Meat &amp; Poultry</t>
  </si>
  <si>
    <t>Breads, crackers, pasta, and cereal</t>
  </si>
  <si>
    <t>Grains &amp; Cereals</t>
  </si>
  <si>
    <t>Cheeses</t>
  </si>
  <si>
    <t>Dairy Products</t>
  </si>
  <si>
    <t>Desserts, candies, and sweet breads</t>
  </si>
  <si>
    <t>Confections</t>
  </si>
  <si>
    <t>Sweet and savory sauces, relishes, spreads, and seasonings</t>
  </si>
  <si>
    <t>Condiments</t>
  </si>
  <si>
    <t>Soft drinks, coffees, teas, beers, and ales</t>
  </si>
  <si>
    <t>Beverages</t>
  </si>
  <si>
    <t>description</t>
  </si>
  <si>
    <t>categoryName</t>
  </si>
  <si>
    <t>ShippedDate</t>
  </si>
  <si>
    <t>RequiredDate</t>
  </si>
  <si>
    <t>OrderDate</t>
  </si>
  <si>
    <t>CustomerID</t>
  </si>
  <si>
    <t>EmployeeID</t>
  </si>
  <si>
    <t>Sales</t>
  </si>
  <si>
    <t>Customer name</t>
  </si>
  <si>
    <t>shipper name</t>
  </si>
  <si>
    <t>Product Availability</t>
  </si>
  <si>
    <t>Days to ship</t>
  </si>
  <si>
    <t>Delivery Status</t>
  </si>
  <si>
    <t>year</t>
  </si>
  <si>
    <t>Quarter</t>
  </si>
  <si>
    <t>month</t>
  </si>
  <si>
    <t>year-quarter</t>
  </si>
  <si>
    <t>total with freight</t>
  </si>
  <si>
    <t>unit price</t>
  </si>
  <si>
    <t>Sum of unit price</t>
  </si>
  <si>
    <t>Row Labels</t>
  </si>
  <si>
    <t>Late</t>
  </si>
  <si>
    <t>On Time</t>
  </si>
  <si>
    <t>Pending</t>
  </si>
  <si>
    <t>Grand Total</t>
  </si>
  <si>
    <t>Sum of Sales</t>
  </si>
  <si>
    <t xml:space="preserve"> Not Available</t>
  </si>
  <si>
    <t>Available</t>
  </si>
  <si>
    <t>2013-Q3</t>
  </si>
  <si>
    <t>2013-Q4</t>
  </si>
  <si>
    <t>2014-Q1</t>
  </si>
  <si>
    <t>2014-Q2</t>
  </si>
  <si>
    <t>2014-Q3</t>
  </si>
  <si>
    <t>2014-Q4</t>
  </si>
  <si>
    <t>2015-Q1</t>
  </si>
  <si>
    <t>2015-Q2</t>
  </si>
  <si>
    <t>Sum of total with freight</t>
  </si>
  <si>
    <t>Employee Name</t>
  </si>
  <si>
    <t>Discount</t>
  </si>
  <si>
    <t>Sum of Discount</t>
  </si>
  <si>
    <t xml:space="preserve">              NORTHWIND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</si>
</sst>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409]#,##0.00_ ;\-[$$-409]#,##0.00\ "/>
    <numFmt numFmtId="166" formatCode="[$$-409]#,##0_ ;\-[$$-409]#,##0\ "/>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20"/>
      <color theme="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2" fontId="0" fillId="0" borderId="0" xfId="0" applyNumberFormat="1"/>
    <xf numFmtId="1" fontId="0" fillId="0" borderId="0" xfId="0" applyNumberFormat="1"/>
    <xf numFmtId="9" fontId="0" fillId="0" borderId="0" xfId="42" applyFont="1"/>
    <xf numFmtId="164" fontId="0" fillId="0" borderId="0" xfId="0" applyNumberFormat="1"/>
    <xf numFmtId="49" fontId="0" fillId="0" borderId="0" xfId="0" applyNumberFormat="1"/>
    <xf numFmtId="0" fontId="0" fillId="0" borderId="0" xfId="0" pivotButton="1"/>
    <xf numFmtId="0" fontId="0" fillId="0" borderId="0" xfId="0" applyAlignment="1">
      <alignment horizontal="left"/>
    </xf>
    <xf numFmtId="9" fontId="0" fillId="0" borderId="0" xfId="0" applyNumberFormat="1"/>
    <xf numFmtId="165" fontId="0" fillId="0" borderId="0" xfId="0" applyNumberFormat="1" applyAlignment="1">
      <alignment shrinkToFit="1"/>
    </xf>
    <xf numFmtId="166" fontId="0" fillId="0" borderId="0" xfId="0" applyNumberFormat="1" applyAlignment="1">
      <alignment shrinkToFit="1"/>
    </xf>
    <xf numFmtId="0" fontId="0" fillId="33" borderId="0" xfId="0" applyFill="1"/>
    <xf numFmtId="0" fontId="0" fillId="0" borderId="0" xfId="0" applyAlignment="1">
      <alignment horizontal="center" vertical="center"/>
    </xf>
    <xf numFmtId="0" fontId="19" fillId="33" borderId="0" xfId="0" applyFont="1" applyFill="1" applyAlignment="1">
      <alignment horizontal="left" vertical="center"/>
    </xf>
    <xf numFmtId="0" fontId="17" fillId="33" borderId="0" xfId="0" applyFont="1" applyFill="1" applyAlignment="1">
      <alignment horizontal="left" vertical="center"/>
    </xf>
    <xf numFmtId="0" fontId="17"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2">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7" formatCode="[$$-409]#,##0.0_ ;\-[$$-409]#,##0.0\ "/>
    </dxf>
    <dxf>
      <numFmt numFmtId="166" formatCode="[$$-409]#,##0_ ;\-[$$-409]#,##0\ "/>
    </dxf>
    <dxf>
      <numFmt numFmtId="11" formatCode="&quot;£&quot;#,##0.00;\-&quot;£&quot;#,##0.00"/>
      <alignment shrinkToFit="1"/>
    </dxf>
    <dxf>
      <numFmt numFmtId="165" formatCode="[$$-409]#,##0.00_ ;\-[$$-409]#,##0.00\ "/>
    </dxf>
    <dxf>
      <numFmt numFmtId="2" formatCode="0.00"/>
    </dxf>
    <dxf>
      <numFmt numFmtId="14" formatCode="0.00%"/>
    </dxf>
    <dxf>
      <numFmt numFmtId="13" formatCode="0%"/>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7" formatCode="[$$-409]#,##0.0_ ;\-[$$-409]#,##0.0\ "/>
    </dxf>
    <dxf>
      <numFmt numFmtId="166" formatCode="[$$-409]#,##0_ ;\-[$$-409]#,##0\ "/>
    </dxf>
    <dxf>
      <numFmt numFmtId="11" formatCode="&quot;£&quot;#,##0.00;\-&quot;£&quot;#,##0.00"/>
      <alignment shrinkToFit="1"/>
    </dxf>
    <dxf>
      <numFmt numFmtId="165" formatCode="[$$-409]#,##0.00_ ;\-[$$-409]#,##0.00\ "/>
    </dxf>
    <dxf>
      <numFmt numFmtId="2" formatCode="0.00"/>
    </dxf>
    <dxf>
      <numFmt numFmtId="14" formatCode="0.00%"/>
    </dxf>
    <dxf>
      <numFmt numFmtId="13" formatCode="0%"/>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7" formatCode="[$$-409]#,##0.0_ ;\-[$$-409]#,##0.0\ "/>
    </dxf>
    <dxf>
      <numFmt numFmtId="166" formatCode="[$$-409]#,##0_ ;\-[$$-409]#,##0\ "/>
    </dxf>
    <dxf>
      <numFmt numFmtId="165" formatCode="[$$-409]#,##0.00_ ;\-[$$-409]#,##0.00\ "/>
      <alignment shrinkToFit="1"/>
    </dxf>
    <dxf>
      <numFmt numFmtId="165" formatCode="[$$-409]#,##0.00_ ;\-[$$-409]#,##0.00\ "/>
      <alignment shrinkToFit="1"/>
    </dxf>
    <dxf>
      <numFmt numFmtId="166" formatCode="[$$-409]#,##0_ ;\-[$$-409]#,##0\ "/>
    </dxf>
    <dxf>
      <numFmt numFmtId="166" formatCode="[$$-409]#,##0_ ;\-[$$-409]#,##0\ "/>
    </dxf>
    <dxf>
      <numFmt numFmtId="11" formatCode="&quot;£&quot;#,##0.00;\-&quot;£&quot;#,##0.00"/>
      <alignment shrinkToFit="1"/>
    </dxf>
    <dxf>
      <numFmt numFmtId="165" formatCode="[$$-409]#,##0.00_ ;\-[$$-409]#,##0.00\ "/>
    </dxf>
    <dxf>
      <numFmt numFmtId="2" formatCode="0.00"/>
    </dxf>
    <dxf>
      <numFmt numFmtId="14" formatCode="0.00%"/>
    </dxf>
    <dxf>
      <numFmt numFmtId="13" formatCode="0%"/>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13" formatCode="0%"/>
    </dxf>
    <dxf>
      <numFmt numFmtId="2" formatCode="0.00"/>
    </dxf>
    <dxf>
      <numFmt numFmtId="14" formatCode="0.00%"/>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2" formatCode="0.00"/>
    </dxf>
    <dxf>
      <numFmt numFmtId="14" formatCode="0.00%"/>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7" formatCode="[$$-409]#,##0.0_ ;\-[$$-409]#,##0.0\ "/>
    </dxf>
    <dxf>
      <numFmt numFmtId="166" formatCode="[$$-409]#,##0_ ;\-[$$-409]#,##0\ "/>
    </dxf>
    <dxf>
      <numFmt numFmtId="11" formatCode="&quot;£&quot;#,##0.00;\-&quot;£&quot;#,##0.00"/>
      <alignment shrinkToFit="1"/>
    </dxf>
    <dxf>
      <numFmt numFmtId="165" formatCode="[$$-409]#,##0.00_ ;\-[$$-409]#,##0.00\ "/>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2" formatCode="0.00"/>
    </dxf>
    <dxf>
      <numFmt numFmtId="14" formatCode="0.00%"/>
    </dxf>
    <dxf>
      <numFmt numFmtId="13" formatCode="0%"/>
    </dxf>
    <dxf>
      <numFmt numFmtId="2" formatCode="0.00"/>
    </dxf>
    <dxf>
      <numFmt numFmtId="14" formatCode="0.00%"/>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7" formatCode="[$$-409]#,##0.0_ ;\-[$$-409]#,##0.0\ "/>
    </dxf>
    <dxf>
      <numFmt numFmtId="166" formatCode="[$$-409]#,##0_ ;\-[$$-409]#,##0\ "/>
    </dxf>
    <dxf>
      <numFmt numFmtId="13" formatCode="0%"/>
    </dxf>
    <dxf>
      <numFmt numFmtId="13" formatCode="0%"/>
    </dxf>
    <dxf>
      <numFmt numFmtId="13" formatCode="0%"/>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13" formatCode="0%"/>
    </dxf>
    <dxf>
      <numFmt numFmtId="165" formatCode="[$$-409]#,##0.00_ ;\-[$$-409]#,##0.00\ "/>
      <alignment shrinkToFit="1"/>
    </dxf>
    <dxf>
      <numFmt numFmtId="165" formatCode="[$$-409]#,##0.00_ ;\-[$$-409]#,##0.00\ "/>
      <alignment shrinkToFit="1"/>
    </dxf>
    <dxf>
      <numFmt numFmtId="166" formatCode="[$$-409]#,##0_ ;\-[$$-409]#,##0\ "/>
    </dxf>
    <dxf>
      <numFmt numFmtId="166" formatCode="[$$-409]#,##0_ ;\-[$$-409]#,##0\ "/>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30" formatCode="@"/>
    </dxf>
    <dxf>
      <numFmt numFmtId="30" formatCode="@"/>
    </dxf>
    <dxf>
      <numFmt numFmtId="30" formatCode="@"/>
    </dxf>
    <dxf>
      <numFmt numFmtId="30" formatCode="@"/>
    </dxf>
    <dxf>
      <numFmt numFmtId="1" formatCode="0"/>
    </dxf>
    <dxf>
      <numFmt numFmtId="164" formatCode="0.0"/>
    </dxf>
    <dxf>
      <numFmt numFmtId="1" formatCode="0"/>
    </dxf>
    <dxf>
      <numFmt numFmtId="1" formatCode="0"/>
    </dxf>
    <dxf>
      <numFmt numFmtId="1" formatCode="0"/>
    </dxf>
    <dxf>
      <numFmt numFmtId="30" formatCode="@"/>
    </dxf>
    <dxf>
      <numFmt numFmtId="164" formatCode="0.0"/>
    </dxf>
    <dxf>
      <numFmt numFmtId="1" formatCode="0"/>
    </dxf>
    <dxf>
      <numFmt numFmtId="30" formatCode="@"/>
    </dxf>
    <dxf>
      <numFmt numFmtId="1" formatCode="0"/>
    </dxf>
    <dxf>
      <numFmt numFmtId="1" formatCode="0"/>
    </dxf>
    <dxf>
      <numFmt numFmtId="30" formatCode="@"/>
    </dxf>
    <dxf>
      <numFmt numFmtId="1" formatCode="0"/>
    </dxf>
    <dxf>
      <numFmt numFmtId="0" formatCode="General"/>
    </dxf>
    <dxf>
      <numFmt numFmtId="30" formatCode="@"/>
    </dxf>
    <dxf>
      <numFmt numFmtId="0" formatCode="General"/>
    </dxf>
    <dxf>
      <numFmt numFmtId="0" formatCode="General"/>
    </dxf>
    <dxf>
      <numFmt numFmtId="0" formatCode="General"/>
    </dxf>
    <dxf>
      <numFmt numFmtId="0" formatCode="General"/>
    </dxf>
    <dxf>
      <numFmt numFmtId="30" formatCode="@"/>
    </dxf>
    <dxf>
      <numFmt numFmtId="30" formatCode="@"/>
    </dxf>
    <dxf>
      <numFmt numFmtId="1" formatCode="0"/>
    </dxf>
    <dxf>
      <numFmt numFmtId="2" formatCode="0.00"/>
    </dxf>
    <dxf>
      <numFmt numFmtId="13" formatCode="0%"/>
    </dxf>
    <dxf>
      <numFmt numFmtId="2" formatCode="0.00"/>
    </dxf>
    <dxf>
      <numFmt numFmtId="2" formatCode="0.00"/>
    </dxf>
    <dxf>
      <numFmt numFmtId="1" formatCode="0"/>
    </dxf>
    <dxf>
      <numFmt numFmtId="1" formatCode="0"/>
    </dxf>
    <dxf>
      <numFmt numFmtId="19" formatCode="dd/mm/yyyy"/>
    </dxf>
    <dxf>
      <numFmt numFmtId="19" formatCode="dd/mm/yyyy"/>
    </dxf>
    <dxf>
      <numFmt numFmtId="19" formatCode="dd/mm/yyyy"/>
    </dxf>
    <dxf>
      <numFmt numFmtId="30" formatCode="@"/>
    </dxf>
    <dxf>
      <numFmt numFmtId="1" formatCode="0"/>
    </dxf>
    <dxf>
      <numFmt numFmtId="30" formatCode="@"/>
    </dxf>
    <dxf>
      <numFmt numFmtId="1" formatCode="0"/>
    </dxf>
    <dxf>
      <numFmt numFmtId="19" formatCode="dd/mm/yyyy"/>
    </dxf>
    <dxf>
      <numFmt numFmtId="13" formatCode="0%"/>
    </dxf>
    <dxf>
      <numFmt numFmtId="165" formatCode="[$$-409]#,##0.00_ ;\-[$$-409]#,##0.00\ "/>
    </dxf>
    <dxf>
      <numFmt numFmtId="11" formatCode="&quot;£&quot;#,##0.00;\-&quot;£&quot;#,##0.00"/>
      <alignment shrinkToFit="1"/>
    </dxf>
    <dxf>
      <numFmt numFmtId="166" formatCode="[$$-409]#,##0_ ;\-[$$-409]#,##0\ "/>
    </dxf>
    <dxf>
      <numFmt numFmtId="166" formatCode="[$$-409]#,##0_ ;\-[$$-409]#,##0\ "/>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5" formatCode="[$$-409]#,##0.00_ ;\-[$$-409]#,##0.00\ "/>
      <alignment shrinkToFit="1"/>
    </dxf>
    <dxf>
      <numFmt numFmtId="166" formatCode="[$$-409]#,##0_ ;\-[$$-409]#,##0\ "/>
    </dxf>
    <dxf>
      <numFmt numFmtId="166" formatCode="[$$-409]#,##0_ ;\-[$$-409]#,##0\ "/>
    </dxf>
    <dxf>
      <numFmt numFmtId="165" formatCode="[$$-409]#,##0.00_ ;\-[$$-409]#,##0.00\ "/>
      <alignment shrinkToFit="1"/>
    </dxf>
    <dxf>
      <numFmt numFmtId="165" formatCode="[$$-409]#,##0.00_ ;\-[$$-409]#,##0.00\ "/>
      <alignment shrinkToFit="1"/>
    </dxf>
    <dxf>
      <numFmt numFmtId="13" formatCode="0%"/>
    </dxf>
    <dxf>
      <numFmt numFmtId="166" formatCode="[$$-409]#,##0_ ;\-[$$-409]#,##0\ "/>
    </dxf>
    <dxf>
      <numFmt numFmtId="167" formatCode="[$$-409]#,##0.0_ ;\-[$$-409]#,##0.0\ "/>
    </dxf>
    <dxf>
      <numFmt numFmtId="165" formatCode="[$$-409]#,##0.00_ ;\-[$$-409]#,##0.00\ "/>
      <alignment shrinkToFi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rgbClr val="0E2841"/>
                </a:solidFill>
              </a:rPr>
              <a:t>SHARE OF TOTAL UNIT PRICE</a:t>
            </a:r>
          </a:p>
          <a:p>
            <a:pPr>
              <a:defRPr/>
            </a:pPr>
            <a:r>
              <a:rPr lang="en-US" sz="1400" b="1" i="0" u="none" strike="noStrike" kern="1200" baseline="0">
                <a:solidFill>
                  <a:srgbClr val="0E2841"/>
                </a:solidFill>
              </a:rPr>
              <a:t> BY DELIVERY STATUS</a:t>
            </a:r>
          </a:p>
        </c:rich>
      </c:tx>
      <c:layout>
        <c:manualLayout>
          <c:xMode val="edge"/>
          <c:yMode val="edge"/>
          <c:x val="0.20746007042791692"/>
          <c:y val="5.18256772673733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0643167242648799"/>
              <c:y val="-4.2402826855123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2799916059044942"/>
              <c:y val="-7.5382803297997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2491809085274064"/>
              <c:y val="1.884570082449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3CC9-4388-9E35-ADE9F0F41E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C9-4388-9E35-ADE9F0F41E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3CC9-4388-9E35-ADE9F0F41E0C}"/>
              </c:ext>
            </c:extLst>
          </c:dPt>
          <c:dLbls>
            <c:dLbl>
              <c:idx val="0"/>
              <c:layout>
                <c:manualLayout>
                  <c:x val="0.22491809085274064"/>
                  <c:y val="1.884570082449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C9-4388-9E35-ADE9F0F41E0C}"/>
                </c:ext>
              </c:extLst>
            </c:dLbl>
            <c:dLbl>
              <c:idx val="1"/>
              <c:layout>
                <c:manualLayout>
                  <c:x val="0.22799916059044942"/>
                  <c:y val="-7.53828032979976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C9-4388-9E35-ADE9F0F41E0C}"/>
                </c:ext>
              </c:extLst>
            </c:dLbl>
            <c:dLbl>
              <c:idx val="2"/>
              <c:layout>
                <c:manualLayout>
                  <c:x val="-0.20643167242648799"/>
                  <c:y val="-4.2402826855123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C9-4388-9E35-ADE9F0F41E0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On Time</c:v>
                </c:pt>
                <c:pt idx="1">
                  <c:v>Pending</c:v>
                </c:pt>
                <c:pt idx="2">
                  <c:v>Late</c:v>
                </c:pt>
              </c:strCache>
            </c:strRef>
          </c:cat>
          <c:val>
            <c:numRef>
              <c:f>'Pivot Table'!$B$4:$B$7</c:f>
              <c:numCache>
                <c:formatCode>0%</c:formatCode>
                <c:ptCount val="3"/>
                <c:pt idx="0">
                  <c:v>0.96835981905634672</c:v>
                </c:pt>
                <c:pt idx="1">
                  <c:v>2.0046771090079067E-2</c:v>
                </c:pt>
                <c:pt idx="2">
                  <c:v>1.1593409853574266E-2</c:v>
                </c:pt>
              </c:numCache>
            </c:numRef>
          </c:val>
          <c:extLst>
            <c:ext xmlns:c16="http://schemas.microsoft.com/office/drawing/2014/chart" uri="{C3380CC4-5D6E-409C-BE32-E72D297353CC}">
              <c16:uniqueId val="{00000000-3CC9-4388-9E35-ADE9F0F41E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NUMBER OF PRODUCTS</a:t>
            </a:r>
          </a:p>
          <a:p>
            <a:pPr>
              <a:defRPr/>
            </a:pPr>
            <a:r>
              <a:rPr lang="en-US" sz="1400" b="1" i="0" u="none" strike="noStrike" kern="1200" spc="0" baseline="0">
                <a:solidFill>
                  <a:sysClr val="windowText" lastClr="000000">
                    <a:lumMod val="65000"/>
                    <a:lumOff val="35000"/>
                  </a:sysClr>
                </a:solidFill>
              </a:rPr>
              <a:t> BASED ON THEIR AVAILABILITY</a:t>
            </a:r>
          </a:p>
          <a:p>
            <a:pPr>
              <a:defRPr/>
            </a:pPr>
            <a:endParaRPr lang="en-US"/>
          </a:p>
        </c:rich>
      </c:tx>
      <c:layout>
        <c:manualLayout>
          <c:xMode val="edge"/>
          <c:yMode val="edge"/>
          <c:x val="0.18334711286089239"/>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2894138232720904E-2"/>
              <c:y val="-1.78769320501603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66152668416448"/>
              <c:y val="-9.328083989501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642-4075-87C7-8E1F472834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642-4075-87C7-8E1F4728342E}"/>
              </c:ext>
            </c:extLst>
          </c:dPt>
          <c:dLbls>
            <c:dLbl>
              <c:idx val="0"/>
              <c:layout>
                <c:manualLayout>
                  <c:x val="0.13866152668416448"/>
                  <c:y val="-9.328083989501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42-4075-87C7-8E1F4728342E}"/>
                </c:ext>
              </c:extLst>
            </c:dLbl>
            <c:dLbl>
              <c:idx val="1"/>
              <c:layout>
                <c:manualLayout>
                  <c:x val="-8.2894138232720904E-2"/>
                  <c:y val="-1.78769320501603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42-4075-87C7-8E1F4728342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Table'!$A$26:$A$28</c:f>
              <c:strCache>
                <c:ptCount val="2"/>
                <c:pt idx="0">
                  <c:v>Available</c:v>
                </c:pt>
                <c:pt idx="1">
                  <c:v> Not Available</c:v>
                </c:pt>
              </c:strCache>
            </c:strRef>
          </c:cat>
          <c:val>
            <c:numRef>
              <c:f>'Pivot Table'!$B$26:$B$28</c:f>
              <c:numCache>
                <c:formatCode>0%</c:formatCode>
                <c:ptCount val="2"/>
                <c:pt idx="0">
                  <c:v>0.85385373340884119</c:v>
                </c:pt>
                <c:pt idx="1">
                  <c:v>0.14614626659115867</c:v>
                </c:pt>
              </c:numCache>
            </c:numRef>
          </c:val>
          <c:extLst>
            <c:ext xmlns:c16="http://schemas.microsoft.com/office/drawing/2014/chart" uri="{C3380CC4-5D6E-409C-BE32-E72D297353CC}">
              <c16:uniqueId val="{00000000-8642-4075-87C7-8E1F472834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TOP SELLING PRODUCTS</a:t>
            </a:r>
            <a:endParaRPr lang="en-US"/>
          </a:p>
        </c:rich>
      </c:tx>
      <c:layout>
        <c:manualLayout>
          <c:xMode val="edge"/>
          <c:yMode val="edge"/>
          <c:x val="0.31657633420822395"/>
          <c:y val="4.51212714108426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Table'!$A$39:$A$116</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Flotemysost</c:v>
                </c:pt>
                <c:pt idx="20">
                  <c:v>Boston Crab Meat</c:v>
                </c:pt>
                <c:pt idx="21">
                  <c:v>Pâté chinois</c:v>
                </c:pt>
                <c:pt idx="22">
                  <c:v>Pavlova</c:v>
                </c:pt>
                <c:pt idx="23">
                  <c:v>Vegie-spread</c:v>
                </c:pt>
                <c:pt idx="24">
                  <c:v>Chang</c:v>
                </c:pt>
                <c:pt idx="25">
                  <c:v>Lakkaliköri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Knackebröd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Guarana Fantastica</c:v>
                </c:pt>
                <c:pt idx="63">
                  <c:v>Rogede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'Pivot Table'!$B$39:$B$116</c:f>
              <c:numCache>
                <c:formatCode>[$$-409]#,##0_ ;\-[$$-409]#,##0\ </c:formatCode>
                <c:ptCount val="77"/>
                <c:pt idx="0">
                  <c:v>141396.73499999999</c:v>
                </c:pt>
                <c:pt idx="1">
                  <c:v>80368.672000000006</c:v>
                </c:pt>
                <c:pt idx="2">
                  <c:v>71155.7</c:v>
                </c:pt>
                <c:pt idx="3">
                  <c:v>47234.97</c:v>
                </c:pt>
                <c:pt idx="4">
                  <c:v>46825.48</c:v>
                </c:pt>
                <c:pt idx="5">
                  <c:v>42593.06</c:v>
                </c:pt>
                <c:pt idx="6">
                  <c:v>41819.65</c:v>
                </c:pt>
                <c:pt idx="7">
                  <c:v>32698.379999999997</c:v>
                </c:pt>
                <c:pt idx="8">
                  <c:v>29171.875</c:v>
                </c:pt>
                <c:pt idx="9">
                  <c:v>25696.640000000007</c:v>
                </c:pt>
                <c:pt idx="10">
                  <c:v>24900.13</c:v>
                </c:pt>
                <c:pt idx="11">
                  <c:v>23526.699999999997</c:v>
                </c:pt>
                <c:pt idx="12">
                  <c:v>22563.359999999997</c:v>
                </c:pt>
                <c:pt idx="13">
                  <c:v>22044.3</c:v>
                </c:pt>
                <c:pt idx="14">
                  <c:v>21957.967500000002</c:v>
                </c:pt>
                <c:pt idx="15">
                  <c:v>21942.36</c:v>
                </c:pt>
                <c:pt idx="16">
                  <c:v>20867.340000000004</c:v>
                </c:pt>
                <c:pt idx="17">
                  <c:v>20574.170000000006</c:v>
                </c:pt>
                <c:pt idx="18">
                  <c:v>19849.144500000002</c:v>
                </c:pt>
                <c:pt idx="19">
                  <c:v>19551.024999999998</c:v>
                </c:pt>
                <c:pt idx="20">
                  <c:v>17910.63</c:v>
                </c:pt>
                <c:pt idx="21">
                  <c:v>17426.400000000001</c:v>
                </c:pt>
                <c:pt idx="22">
                  <c:v>17215.775499999996</c:v>
                </c:pt>
                <c:pt idx="23">
                  <c:v>16701.095000000001</c:v>
                </c:pt>
                <c:pt idx="24">
                  <c:v>16355.96</c:v>
                </c:pt>
                <c:pt idx="25">
                  <c:v>15760.44</c:v>
                </c:pt>
                <c:pt idx="26">
                  <c:v>15099.875</c:v>
                </c:pt>
                <c:pt idx="27">
                  <c:v>14920.875</c:v>
                </c:pt>
                <c:pt idx="28">
                  <c:v>14352.6</c:v>
                </c:pt>
                <c:pt idx="29">
                  <c:v>13869.890000000001</c:v>
                </c:pt>
                <c:pt idx="30">
                  <c:v>13643.999999999998</c:v>
                </c:pt>
                <c:pt idx="31">
                  <c:v>13458.460000000001</c:v>
                </c:pt>
                <c:pt idx="32">
                  <c:v>13424.197500000002</c:v>
                </c:pt>
                <c:pt idx="33">
                  <c:v>12901.77</c:v>
                </c:pt>
                <c:pt idx="34">
                  <c:v>12788.1</c:v>
                </c:pt>
                <c:pt idx="35">
                  <c:v>12772</c:v>
                </c:pt>
                <c:pt idx="36">
                  <c:v>12294.54</c:v>
                </c:pt>
                <c:pt idx="37">
                  <c:v>12257.660000000002</c:v>
                </c:pt>
                <c:pt idx="38">
                  <c:v>10672.65</c:v>
                </c:pt>
                <c:pt idx="39">
                  <c:v>9915.9450000000015</c:v>
                </c:pt>
                <c:pt idx="40">
                  <c:v>9244.6</c:v>
                </c:pt>
                <c:pt idx="41">
                  <c:v>9171.6299999999992</c:v>
                </c:pt>
                <c:pt idx="42">
                  <c:v>9104</c:v>
                </c:pt>
                <c:pt idx="43">
                  <c:v>8714</c:v>
                </c:pt>
                <c:pt idx="44">
                  <c:v>8680.3450000000048</c:v>
                </c:pt>
                <c:pt idx="45">
                  <c:v>8575</c:v>
                </c:pt>
                <c:pt idx="46">
                  <c:v>8567.9000000000015</c:v>
                </c:pt>
                <c:pt idx="47">
                  <c:v>8404.16</c:v>
                </c:pt>
                <c:pt idx="48">
                  <c:v>8177.4899999999989</c:v>
                </c:pt>
                <c:pt idx="49">
                  <c:v>7991.4899999999989</c:v>
                </c:pt>
                <c:pt idx="50">
                  <c:v>7661.5499999999993</c:v>
                </c:pt>
                <c:pt idx="51">
                  <c:v>7226.5</c:v>
                </c:pt>
                <c:pt idx="52">
                  <c:v>7137</c:v>
                </c:pt>
                <c:pt idx="53">
                  <c:v>7122.3600000000006</c:v>
                </c:pt>
                <c:pt idx="54">
                  <c:v>6350.4</c:v>
                </c:pt>
                <c:pt idx="55">
                  <c:v>5882.9999999999991</c:v>
                </c:pt>
                <c:pt idx="56">
                  <c:v>5881.6749999999993</c:v>
                </c:pt>
                <c:pt idx="57">
                  <c:v>5862.6199999999981</c:v>
                </c:pt>
                <c:pt idx="58">
                  <c:v>5347.2000000000007</c:v>
                </c:pt>
                <c:pt idx="59">
                  <c:v>4960.4400000000005</c:v>
                </c:pt>
                <c:pt idx="60">
                  <c:v>4728.2375000000002</c:v>
                </c:pt>
                <c:pt idx="61">
                  <c:v>4601.7</c:v>
                </c:pt>
                <c:pt idx="62">
                  <c:v>4504.3649999999998</c:v>
                </c:pt>
                <c:pt idx="63">
                  <c:v>4338.1750000000002</c:v>
                </c:pt>
                <c:pt idx="64">
                  <c:v>3997.2</c:v>
                </c:pt>
                <c:pt idx="65">
                  <c:v>3958.08</c:v>
                </c:pt>
                <c:pt idx="66">
                  <c:v>3704.3999999999996</c:v>
                </c:pt>
                <c:pt idx="67">
                  <c:v>3437.6875</c:v>
                </c:pt>
                <c:pt idx="68">
                  <c:v>3383</c:v>
                </c:pt>
                <c:pt idx="69">
                  <c:v>3232.9500000000003</c:v>
                </c:pt>
                <c:pt idx="70">
                  <c:v>3044</c:v>
                </c:pt>
                <c:pt idx="71">
                  <c:v>2688.3999999999996</c:v>
                </c:pt>
                <c:pt idx="72">
                  <c:v>2432.5</c:v>
                </c:pt>
                <c:pt idx="73">
                  <c:v>2396.8000000000002</c:v>
                </c:pt>
                <c:pt idx="74">
                  <c:v>1784.825</c:v>
                </c:pt>
                <c:pt idx="75">
                  <c:v>1648.125</c:v>
                </c:pt>
                <c:pt idx="76">
                  <c:v>1368.7125000000001</c:v>
                </c:pt>
              </c:numCache>
            </c:numRef>
          </c:val>
          <c:extLst>
            <c:ext xmlns:c16="http://schemas.microsoft.com/office/drawing/2014/chart" uri="{C3380CC4-5D6E-409C-BE32-E72D297353CC}">
              <c16:uniqueId val="{00000000-35D3-47C6-85C4-AF544489FDEE}"/>
            </c:ext>
          </c:extLst>
        </c:ser>
        <c:dLbls>
          <c:showLegendKey val="0"/>
          <c:showVal val="0"/>
          <c:showCatName val="0"/>
          <c:showSerName val="0"/>
          <c:showPercent val="0"/>
          <c:showBubbleSize val="0"/>
        </c:dLbls>
        <c:gapWidth val="219"/>
        <c:overlap val="-27"/>
        <c:axId val="629524048"/>
        <c:axId val="629525968"/>
      </c:barChart>
      <c:catAx>
        <c:axId val="6295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25968"/>
        <c:crosses val="autoZero"/>
        <c:auto val="1"/>
        <c:lblAlgn val="ctr"/>
        <c:lblOffset val="100"/>
        <c:noMultiLvlLbl val="0"/>
      </c:catAx>
      <c:valAx>
        <c:axId val="629525968"/>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REVENUE BASED</a:t>
            </a:r>
          </a:p>
          <a:p>
            <a:pPr>
              <a:defRPr/>
            </a:pPr>
            <a:r>
              <a:rPr lang="en-US" sz="1400" b="1" i="0" u="none" strike="noStrike" kern="1200" spc="0" baseline="0">
                <a:solidFill>
                  <a:sysClr val="windowText" lastClr="000000">
                    <a:lumMod val="65000"/>
                    <a:lumOff val="35000"/>
                  </a:sysClr>
                </a:solidFill>
              </a:rPr>
              <a:t>ON DELIVERY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Table'!$B$120</c:f>
              <c:strCache>
                <c:ptCount val="1"/>
                <c:pt idx="0">
                  <c:v>Total</c:v>
                </c:pt>
              </c:strCache>
            </c:strRef>
          </c:tx>
          <c:spPr>
            <a:solidFill>
              <a:schemeClr val="accent1"/>
            </a:solidFill>
            <a:ln>
              <a:noFill/>
            </a:ln>
            <a:effectLst/>
          </c:spPr>
          <c:invertIfNegative val="0"/>
          <c:cat>
            <c:strRef>
              <c:f>'Pivot Table'!$A$121:$A$129</c:f>
              <c:strCache>
                <c:ptCount val="8"/>
                <c:pt idx="0">
                  <c:v>2015-Q1</c:v>
                </c:pt>
                <c:pt idx="1">
                  <c:v>2014-Q4</c:v>
                </c:pt>
                <c:pt idx="2">
                  <c:v>2014-Q3</c:v>
                </c:pt>
                <c:pt idx="3">
                  <c:v>2014-Q2</c:v>
                </c:pt>
                <c:pt idx="4">
                  <c:v>2015-Q2</c:v>
                </c:pt>
                <c:pt idx="5">
                  <c:v>2014-Q1</c:v>
                </c:pt>
                <c:pt idx="6">
                  <c:v>2013-Q4</c:v>
                </c:pt>
                <c:pt idx="7">
                  <c:v>2013-Q3</c:v>
                </c:pt>
              </c:strCache>
            </c:strRef>
          </c:cat>
          <c:val>
            <c:numRef>
              <c:f>'Pivot Table'!$B$121:$B$129</c:f>
              <c:numCache>
                <c:formatCode>[$$-409]#,##0.00_ ;\-[$$-409]#,##0.00\ </c:formatCode>
                <c:ptCount val="8"/>
                <c:pt idx="0">
                  <c:v>298491.55299999996</c:v>
                </c:pt>
                <c:pt idx="1">
                  <c:v>181681.46350000004</c:v>
                </c:pt>
                <c:pt idx="2">
                  <c:v>153937.77000000005</c:v>
                </c:pt>
                <c:pt idx="3">
                  <c:v>143177.04499999998</c:v>
                </c:pt>
                <c:pt idx="4">
                  <c:v>142132.31299999999</c:v>
                </c:pt>
                <c:pt idx="5">
                  <c:v>138288.92500000005</c:v>
                </c:pt>
                <c:pt idx="6">
                  <c:v>128355.40000000001</c:v>
                </c:pt>
                <c:pt idx="7">
                  <c:v>79728.570000000007</c:v>
                </c:pt>
              </c:numCache>
            </c:numRef>
          </c:val>
          <c:extLst>
            <c:ext xmlns:c16="http://schemas.microsoft.com/office/drawing/2014/chart" uri="{C3380CC4-5D6E-409C-BE32-E72D297353CC}">
              <c16:uniqueId val="{00000000-1FB4-4080-9D08-AE9FC603A9A6}"/>
            </c:ext>
          </c:extLst>
        </c:ser>
        <c:dLbls>
          <c:showLegendKey val="0"/>
          <c:showVal val="0"/>
          <c:showCatName val="0"/>
          <c:showSerName val="0"/>
          <c:showPercent val="0"/>
          <c:showBubbleSize val="0"/>
        </c:dLbls>
        <c:gapWidth val="219"/>
        <c:overlap val="-27"/>
        <c:axId val="629532208"/>
        <c:axId val="629545168"/>
      </c:barChart>
      <c:catAx>
        <c:axId val="6295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45168"/>
        <c:crosses val="autoZero"/>
        <c:auto val="1"/>
        <c:lblAlgn val="ctr"/>
        <c:lblOffset val="100"/>
        <c:noMultiLvlLbl val="0"/>
      </c:catAx>
      <c:valAx>
        <c:axId val="629545168"/>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Table'!$B$134</c:f>
              <c:strCache>
                <c:ptCount val="1"/>
                <c:pt idx="0">
                  <c:v>Total</c:v>
                </c:pt>
              </c:strCache>
            </c:strRef>
          </c:tx>
          <c:spPr>
            <a:solidFill>
              <a:schemeClr val="accent1"/>
            </a:solidFill>
            <a:ln>
              <a:noFill/>
            </a:ln>
            <a:effectLst/>
          </c:spPr>
          <c:invertIfNegative val="0"/>
          <c:cat>
            <c:strRef>
              <c:f>'Pivot Table'!$A$135:$A$138</c:f>
              <c:strCache>
                <c:ptCount val="3"/>
                <c:pt idx="0">
                  <c:v>United Package</c:v>
                </c:pt>
                <c:pt idx="1">
                  <c:v>Federal Shipping</c:v>
                </c:pt>
                <c:pt idx="2">
                  <c:v>Speedy Express</c:v>
                </c:pt>
              </c:strCache>
            </c:strRef>
          </c:cat>
          <c:val>
            <c:numRef>
              <c:f>'Pivot Table'!$B$135:$B$138</c:f>
              <c:numCache>
                <c:formatCode>[$$-409]#,##0_ ;\-[$$-409]#,##0\ </c:formatCode>
                <c:ptCount val="3"/>
                <c:pt idx="0">
                  <c:v>561792.48399999959</c:v>
                </c:pt>
                <c:pt idx="1">
                  <c:v>403917.97800000018</c:v>
                </c:pt>
                <c:pt idx="2">
                  <c:v>365025.2674999999</c:v>
                </c:pt>
              </c:numCache>
            </c:numRef>
          </c:val>
          <c:extLst>
            <c:ext xmlns:c16="http://schemas.microsoft.com/office/drawing/2014/chart" uri="{C3380CC4-5D6E-409C-BE32-E72D297353CC}">
              <c16:uniqueId val="{00000000-B132-471F-91D0-788F55DBD625}"/>
            </c:ext>
          </c:extLst>
        </c:ser>
        <c:dLbls>
          <c:showLegendKey val="0"/>
          <c:showVal val="0"/>
          <c:showCatName val="0"/>
          <c:showSerName val="0"/>
          <c:showPercent val="0"/>
          <c:showBubbleSize val="0"/>
        </c:dLbls>
        <c:gapWidth val="150"/>
        <c:overlap val="100"/>
        <c:axId val="629530768"/>
        <c:axId val="629531248"/>
      </c:barChart>
      <c:catAx>
        <c:axId val="62953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31248"/>
        <c:crosses val="autoZero"/>
        <c:auto val="1"/>
        <c:lblAlgn val="ctr"/>
        <c:lblOffset val="100"/>
        <c:noMultiLvlLbl val="0"/>
      </c:catAx>
      <c:valAx>
        <c:axId val="629531248"/>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30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20% OF CUSTOMERS</a:t>
            </a:r>
          </a:p>
          <a:p>
            <a:pPr>
              <a:defRPr/>
            </a:pPr>
            <a:r>
              <a:rPr lang="en-US" sz="1400" b="1" i="0" u="none" strike="noStrike" kern="1200" spc="0" baseline="0">
                <a:solidFill>
                  <a:sysClr val="windowText" lastClr="000000">
                    <a:lumMod val="65000"/>
                    <a:lumOff val="35000"/>
                  </a:sysClr>
                </a:solidFill>
              </a:rPr>
              <a:t>REVENUE CONTRIBUTION</a:t>
            </a:r>
            <a:r>
              <a:rPr lang="en-US" sz="1400" b="0" i="0" u="none" strike="noStrike" kern="1200" spc="0" baseline="0">
                <a:solidFill>
                  <a:sysClr val="windowText" lastClr="000000">
                    <a:lumMod val="65000"/>
                    <a:lumOff val="35000"/>
                  </a:sysClr>
                </a:solidFill>
              </a:rPr>
              <a: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Table'!$B$142</c:f>
              <c:strCache>
                <c:ptCount val="1"/>
                <c:pt idx="0">
                  <c:v>Total</c:v>
                </c:pt>
              </c:strCache>
            </c:strRef>
          </c:tx>
          <c:spPr>
            <a:solidFill>
              <a:schemeClr val="accent1"/>
            </a:solidFill>
            <a:ln>
              <a:noFill/>
            </a:ln>
            <a:effectLst/>
          </c:spPr>
          <c:invertIfNegative val="0"/>
          <c:cat>
            <c:strRef>
              <c:f>'Pivot Table'!$A$143:$A$232</c:f>
              <c:strCache>
                <c:ptCount val="89"/>
                <c:pt idx="0">
                  <c:v>QUICK-Stop</c:v>
                </c:pt>
                <c:pt idx="1">
                  <c:v>Ernst Handel</c:v>
                </c:pt>
                <c:pt idx="2">
                  <c:v>Save-a-lot Markets</c:v>
                </c:pt>
                <c:pt idx="3">
                  <c:v>Rattlesnake Canyon Grocery</c:v>
                </c:pt>
                <c:pt idx="4">
                  <c:v>Hungry Owl All-Night Grocers</c:v>
                </c:pt>
                <c:pt idx="5">
                  <c:v>Hanari Carnes</c:v>
                </c:pt>
                <c:pt idx="6">
                  <c:v>Königlich Essen</c:v>
                </c:pt>
                <c:pt idx="7">
                  <c:v>Folk och fä HB</c:v>
                </c:pt>
                <c:pt idx="8">
                  <c:v>Mère Paillarde</c:v>
                </c:pt>
                <c:pt idx="9">
                  <c:v>White Clover Markets</c:v>
                </c:pt>
                <c:pt idx="10">
                  <c:v>Frankenversand</c:v>
                </c:pt>
                <c:pt idx="11">
                  <c:v>Queen Cozinha</c:v>
                </c:pt>
                <c:pt idx="12">
                  <c:v>Berglunds snabbköp</c:v>
                </c:pt>
                <c:pt idx="13">
                  <c:v>Suprêmes délices</c:v>
                </c:pt>
                <c:pt idx="14">
                  <c:v>Piccolo und mehr</c:v>
                </c:pt>
                <c:pt idx="15">
                  <c:v>HILARION-Abastos</c:v>
                </c:pt>
                <c:pt idx="16">
                  <c:v>Bon app'</c:v>
                </c:pt>
                <c:pt idx="17">
                  <c:v>Bottom-Dollar Markets</c:v>
                </c:pt>
                <c:pt idx="18">
                  <c:v>Richter Supermarkt</c:v>
                </c:pt>
                <c:pt idx="19">
                  <c:v>Lehmanns Marktstand</c:v>
                </c:pt>
                <c:pt idx="20">
                  <c:v>Blondesddsl père et fils</c:v>
                </c:pt>
                <c:pt idx="21">
                  <c:v>Great Lakes Food Market</c:v>
                </c:pt>
                <c:pt idx="22">
                  <c:v>Simons bistro</c:v>
                </c:pt>
                <c:pt idx="23">
                  <c:v>LINO-Delicateses</c:v>
                </c:pt>
                <c:pt idx="24">
                  <c:v>Seven Seas Imports</c:v>
                </c:pt>
                <c:pt idx="25">
                  <c:v>LILA-Supermercado</c:v>
                </c:pt>
                <c:pt idx="26">
                  <c:v>Vaffeljernet</c:v>
                </c:pt>
                <c:pt idx="27">
                  <c:v>Wartian Herkku</c:v>
                </c:pt>
                <c:pt idx="28">
                  <c:v>Old World Delicatessen</c:v>
                </c:pt>
                <c:pt idx="29">
                  <c:v>Eastern Connection</c:v>
                </c:pt>
                <c:pt idx="30">
                  <c:v>Around the Horn</c:v>
                </c:pt>
                <c:pt idx="31">
                  <c:v>Ottilies Käseladen</c:v>
                </c:pt>
                <c:pt idx="32">
                  <c:v>Ricardo Adocicados</c:v>
                </c:pt>
                <c:pt idx="33">
                  <c:v>Chop-suey Chinese</c:v>
                </c:pt>
                <c:pt idx="34">
                  <c:v>Folies gourmandes</c:v>
                </c:pt>
                <c:pt idx="35">
                  <c:v>Godos Cocina Típica</c:v>
                </c:pt>
                <c:pt idx="36">
                  <c:v>Split Rail Beer &amp; Ale</c:v>
                </c:pt>
                <c:pt idx="37">
                  <c:v>Tortuga Restaurante</c:v>
                </c:pt>
                <c:pt idx="38">
                  <c:v>Maison Dewey</c:v>
                </c:pt>
                <c:pt idx="39">
                  <c:v>Die Wandernde Kuh</c:v>
                </c:pt>
                <c:pt idx="40">
                  <c:v>La maison d'Asie</c:v>
                </c:pt>
                <c:pt idx="41">
                  <c:v>Victuailles en stock</c:v>
                </c:pt>
                <c:pt idx="42">
                  <c:v>Gourmet Lanchonetes</c:v>
                </c:pt>
                <c:pt idx="43">
                  <c:v>Magazzini Alimentari Riuniti</c:v>
                </c:pt>
                <c:pt idx="44">
                  <c:v>Reggiani Caseifici</c:v>
                </c:pt>
                <c:pt idx="45">
                  <c:v>Antonio Moreno Taquería</c:v>
                </c:pt>
                <c:pt idx="46">
                  <c:v>Tradição Hipermercados</c:v>
                </c:pt>
                <c:pt idx="47">
                  <c:v>Que Delícia</c:v>
                </c:pt>
                <c:pt idx="48">
                  <c:v>Furia Bacalhau e Frutos do Mar</c:v>
                </c:pt>
                <c:pt idx="49">
                  <c:v>Island Trading</c:v>
                </c:pt>
                <c:pt idx="50">
                  <c:v>B's Beverages</c:v>
                </c:pt>
                <c:pt idx="51">
                  <c:v>Wellington Importadora</c:v>
                </c:pt>
                <c:pt idx="52">
                  <c:v>Santé Gourmet</c:v>
                </c:pt>
                <c:pt idx="53">
                  <c:v>Princesa Isabel Vinhos</c:v>
                </c:pt>
                <c:pt idx="54">
                  <c:v>Morgenstern Gesundkost</c:v>
                </c:pt>
                <c:pt idx="55">
                  <c:v>Toms Spezialitäten</c:v>
                </c:pt>
                <c:pt idx="56">
                  <c:v>Alfreds Futterkiste</c:v>
                </c:pt>
                <c:pt idx="57">
                  <c:v>Lonesome Pine Restaurant</c:v>
                </c:pt>
                <c:pt idx="58">
                  <c:v>Pericles Comidas clásicas</c:v>
                </c:pt>
                <c:pt idx="59">
                  <c:v>Bólido Comidas preparadas</c:v>
                </c:pt>
                <c:pt idx="60">
                  <c:v>Familia Arquibaldo</c:v>
                </c:pt>
                <c:pt idx="61">
                  <c:v>Comércio Mineiro</c:v>
                </c:pt>
                <c:pt idx="62">
                  <c:v>Drachenblut Delikatessen</c:v>
                </c:pt>
                <c:pt idx="63">
                  <c:v>Wolski  Zajazd</c:v>
                </c:pt>
                <c:pt idx="64">
                  <c:v>Océano Atlántico Ltda.</c:v>
                </c:pt>
                <c:pt idx="65">
                  <c:v>The Big Cheese</c:v>
                </c:pt>
                <c:pt idx="66">
                  <c:v>Blauer See Delikatessen</c:v>
                </c:pt>
                <c:pt idx="67">
                  <c:v>France restauration</c:v>
                </c:pt>
                <c:pt idx="68">
                  <c:v>Wilman Kala</c:v>
                </c:pt>
                <c:pt idx="69">
                  <c:v>Let's Stop N Shop</c:v>
                </c:pt>
                <c:pt idx="70">
                  <c:v>Hungry Coyote Import Store</c:v>
                </c:pt>
                <c:pt idx="71">
                  <c:v>Rancho grande</c:v>
                </c:pt>
                <c:pt idx="72">
                  <c:v>Spécialités du monde</c:v>
                </c:pt>
                <c:pt idx="73">
                  <c:v>La corne d'abondance</c:v>
                </c:pt>
                <c:pt idx="74">
                  <c:v>The Cracker Box</c:v>
                </c:pt>
                <c:pt idx="75">
                  <c:v>Cactus Comidas para llevar</c:v>
                </c:pt>
                <c:pt idx="76">
                  <c:v>Consolidated Holdings</c:v>
                </c:pt>
                <c:pt idx="77">
                  <c:v>Du monde entier</c:v>
                </c:pt>
                <c:pt idx="78">
                  <c:v>Trail's Head Gourmet Provisioners</c:v>
                </c:pt>
                <c:pt idx="79">
                  <c:v>Franchi S.p.A.</c:v>
                </c:pt>
                <c:pt idx="80">
                  <c:v>GROSELLA-Restaurante</c:v>
                </c:pt>
                <c:pt idx="81">
                  <c:v>Vins et alcools Chevalier</c:v>
                </c:pt>
                <c:pt idx="82">
                  <c:v>Romero y tomillo</c:v>
                </c:pt>
                <c:pt idx="83">
                  <c:v>Ana Trujillo Emparedados y helados</c:v>
                </c:pt>
                <c:pt idx="84">
                  <c:v>Galería del gastrónomo</c:v>
                </c:pt>
                <c:pt idx="85">
                  <c:v>North/South</c:v>
                </c:pt>
                <c:pt idx="86">
                  <c:v>Laughing Bacchus Wine Cellars</c:v>
                </c:pt>
                <c:pt idx="87">
                  <c:v>Lazy K Kountry Store</c:v>
                </c:pt>
                <c:pt idx="88">
                  <c:v>Centro comercial Moctezuma</c:v>
                </c:pt>
              </c:strCache>
            </c:strRef>
          </c:cat>
          <c:val>
            <c:numRef>
              <c:f>'Pivot Table'!$B$143:$B$232</c:f>
              <c:numCache>
                <c:formatCode>[$$-409]#,##0_ ;\-[$$-409]#,##0\ </c:formatCode>
                <c:ptCount val="89"/>
                <c:pt idx="0">
                  <c:v>110277.30500000001</c:v>
                </c:pt>
                <c:pt idx="1">
                  <c:v>104874.9785</c:v>
                </c:pt>
                <c:pt idx="2">
                  <c:v>104361.95</c:v>
                </c:pt>
                <c:pt idx="3">
                  <c:v>51097.800500000005</c:v>
                </c:pt>
                <c:pt idx="4">
                  <c:v>49979.904999999999</c:v>
                </c:pt>
                <c:pt idx="5">
                  <c:v>32841.369999999995</c:v>
                </c:pt>
                <c:pt idx="6">
                  <c:v>30908.384000000002</c:v>
                </c:pt>
                <c:pt idx="7">
                  <c:v>29567.5625</c:v>
                </c:pt>
                <c:pt idx="8">
                  <c:v>28872.190000000002</c:v>
                </c:pt>
                <c:pt idx="9">
                  <c:v>27363.605000000003</c:v>
                </c:pt>
                <c:pt idx="10">
                  <c:v>26656.559500000003</c:v>
                </c:pt>
                <c:pt idx="11">
                  <c:v>25717.497500000005</c:v>
                </c:pt>
                <c:pt idx="12">
                  <c:v>24927.577500000003</c:v>
                </c:pt>
                <c:pt idx="13">
                  <c:v>24088.78</c:v>
                </c:pt>
                <c:pt idx="14">
                  <c:v>23128.86</c:v>
                </c:pt>
                <c:pt idx="15">
                  <c:v>22768.764000000003</c:v>
                </c:pt>
                <c:pt idx="16">
                  <c:v>21963.252500000002</c:v>
                </c:pt>
                <c:pt idx="17">
                  <c:v>20801.599999999999</c:v>
                </c:pt>
                <c:pt idx="18">
                  <c:v>19343.778999999999</c:v>
                </c:pt>
                <c:pt idx="19">
                  <c:v>19261.41</c:v>
                </c:pt>
                <c:pt idx="20">
                  <c:v>18534.080000000002</c:v>
                </c:pt>
                <c:pt idx="21">
                  <c:v>18507.45</c:v>
                </c:pt>
                <c:pt idx="22">
                  <c:v>16817.0975</c:v>
                </c:pt>
                <c:pt idx="23">
                  <c:v>16476.565000000002</c:v>
                </c:pt>
                <c:pt idx="24">
                  <c:v>16215.324999999999</c:v>
                </c:pt>
                <c:pt idx="25">
                  <c:v>16076.599999999999</c:v>
                </c:pt>
                <c:pt idx="26">
                  <c:v>15843.924999999999</c:v>
                </c:pt>
                <c:pt idx="27">
                  <c:v>15648.702499999999</c:v>
                </c:pt>
                <c:pt idx="28">
                  <c:v>15177.4625</c:v>
                </c:pt>
                <c:pt idx="29">
                  <c:v>14761.035</c:v>
                </c:pt>
                <c:pt idx="30">
                  <c:v>13390.650000000001</c:v>
                </c:pt>
                <c:pt idx="31">
                  <c:v>12496.2</c:v>
                </c:pt>
                <c:pt idx="32">
                  <c:v>12450.8</c:v>
                </c:pt>
                <c:pt idx="33">
                  <c:v>12348.88</c:v>
                </c:pt>
                <c:pt idx="34">
                  <c:v>11666.9</c:v>
                </c:pt>
                <c:pt idx="35">
                  <c:v>11446.36</c:v>
                </c:pt>
                <c:pt idx="36">
                  <c:v>11441.630000000001</c:v>
                </c:pt>
                <c:pt idx="37">
                  <c:v>10812.150000000001</c:v>
                </c:pt>
                <c:pt idx="38">
                  <c:v>9736.0749999999989</c:v>
                </c:pt>
                <c:pt idx="39">
                  <c:v>9588.4249999999993</c:v>
                </c:pt>
                <c:pt idx="40">
                  <c:v>9328.1999999999989</c:v>
                </c:pt>
                <c:pt idx="41">
                  <c:v>9182.43</c:v>
                </c:pt>
                <c:pt idx="42">
                  <c:v>8414.1350000000002</c:v>
                </c:pt>
                <c:pt idx="43">
                  <c:v>7176.2150000000001</c:v>
                </c:pt>
                <c:pt idx="44">
                  <c:v>7048.24</c:v>
                </c:pt>
                <c:pt idx="45">
                  <c:v>7023.9775</c:v>
                </c:pt>
                <c:pt idx="46">
                  <c:v>6850.6639999999998</c:v>
                </c:pt>
                <c:pt idx="47">
                  <c:v>6664.8100000000013</c:v>
                </c:pt>
                <c:pt idx="48">
                  <c:v>6427.4225000000006</c:v>
                </c:pt>
                <c:pt idx="49">
                  <c:v>6146.3</c:v>
                </c:pt>
                <c:pt idx="50">
                  <c:v>6089.9</c:v>
                </c:pt>
                <c:pt idx="51">
                  <c:v>6068.2000000000007</c:v>
                </c:pt>
                <c:pt idx="52">
                  <c:v>5735.1500000000005</c:v>
                </c:pt>
                <c:pt idx="53">
                  <c:v>5044.9400000000005</c:v>
                </c:pt>
                <c:pt idx="54">
                  <c:v>5042.2</c:v>
                </c:pt>
                <c:pt idx="55">
                  <c:v>4778.1400000000003</c:v>
                </c:pt>
                <c:pt idx="56">
                  <c:v>4273</c:v>
                </c:pt>
                <c:pt idx="57">
                  <c:v>4258.6000000000004</c:v>
                </c:pt>
                <c:pt idx="58">
                  <c:v>4242.2</c:v>
                </c:pt>
                <c:pt idx="59">
                  <c:v>4232.8500000000004</c:v>
                </c:pt>
                <c:pt idx="60">
                  <c:v>4107.55</c:v>
                </c:pt>
                <c:pt idx="61">
                  <c:v>3810.75</c:v>
                </c:pt>
                <c:pt idx="62">
                  <c:v>3763.21</c:v>
                </c:pt>
                <c:pt idx="63">
                  <c:v>3531.95</c:v>
                </c:pt>
                <c:pt idx="64">
                  <c:v>3460.2</c:v>
                </c:pt>
                <c:pt idx="65">
                  <c:v>3361</c:v>
                </c:pt>
                <c:pt idx="66">
                  <c:v>3239.8</c:v>
                </c:pt>
                <c:pt idx="67">
                  <c:v>3172.16</c:v>
                </c:pt>
                <c:pt idx="68">
                  <c:v>3161.35</c:v>
                </c:pt>
                <c:pt idx="69">
                  <c:v>3076.4724999999999</c:v>
                </c:pt>
                <c:pt idx="70">
                  <c:v>3063.2</c:v>
                </c:pt>
                <c:pt idx="71">
                  <c:v>2844.1000000000004</c:v>
                </c:pt>
                <c:pt idx="72">
                  <c:v>2423.35</c:v>
                </c:pt>
                <c:pt idx="73">
                  <c:v>1992.05</c:v>
                </c:pt>
                <c:pt idx="74">
                  <c:v>1947.24</c:v>
                </c:pt>
                <c:pt idx="75">
                  <c:v>1814.8</c:v>
                </c:pt>
                <c:pt idx="76">
                  <c:v>1719.1</c:v>
                </c:pt>
                <c:pt idx="77">
                  <c:v>1615.9</c:v>
                </c:pt>
                <c:pt idx="78">
                  <c:v>1571.1999999999998</c:v>
                </c:pt>
                <c:pt idx="79">
                  <c:v>1545.7</c:v>
                </c:pt>
                <c:pt idx="80">
                  <c:v>1488.7</c:v>
                </c:pt>
                <c:pt idx="81">
                  <c:v>1480</c:v>
                </c:pt>
                <c:pt idx="82">
                  <c:v>1467.29</c:v>
                </c:pt>
                <c:pt idx="83">
                  <c:v>1402.9499999999998</c:v>
                </c:pt>
                <c:pt idx="84">
                  <c:v>836.7</c:v>
                </c:pt>
                <c:pt idx="85">
                  <c:v>649</c:v>
                </c:pt>
                <c:pt idx="86">
                  <c:v>522.5</c:v>
                </c:pt>
                <c:pt idx="87">
                  <c:v>357</c:v>
                </c:pt>
                <c:pt idx="88">
                  <c:v>100.8</c:v>
                </c:pt>
              </c:numCache>
            </c:numRef>
          </c:val>
          <c:extLst>
            <c:ext xmlns:c16="http://schemas.microsoft.com/office/drawing/2014/chart" uri="{C3380CC4-5D6E-409C-BE32-E72D297353CC}">
              <c16:uniqueId val="{00000000-499C-4FE3-914C-171A91BAA679}"/>
            </c:ext>
          </c:extLst>
        </c:ser>
        <c:dLbls>
          <c:showLegendKey val="0"/>
          <c:showVal val="0"/>
          <c:showCatName val="0"/>
          <c:showSerName val="0"/>
          <c:showPercent val="0"/>
          <c:showBubbleSize val="0"/>
        </c:dLbls>
        <c:gapWidth val="150"/>
        <c:overlap val="100"/>
        <c:axId val="1438996880"/>
        <c:axId val="1438987760"/>
      </c:barChart>
      <c:catAx>
        <c:axId val="143899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87760"/>
        <c:crosses val="autoZero"/>
        <c:auto val="1"/>
        <c:lblAlgn val="ctr"/>
        <c:lblOffset val="100"/>
        <c:noMultiLvlLbl val="0"/>
      </c:catAx>
      <c:valAx>
        <c:axId val="1438987760"/>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9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EMPLOYEE PERFORMANCE TO</a:t>
            </a:r>
          </a:p>
          <a:p>
            <a:pPr>
              <a:defRPr/>
            </a:pPr>
            <a:r>
              <a:rPr lang="en-US" sz="1400" b="1" i="0" u="none" strike="noStrike" kern="1200" spc="0" baseline="0">
                <a:solidFill>
                  <a:sysClr val="windowText" lastClr="000000">
                    <a:lumMod val="65000"/>
                    <a:lumOff val="35000"/>
                  </a:sysClr>
                </a:solidFill>
              </a:rPr>
              <a:t>TOTAL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Table'!$B$235</c:f>
              <c:strCache>
                <c:ptCount val="1"/>
                <c:pt idx="0">
                  <c:v>Total</c:v>
                </c:pt>
              </c:strCache>
            </c:strRef>
          </c:tx>
          <c:spPr>
            <a:solidFill>
              <a:schemeClr val="accent1"/>
            </a:solidFill>
            <a:ln>
              <a:noFill/>
            </a:ln>
            <a:effectLst/>
          </c:spPr>
          <c:invertIfNegative val="0"/>
          <c:cat>
            <c:strRef>
              <c:f>'Pivot Table'!$A$236:$A$245</c:f>
              <c:strCache>
                <c:ptCount val="9"/>
                <c:pt idx="0">
                  <c:v>Margaret Peacock</c:v>
                </c:pt>
                <c:pt idx="1">
                  <c:v>Janet Leverling</c:v>
                </c:pt>
                <c:pt idx="2">
                  <c:v>Nancy Davolio</c:v>
                </c:pt>
                <c:pt idx="3">
                  <c:v>Andrew Fuller</c:v>
                </c:pt>
                <c:pt idx="4">
                  <c:v>Laura Callahan</c:v>
                </c:pt>
                <c:pt idx="5">
                  <c:v>Robert King</c:v>
                </c:pt>
                <c:pt idx="6">
                  <c:v>Anne Dodsworth</c:v>
                </c:pt>
                <c:pt idx="7">
                  <c:v>Michael Suyama</c:v>
                </c:pt>
                <c:pt idx="8">
                  <c:v>Steven Buchanan</c:v>
                </c:pt>
              </c:strCache>
            </c:strRef>
          </c:cat>
          <c:val>
            <c:numRef>
              <c:f>'Pivot Table'!$B$236:$B$245</c:f>
              <c:numCache>
                <c:formatCode>[$$-409]#,##0_ ;\-[$$-409]#,##0\ </c:formatCode>
                <c:ptCount val="9"/>
                <c:pt idx="0">
                  <c:v>232890.84600000002</c:v>
                </c:pt>
                <c:pt idx="1">
                  <c:v>202812.84299999996</c:v>
                </c:pt>
                <c:pt idx="2">
                  <c:v>192107.60449999999</c:v>
                </c:pt>
                <c:pt idx="3">
                  <c:v>166537.75500000003</c:v>
                </c:pt>
                <c:pt idx="4">
                  <c:v>126862.27749999998</c:v>
                </c:pt>
                <c:pt idx="5">
                  <c:v>124568.23500000002</c:v>
                </c:pt>
                <c:pt idx="6">
                  <c:v>77308.066500000015</c:v>
                </c:pt>
                <c:pt idx="7">
                  <c:v>73913.12950000001</c:v>
                </c:pt>
                <c:pt idx="8">
                  <c:v>68792.282500000001</c:v>
                </c:pt>
              </c:numCache>
            </c:numRef>
          </c:val>
          <c:extLst>
            <c:ext xmlns:c16="http://schemas.microsoft.com/office/drawing/2014/chart" uri="{C3380CC4-5D6E-409C-BE32-E72D297353CC}">
              <c16:uniqueId val="{00000000-8A12-4093-B4BE-7DB8E3F5E95A}"/>
            </c:ext>
          </c:extLst>
        </c:ser>
        <c:dLbls>
          <c:showLegendKey val="0"/>
          <c:showVal val="0"/>
          <c:showCatName val="0"/>
          <c:showSerName val="0"/>
          <c:showPercent val="0"/>
          <c:showBubbleSize val="0"/>
        </c:dLbls>
        <c:gapWidth val="150"/>
        <c:overlap val="100"/>
        <c:axId val="1439035280"/>
        <c:axId val="1439032400"/>
      </c:barChart>
      <c:catAx>
        <c:axId val="14390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032400"/>
        <c:crosses val="autoZero"/>
        <c:auto val="1"/>
        <c:lblAlgn val="ctr"/>
        <c:lblOffset val="100"/>
        <c:noMultiLvlLbl val="0"/>
      </c:catAx>
      <c:valAx>
        <c:axId val="1439032400"/>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03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CUSTOMER PURCHASE VOLUME:</a:t>
            </a:r>
          </a:p>
          <a:p>
            <a:pPr>
              <a:defRPr/>
            </a:pPr>
            <a:r>
              <a:rPr lang="en-US" sz="1400" b="1" i="0" u="none" strike="noStrike" kern="1200" spc="0" baseline="0">
                <a:solidFill>
                  <a:sysClr val="windowText" lastClr="000000">
                    <a:lumMod val="65000"/>
                    <a:lumOff val="35000"/>
                  </a:sysClr>
                </a:solidFill>
              </a:rPr>
              <a:t>DISCOUNT Vs QUANTITY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Table'!$B$250</c:f>
              <c:strCache>
                <c:ptCount val="1"/>
                <c:pt idx="0">
                  <c:v>Total</c:v>
                </c:pt>
              </c:strCache>
            </c:strRef>
          </c:tx>
          <c:spPr>
            <a:solidFill>
              <a:schemeClr val="accent1"/>
            </a:solidFill>
            <a:ln>
              <a:noFill/>
            </a:ln>
            <a:effectLst/>
          </c:spPr>
          <c:invertIfNegative val="0"/>
          <c:cat>
            <c:strRef>
              <c:f>'Pivot Table'!$A$251:$A$340</c:f>
              <c:strCache>
                <c:ptCount val="89"/>
                <c:pt idx="0">
                  <c:v>Save-a-lot Markets</c:v>
                </c:pt>
                <c:pt idx="1">
                  <c:v>QUICK-Stop</c:v>
                </c:pt>
                <c:pt idx="2">
                  <c:v>Ernst Handel</c:v>
                </c:pt>
                <c:pt idx="3">
                  <c:v>Hungry Owl All-Night Grocers</c:v>
                </c:pt>
                <c:pt idx="4">
                  <c:v>La maison d'Asie</c:v>
                </c:pt>
                <c:pt idx="5">
                  <c:v>Folk och fä HB</c:v>
                </c:pt>
                <c:pt idx="6">
                  <c:v>Lehmanns Marktstand</c:v>
                </c:pt>
                <c:pt idx="7">
                  <c:v>Rattlesnake Canyon Grocery</c:v>
                </c:pt>
                <c:pt idx="8">
                  <c:v>LILA-Supermercado</c:v>
                </c:pt>
                <c:pt idx="9">
                  <c:v>Bottom-Dollar Markets</c:v>
                </c:pt>
                <c:pt idx="10">
                  <c:v>Reggiani Caseifici</c:v>
                </c:pt>
                <c:pt idx="11">
                  <c:v>Piccolo und mehr</c:v>
                </c:pt>
                <c:pt idx="12">
                  <c:v>LINO-Delicateses</c:v>
                </c:pt>
                <c:pt idx="13">
                  <c:v>Die Wandernde Kuh</c:v>
                </c:pt>
                <c:pt idx="14">
                  <c:v>Victuailles en stock</c:v>
                </c:pt>
                <c:pt idx="15">
                  <c:v>Queen Cozinha</c:v>
                </c:pt>
                <c:pt idx="16">
                  <c:v>Bon app'</c:v>
                </c:pt>
                <c:pt idx="17">
                  <c:v>Hanari Carnes</c:v>
                </c:pt>
                <c:pt idx="18">
                  <c:v>Gourmet Lanchonetes</c:v>
                </c:pt>
                <c:pt idx="19">
                  <c:v>Berglunds snabbköp</c:v>
                </c:pt>
                <c:pt idx="20">
                  <c:v>Furia Bacalhau e Frutos do Mar</c:v>
                </c:pt>
                <c:pt idx="21">
                  <c:v>HILARION-Abastos</c:v>
                </c:pt>
                <c:pt idx="22">
                  <c:v>Seven Seas Imports</c:v>
                </c:pt>
                <c:pt idx="23">
                  <c:v>Wartian Herkku</c:v>
                </c:pt>
                <c:pt idx="24">
                  <c:v>Frankenversand</c:v>
                </c:pt>
                <c:pt idx="25">
                  <c:v>Vaffeljernet</c:v>
                </c:pt>
                <c:pt idx="26">
                  <c:v>Mère Paillarde</c:v>
                </c:pt>
                <c:pt idx="27">
                  <c:v>White Clover Markets</c:v>
                </c:pt>
                <c:pt idx="28">
                  <c:v>Great Lakes Food Market</c:v>
                </c:pt>
                <c:pt idx="29">
                  <c:v>Königlich Essen</c:v>
                </c:pt>
                <c:pt idx="30">
                  <c:v>Ricardo Adocicados</c:v>
                </c:pt>
                <c:pt idx="31">
                  <c:v>Ottilies Käseladen</c:v>
                </c:pt>
                <c:pt idx="32">
                  <c:v>Richter Supermarkt</c:v>
                </c:pt>
                <c:pt idx="33">
                  <c:v>Chop-suey Chinese</c:v>
                </c:pt>
                <c:pt idx="34">
                  <c:v>Old World Delicatessen</c:v>
                </c:pt>
                <c:pt idx="35">
                  <c:v>Wellington Importadora</c:v>
                </c:pt>
                <c:pt idx="36">
                  <c:v>Toms Spezialitäten</c:v>
                </c:pt>
                <c:pt idx="37">
                  <c:v>Que Delícia</c:v>
                </c:pt>
                <c:pt idx="38">
                  <c:v>Simons bistro</c:v>
                </c:pt>
                <c:pt idx="39">
                  <c:v>Split Rail Beer &amp; Ale</c:v>
                </c:pt>
                <c:pt idx="40">
                  <c:v>Bólido Comidas preparadas</c:v>
                </c:pt>
                <c:pt idx="41">
                  <c:v>Maison Dewey</c:v>
                </c:pt>
                <c:pt idx="42">
                  <c:v>Familia Arquibaldo</c:v>
                </c:pt>
                <c:pt idx="43">
                  <c:v>Around the Horn</c:v>
                </c:pt>
                <c:pt idx="44">
                  <c:v>Suprêmes délices</c:v>
                </c:pt>
                <c:pt idx="45">
                  <c:v>Antonio Moreno Taquería</c:v>
                </c:pt>
                <c:pt idx="46">
                  <c:v>Tradição Hipermercados</c:v>
                </c:pt>
                <c:pt idx="47">
                  <c:v>Let's Stop N Shop</c:v>
                </c:pt>
                <c:pt idx="48">
                  <c:v>Magazzini Alimentari Riuniti</c:v>
                </c:pt>
                <c:pt idx="49">
                  <c:v>Alfreds Futterkiste</c:v>
                </c:pt>
                <c:pt idx="50">
                  <c:v>Eastern Connection</c:v>
                </c:pt>
                <c:pt idx="51">
                  <c:v>Godos Cocina Típica</c:v>
                </c:pt>
                <c:pt idx="52">
                  <c:v>Princesa Isabel Vinhos</c:v>
                </c:pt>
                <c:pt idx="53">
                  <c:v>Blondesddsl père et fils</c:v>
                </c:pt>
                <c:pt idx="54">
                  <c:v>Du monde entier</c:v>
                </c:pt>
                <c:pt idx="55">
                  <c:v>Franchi S.p.A.</c:v>
                </c:pt>
                <c:pt idx="56">
                  <c:v>Centro comercial Moctezuma</c:v>
                </c:pt>
                <c:pt idx="57">
                  <c:v>Ana Trujillo Emparedados y helados</c:v>
                </c:pt>
                <c:pt idx="58">
                  <c:v>Wilman Kala</c:v>
                </c:pt>
                <c:pt idx="59">
                  <c:v>Pericles Comidas clásicas</c:v>
                </c:pt>
                <c:pt idx="60">
                  <c:v>Océano Atlántico Ltda.</c:v>
                </c:pt>
                <c:pt idx="61">
                  <c:v>Galería del gastrónomo</c:v>
                </c:pt>
                <c:pt idx="62">
                  <c:v>Lazy K Kountry Store</c:v>
                </c:pt>
                <c:pt idx="63">
                  <c:v>Morgenstern Gesundkost</c:v>
                </c:pt>
                <c:pt idx="64">
                  <c:v>Cactus Comidas para llevar</c:v>
                </c:pt>
                <c:pt idx="65">
                  <c:v>North/South</c:v>
                </c:pt>
                <c:pt idx="66">
                  <c:v>France restauration</c:v>
                </c:pt>
                <c:pt idx="67">
                  <c:v>Comércio Mineiro</c:v>
                </c:pt>
                <c:pt idx="68">
                  <c:v>Island Trading</c:v>
                </c:pt>
                <c:pt idx="69">
                  <c:v>La corne d'abondance</c:v>
                </c:pt>
                <c:pt idx="70">
                  <c:v>Spécialités du monde</c:v>
                </c:pt>
                <c:pt idx="71">
                  <c:v>The Big Cheese</c:v>
                </c:pt>
                <c:pt idx="72">
                  <c:v>Laughing Bacchus Wine Cellars</c:v>
                </c:pt>
                <c:pt idx="73">
                  <c:v>Consolidated Holdings</c:v>
                </c:pt>
                <c:pt idx="74">
                  <c:v>The Cracker Box</c:v>
                </c:pt>
                <c:pt idx="75">
                  <c:v>Rancho grande</c:v>
                </c:pt>
                <c:pt idx="76">
                  <c:v>Tortuga Restaurante</c:v>
                </c:pt>
                <c:pt idx="77">
                  <c:v>GROSELLA-Restaurante</c:v>
                </c:pt>
                <c:pt idx="78">
                  <c:v>Trail's Head Gourmet Provisioners</c:v>
                </c:pt>
                <c:pt idx="79">
                  <c:v>B's Beverages</c:v>
                </c:pt>
                <c:pt idx="80">
                  <c:v>Vins et alcools Chevalier</c:v>
                </c:pt>
                <c:pt idx="81">
                  <c:v>Blauer See Delikatessen</c:v>
                </c:pt>
                <c:pt idx="82">
                  <c:v>Folies gourmandes</c:v>
                </c:pt>
                <c:pt idx="83">
                  <c:v>Drachenblut Delikatessen</c:v>
                </c:pt>
                <c:pt idx="84">
                  <c:v>Lonesome Pine Restaurant</c:v>
                </c:pt>
                <c:pt idx="85">
                  <c:v>Hungry Coyote Import Store</c:v>
                </c:pt>
                <c:pt idx="86">
                  <c:v>Wolski  Zajazd</c:v>
                </c:pt>
                <c:pt idx="87">
                  <c:v>Romero y tomillo</c:v>
                </c:pt>
                <c:pt idx="88">
                  <c:v>Santé Gourmet</c:v>
                </c:pt>
              </c:strCache>
            </c:strRef>
          </c:cat>
          <c:val>
            <c:numRef>
              <c:f>'Pivot Table'!$B$251:$B$340</c:f>
              <c:numCache>
                <c:formatCode>0%</c:formatCode>
                <c:ptCount val="89"/>
                <c:pt idx="0">
                  <c:v>4.8245614035087724E-2</c:v>
                </c:pt>
                <c:pt idx="1">
                  <c:v>4.7149122807017566E-2</c:v>
                </c:pt>
                <c:pt idx="2">
                  <c:v>4.7149122807017559E-2</c:v>
                </c:pt>
                <c:pt idx="3">
                  <c:v>4.4956140350877201E-2</c:v>
                </c:pt>
                <c:pt idx="4">
                  <c:v>4.2763157894736857E-2</c:v>
                </c:pt>
                <c:pt idx="5">
                  <c:v>4.0570175438596499E-2</c:v>
                </c:pt>
                <c:pt idx="6">
                  <c:v>3.0701754385964918E-2</c:v>
                </c:pt>
                <c:pt idx="7">
                  <c:v>2.9605263157894742E-2</c:v>
                </c:pt>
                <c:pt idx="8">
                  <c:v>2.850877192982457E-2</c:v>
                </c:pt>
                <c:pt idx="9">
                  <c:v>2.7412280701754395E-2</c:v>
                </c:pt>
                <c:pt idx="10">
                  <c:v>2.5219298245614044E-2</c:v>
                </c:pt>
                <c:pt idx="11">
                  <c:v>2.3026315789473693E-2</c:v>
                </c:pt>
                <c:pt idx="12">
                  <c:v>2.3026315789473693E-2</c:v>
                </c:pt>
                <c:pt idx="13">
                  <c:v>2.3026315789473686E-2</c:v>
                </c:pt>
                <c:pt idx="14">
                  <c:v>2.1929824561403514E-2</c:v>
                </c:pt>
                <c:pt idx="15">
                  <c:v>2.0833333333333339E-2</c:v>
                </c:pt>
                <c:pt idx="16">
                  <c:v>2.0833333333333339E-2</c:v>
                </c:pt>
                <c:pt idx="17">
                  <c:v>2.0833333333333339E-2</c:v>
                </c:pt>
                <c:pt idx="18">
                  <c:v>2.0833333333333339E-2</c:v>
                </c:pt>
                <c:pt idx="19">
                  <c:v>1.9736842105263164E-2</c:v>
                </c:pt>
                <c:pt idx="20">
                  <c:v>1.9736842105263164E-2</c:v>
                </c:pt>
                <c:pt idx="21">
                  <c:v>1.8640350877192988E-2</c:v>
                </c:pt>
                <c:pt idx="22">
                  <c:v>1.7543859649122813E-2</c:v>
                </c:pt>
                <c:pt idx="23">
                  <c:v>1.6447368421052638E-2</c:v>
                </c:pt>
                <c:pt idx="24">
                  <c:v>1.5350877192982462E-2</c:v>
                </c:pt>
                <c:pt idx="25">
                  <c:v>1.4254385964912287E-2</c:v>
                </c:pt>
                <c:pt idx="26">
                  <c:v>1.4254385964912287E-2</c:v>
                </c:pt>
                <c:pt idx="27">
                  <c:v>1.4254385964912285E-2</c:v>
                </c:pt>
                <c:pt idx="28">
                  <c:v>1.4254385964912285E-2</c:v>
                </c:pt>
                <c:pt idx="29">
                  <c:v>1.4254385964912285E-2</c:v>
                </c:pt>
                <c:pt idx="30">
                  <c:v>1.4254385964912283E-2</c:v>
                </c:pt>
                <c:pt idx="31">
                  <c:v>1.4254385964912283E-2</c:v>
                </c:pt>
                <c:pt idx="32">
                  <c:v>1.3157894736842111E-2</c:v>
                </c:pt>
                <c:pt idx="33">
                  <c:v>1.3157894736842108E-2</c:v>
                </c:pt>
                <c:pt idx="34">
                  <c:v>1.3157894736842108E-2</c:v>
                </c:pt>
                <c:pt idx="35">
                  <c:v>1.2061403508771934E-2</c:v>
                </c:pt>
                <c:pt idx="36">
                  <c:v>1.2061403508771934E-2</c:v>
                </c:pt>
                <c:pt idx="37">
                  <c:v>1.2061403508771934E-2</c:v>
                </c:pt>
                <c:pt idx="38">
                  <c:v>1.0964912280701757E-2</c:v>
                </c:pt>
                <c:pt idx="39">
                  <c:v>9.8684210526315819E-3</c:v>
                </c:pt>
                <c:pt idx="40">
                  <c:v>9.8684210526315819E-3</c:v>
                </c:pt>
                <c:pt idx="41">
                  <c:v>9.8684210526315801E-3</c:v>
                </c:pt>
                <c:pt idx="42">
                  <c:v>8.7719298245614065E-3</c:v>
                </c:pt>
                <c:pt idx="43">
                  <c:v>8.7719298245614065E-3</c:v>
                </c:pt>
                <c:pt idx="44">
                  <c:v>8.7719298245614065E-3</c:v>
                </c:pt>
                <c:pt idx="45">
                  <c:v>8.7719298245614065E-3</c:v>
                </c:pt>
                <c:pt idx="46">
                  <c:v>8.7719298245614065E-3</c:v>
                </c:pt>
                <c:pt idx="47">
                  <c:v>8.7719298245614048E-3</c:v>
                </c:pt>
                <c:pt idx="48">
                  <c:v>7.6754385964912294E-3</c:v>
                </c:pt>
                <c:pt idx="49">
                  <c:v>7.6754385964912294E-3</c:v>
                </c:pt>
                <c:pt idx="50">
                  <c:v>5.4824561403508786E-3</c:v>
                </c:pt>
                <c:pt idx="51">
                  <c:v>5.4824561403508786E-3</c:v>
                </c:pt>
                <c:pt idx="52">
                  <c:v>5.4824561403508786E-3</c:v>
                </c:pt>
                <c:pt idx="53">
                  <c:v>5.4824561403508786E-3</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numCache>
            </c:numRef>
          </c:val>
          <c:extLst>
            <c:ext xmlns:c16="http://schemas.microsoft.com/office/drawing/2014/chart" uri="{C3380CC4-5D6E-409C-BE32-E72D297353CC}">
              <c16:uniqueId val="{00000000-B4A9-4C8C-9226-030ACD3212C5}"/>
            </c:ext>
          </c:extLst>
        </c:ser>
        <c:dLbls>
          <c:showLegendKey val="0"/>
          <c:showVal val="0"/>
          <c:showCatName val="0"/>
          <c:showSerName val="0"/>
          <c:showPercent val="0"/>
          <c:showBubbleSize val="0"/>
        </c:dLbls>
        <c:gapWidth val="219"/>
        <c:overlap val="-27"/>
        <c:axId val="1560743008"/>
        <c:axId val="1560725248"/>
      </c:barChart>
      <c:catAx>
        <c:axId val="156074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QUANTITY</a:t>
                </a:r>
                <a:r>
                  <a:rPr lang="en-US" sz="1200" b="1" baseline="0"/>
                  <a:t> PURCHASE BY CUSTOMERS</a:t>
                </a:r>
                <a:endParaRPr lang="en-US"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5248"/>
        <c:crosses val="autoZero"/>
        <c:auto val="1"/>
        <c:lblAlgn val="ctr"/>
        <c:lblOffset val="100"/>
        <c:noMultiLvlLbl val="0"/>
      </c:catAx>
      <c:valAx>
        <c:axId val="156072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4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baseline="0">
                <a:solidFill>
                  <a:srgbClr val="0E2841"/>
                </a:solidFill>
              </a:rPr>
              <a:t>SHARE OF TOTAL UNIT PRICE</a:t>
            </a:r>
          </a:p>
          <a:p>
            <a:pPr>
              <a:defRPr/>
            </a:pPr>
            <a:r>
              <a:rPr lang="en-US" sz="1400" b="1" i="0" u="none" strike="noStrike" kern="1200" baseline="0">
                <a:solidFill>
                  <a:srgbClr val="0E2841"/>
                </a:solidFill>
              </a:rPr>
              <a:t> BY DELIVERY STATUS</a:t>
            </a:r>
          </a:p>
        </c:rich>
      </c:tx>
      <c:layout>
        <c:manualLayout>
          <c:xMode val="edge"/>
          <c:yMode val="edge"/>
          <c:x val="0.20746007042791692"/>
          <c:y val="5.18256772673733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0643167242648799"/>
              <c:y val="-4.2402826855123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2799916059044942"/>
              <c:y val="-7.5382803297997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22491809085274064"/>
              <c:y val="1.884570082449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2491809085274064"/>
              <c:y val="1.884570082449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2799916059044942"/>
              <c:y val="-7.5382803297997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643167242648799"/>
              <c:y val="-4.2402826855123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2491809085274064"/>
              <c:y val="1.8845700824499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2799916059044942"/>
              <c:y val="-7.538280329799763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643167242648799"/>
              <c:y val="-4.24028268551236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D7-4D9B-9840-CEE3B71D4D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D7-4D9B-9840-CEE3B71D4D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D7-4D9B-9840-CEE3B71D4DA9}"/>
              </c:ext>
            </c:extLst>
          </c:dPt>
          <c:dLbls>
            <c:dLbl>
              <c:idx val="0"/>
              <c:layout>
                <c:manualLayout>
                  <c:x val="0.22491809085274064"/>
                  <c:y val="1.8845700824499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D7-4D9B-9840-CEE3B71D4DA9}"/>
                </c:ext>
              </c:extLst>
            </c:dLbl>
            <c:dLbl>
              <c:idx val="1"/>
              <c:layout>
                <c:manualLayout>
                  <c:x val="0.22799916059044942"/>
                  <c:y val="-7.53828032979976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D7-4D9B-9840-CEE3B71D4DA9}"/>
                </c:ext>
              </c:extLst>
            </c:dLbl>
            <c:dLbl>
              <c:idx val="2"/>
              <c:layout>
                <c:manualLayout>
                  <c:x val="-0.20643167242648799"/>
                  <c:y val="-4.24028268551236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9D7-4D9B-9840-CEE3B71D4DA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Table'!$A$4:$A$7</c:f>
              <c:strCache>
                <c:ptCount val="3"/>
                <c:pt idx="0">
                  <c:v>On Time</c:v>
                </c:pt>
                <c:pt idx="1">
                  <c:v>Pending</c:v>
                </c:pt>
                <c:pt idx="2">
                  <c:v>Late</c:v>
                </c:pt>
              </c:strCache>
            </c:strRef>
          </c:cat>
          <c:val>
            <c:numRef>
              <c:f>'Pivot Table'!$B$4:$B$7</c:f>
              <c:numCache>
                <c:formatCode>0%</c:formatCode>
                <c:ptCount val="3"/>
                <c:pt idx="0">
                  <c:v>0.96835981905634672</c:v>
                </c:pt>
                <c:pt idx="1">
                  <c:v>2.0046771090079067E-2</c:v>
                </c:pt>
                <c:pt idx="2">
                  <c:v>1.1593409853574266E-2</c:v>
                </c:pt>
              </c:numCache>
            </c:numRef>
          </c:val>
          <c:extLst>
            <c:ext xmlns:c16="http://schemas.microsoft.com/office/drawing/2014/chart" uri="{C3380CC4-5D6E-409C-BE32-E72D297353CC}">
              <c16:uniqueId val="{00000006-F9D7-4D9B-9840-CEE3B71D4D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NUMBER OF PRODUCTS</a:t>
            </a:r>
          </a:p>
          <a:p>
            <a:pPr>
              <a:defRPr/>
            </a:pPr>
            <a:r>
              <a:rPr lang="en-US" sz="1400" b="1" i="0" u="none" strike="noStrike" kern="1200" spc="0" baseline="0">
                <a:solidFill>
                  <a:sysClr val="windowText" lastClr="000000">
                    <a:lumMod val="65000"/>
                    <a:lumOff val="35000"/>
                  </a:sysClr>
                </a:solidFill>
              </a:rPr>
              <a:t> BASED ON THEIR AVAILABILITY</a:t>
            </a:r>
          </a:p>
          <a:p>
            <a:pPr>
              <a:defRPr/>
            </a:pPr>
            <a:endParaRPr lang="en-US"/>
          </a:p>
        </c:rich>
      </c:tx>
      <c:layout>
        <c:manualLayout>
          <c:xMode val="edge"/>
          <c:yMode val="edge"/>
          <c:x val="0.18334711286089239"/>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2894138232720904E-2"/>
              <c:y val="-1.78769320501603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866152668416448"/>
              <c:y val="-9.328083989501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866152668416448"/>
              <c:y val="-9.328083989501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2894138232720904E-2"/>
              <c:y val="-1.78769320501603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866152668416448"/>
              <c:y val="-9.328083989501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8.2894138232720904E-2"/>
              <c:y val="-1.78769320501603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4F-468E-B846-ABBF55E3FF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4F-468E-B846-ABBF55E3FF5F}"/>
              </c:ext>
            </c:extLst>
          </c:dPt>
          <c:dLbls>
            <c:dLbl>
              <c:idx val="0"/>
              <c:layout>
                <c:manualLayout>
                  <c:x val="0.13866152668416448"/>
                  <c:y val="-9.32808398950131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B4F-468E-B846-ABBF55E3FF5F}"/>
                </c:ext>
              </c:extLst>
            </c:dLbl>
            <c:dLbl>
              <c:idx val="1"/>
              <c:layout>
                <c:manualLayout>
                  <c:x val="-8.2894138232720904E-2"/>
                  <c:y val="-1.787693205016039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4F-468E-B846-ABBF55E3FF5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Table'!$A$26:$A$28</c:f>
              <c:strCache>
                <c:ptCount val="2"/>
                <c:pt idx="0">
                  <c:v>Available</c:v>
                </c:pt>
                <c:pt idx="1">
                  <c:v> Not Available</c:v>
                </c:pt>
              </c:strCache>
            </c:strRef>
          </c:cat>
          <c:val>
            <c:numRef>
              <c:f>'Pivot Table'!$B$26:$B$28</c:f>
              <c:numCache>
                <c:formatCode>0%</c:formatCode>
                <c:ptCount val="2"/>
                <c:pt idx="0">
                  <c:v>0.85385373340884119</c:v>
                </c:pt>
                <c:pt idx="1">
                  <c:v>0.14614626659115867</c:v>
                </c:pt>
              </c:numCache>
            </c:numRef>
          </c:val>
          <c:extLst>
            <c:ext xmlns:c16="http://schemas.microsoft.com/office/drawing/2014/chart" uri="{C3380CC4-5D6E-409C-BE32-E72D297353CC}">
              <c16:uniqueId val="{00000004-FB4F-468E-B846-ABBF55E3FF5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i="0" u="none" strike="noStrike" kern="1200" spc="0" baseline="0">
                <a:solidFill>
                  <a:sysClr val="windowText" lastClr="000000">
                    <a:lumMod val="65000"/>
                    <a:lumOff val="35000"/>
                  </a:sysClr>
                </a:solidFill>
              </a:rPr>
              <a:t>TOP SELLING PRODUCTS</a:t>
            </a:r>
            <a:endParaRPr lang="en-US"/>
          </a:p>
        </c:rich>
      </c:tx>
      <c:layout>
        <c:manualLayout>
          <c:xMode val="edge"/>
          <c:yMode val="edge"/>
          <c:x val="0.31657633420822395"/>
          <c:y val="4.51212714108426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Table'!$B$38</c:f>
              <c:strCache>
                <c:ptCount val="1"/>
                <c:pt idx="0">
                  <c:v>Total</c:v>
                </c:pt>
              </c:strCache>
            </c:strRef>
          </c:tx>
          <c:spPr>
            <a:solidFill>
              <a:schemeClr val="accent1"/>
            </a:solidFill>
            <a:ln>
              <a:noFill/>
            </a:ln>
            <a:effectLst/>
          </c:spPr>
          <c:invertIfNegative val="0"/>
          <c:cat>
            <c:strRef>
              <c:f>'Pivot Table'!$A$39:$A$116</c:f>
              <c:strCache>
                <c:ptCount val="77"/>
                <c:pt idx="0">
                  <c:v>Côte de Blaye</c:v>
                </c:pt>
                <c:pt idx="1">
                  <c:v>Thüringer Rostbratwurst</c:v>
                </c:pt>
                <c:pt idx="2">
                  <c:v>Raclette Courdavault</c:v>
                </c:pt>
                <c:pt idx="3">
                  <c:v>Tarte au sucre</c:v>
                </c:pt>
                <c:pt idx="4">
                  <c:v>Camembert Pierrot</c:v>
                </c:pt>
                <c:pt idx="5">
                  <c:v>Gnocchi di nonna Alice</c:v>
                </c:pt>
                <c:pt idx="6">
                  <c:v>Manjimup Dried Apples</c:v>
                </c:pt>
                <c:pt idx="7">
                  <c:v>Alice Mutton</c:v>
                </c:pt>
                <c:pt idx="8">
                  <c:v>Carnarvon Tigers</c:v>
                </c:pt>
                <c:pt idx="9">
                  <c:v>Rössle Sauerkraut</c:v>
                </c:pt>
                <c:pt idx="10">
                  <c:v>Mozzarella di Giovanni</c:v>
                </c:pt>
                <c:pt idx="11">
                  <c:v>Ipoh Coffee</c:v>
                </c:pt>
                <c:pt idx="12">
                  <c:v>Sir Rodney's Marmalade</c:v>
                </c:pt>
                <c:pt idx="13">
                  <c:v>Uncle Bob's Organic Dried Pears</c:v>
                </c:pt>
                <c:pt idx="14">
                  <c:v>Wimmers gute Semmelknödel</c:v>
                </c:pt>
                <c:pt idx="15">
                  <c:v>Gudbrandsdalsost</c:v>
                </c:pt>
                <c:pt idx="16">
                  <c:v>Ikura</c:v>
                </c:pt>
                <c:pt idx="17">
                  <c:v>Perth Pasties</c:v>
                </c:pt>
                <c:pt idx="18">
                  <c:v>Gumbär Gummibärchen</c:v>
                </c:pt>
                <c:pt idx="19">
                  <c:v>Flotemysost</c:v>
                </c:pt>
                <c:pt idx="20">
                  <c:v>Boston Crab Meat</c:v>
                </c:pt>
                <c:pt idx="21">
                  <c:v>Pâté chinois</c:v>
                </c:pt>
                <c:pt idx="22">
                  <c:v>Pavlova</c:v>
                </c:pt>
                <c:pt idx="23">
                  <c:v>Vegie-spread</c:v>
                </c:pt>
                <c:pt idx="24">
                  <c:v>Chang</c:v>
                </c:pt>
                <c:pt idx="25">
                  <c:v>Lakkaliköri</c:v>
                </c:pt>
                <c:pt idx="26">
                  <c:v>Schoggi Schokolade</c:v>
                </c:pt>
                <c:pt idx="27">
                  <c:v>Gorgonzola Telino</c:v>
                </c:pt>
                <c:pt idx="28">
                  <c:v>Sirop d'érable</c:v>
                </c:pt>
                <c:pt idx="29">
                  <c:v>Louisiana Fiery Hot Pepper Sauce</c:v>
                </c:pt>
                <c:pt idx="30">
                  <c:v>Steeleye Stout</c:v>
                </c:pt>
                <c:pt idx="31">
                  <c:v>Inlagd Sill</c:v>
                </c:pt>
                <c:pt idx="32">
                  <c:v>Nord-Ost Matjeshering</c:v>
                </c:pt>
                <c:pt idx="33">
                  <c:v>Queso Cabrales</c:v>
                </c:pt>
                <c:pt idx="34">
                  <c:v>Chai</c:v>
                </c:pt>
                <c:pt idx="35">
                  <c:v>Northwoods Cranberry Sauce</c:v>
                </c:pt>
                <c:pt idx="36">
                  <c:v>Chartreuse verte</c:v>
                </c:pt>
                <c:pt idx="37">
                  <c:v>Queso Manchego La Pastora</c:v>
                </c:pt>
                <c:pt idx="38">
                  <c:v>Outback Lager</c:v>
                </c:pt>
                <c:pt idx="39">
                  <c:v>Gula Malacca</c:v>
                </c:pt>
                <c:pt idx="40">
                  <c:v>Maxilaku</c:v>
                </c:pt>
                <c:pt idx="41">
                  <c:v>Original Frankfurter Grüne Soße</c:v>
                </c:pt>
                <c:pt idx="42">
                  <c:v>Sir Rodney's Scones</c:v>
                </c:pt>
                <c:pt idx="43">
                  <c:v>Scottish Longbreads</c:v>
                </c:pt>
                <c:pt idx="44">
                  <c:v>Jack's New England Clam Chowder</c:v>
                </c:pt>
                <c:pt idx="45">
                  <c:v>Singaporean Hokkien Fried Mee</c:v>
                </c:pt>
                <c:pt idx="46">
                  <c:v>Chef Anton's Cajun Seasoning</c:v>
                </c:pt>
                <c:pt idx="47">
                  <c:v>Mascarpone Fabioli</c:v>
                </c:pt>
                <c:pt idx="48">
                  <c:v>Rhönbräu Klosterbier</c:v>
                </c:pt>
                <c:pt idx="49">
                  <c:v>Tofu</c:v>
                </c:pt>
                <c:pt idx="50">
                  <c:v>Ravioli Angelo</c:v>
                </c:pt>
                <c:pt idx="51">
                  <c:v>Mishi Kobe Niku</c:v>
                </c:pt>
                <c:pt idx="52">
                  <c:v>Grandma's Boysenberry Spread</c:v>
                </c:pt>
                <c:pt idx="53">
                  <c:v>Gustaf's Knackebröd</c:v>
                </c:pt>
                <c:pt idx="54">
                  <c:v>Sasquatch Ale</c:v>
                </c:pt>
                <c:pt idx="55">
                  <c:v>Spegesild</c:v>
                </c:pt>
                <c:pt idx="56">
                  <c:v>Escargots de Bourgogne</c:v>
                </c:pt>
                <c:pt idx="57">
                  <c:v>Teatime Chocolate Biscuits</c:v>
                </c:pt>
                <c:pt idx="58">
                  <c:v>Chef Anton's Gumbo Mix</c:v>
                </c:pt>
                <c:pt idx="59">
                  <c:v>Konbu</c:v>
                </c:pt>
                <c:pt idx="60">
                  <c:v>Tourtière</c:v>
                </c:pt>
                <c:pt idx="61">
                  <c:v>Tunnbröd</c:v>
                </c:pt>
                <c:pt idx="62">
                  <c:v>Guarana Fantastica</c:v>
                </c:pt>
                <c:pt idx="63">
                  <c:v>Rogede sild</c:v>
                </c:pt>
                <c:pt idx="64">
                  <c:v>Röd Kaviar</c:v>
                </c:pt>
                <c:pt idx="65">
                  <c:v>Zaanse koeken</c:v>
                </c:pt>
                <c:pt idx="66">
                  <c:v>NuNuCa Nuß-Nougat-Creme</c:v>
                </c:pt>
                <c:pt idx="67">
                  <c:v>Valkoinen suklaa</c:v>
                </c:pt>
                <c:pt idx="68">
                  <c:v>Louisiana Hot Spiced Okra</c:v>
                </c:pt>
                <c:pt idx="69">
                  <c:v>Filo Mix</c:v>
                </c:pt>
                <c:pt idx="70">
                  <c:v>Aniseed Syrup</c:v>
                </c:pt>
                <c:pt idx="71">
                  <c:v>Gravad lax</c:v>
                </c:pt>
                <c:pt idx="72">
                  <c:v>Longlife Tofu</c:v>
                </c:pt>
                <c:pt idx="73">
                  <c:v>Laughing Lumberjack Lager</c:v>
                </c:pt>
                <c:pt idx="74">
                  <c:v>Genen Shouyu</c:v>
                </c:pt>
                <c:pt idx="75">
                  <c:v>Geitost</c:v>
                </c:pt>
                <c:pt idx="76">
                  <c:v>Chocolade</c:v>
                </c:pt>
              </c:strCache>
            </c:strRef>
          </c:cat>
          <c:val>
            <c:numRef>
              <c:f>'Pivot Table'!$B$39:$B$116</c:f>
              <c:numCache>
                <c:formatCode>[$$-409]#,##0_ ;\-[$$-409]#,##0\ </c:formatCode>
                <c:ptCount val="77"/>
                <c:pt idx="0">
                  <c:v>141396.73499999999</c:v>
                </c:pt>
                <c:pt idx="1">
                  <c:v>80368.672000000006</c:v>
                </c:pt>
                <c:pt idx="2">
                  <c:v>71155.7</c:v>
                </c:pt>
                <c:pt idx="3">
                  <c:v>47234.97</c:v>
                </c:pt>
                <c:pt idx="4">
                  <c:v>46825.48</c:v>
                </c:pt>
                <c:pt idx="5">
                  <c:v>42593.06</c:v>
                </c:pt>
                <c:pt idx="6">
                  <c:v>41819.65</c:v>
                </c:pt>
                <c:pt idx="7">
                  <c:v>32698.379999999997</c:v>
                </c:pt>
                <c:pt idx="8">
                  <c:v>29171.875</c:v>
                </c:pt>
                <c:pt idx="9">
                  <c:v>25696.640000000007</c:v>
                </c:pt>
                <c:pt idx="10">
                  <c:v>24900.13</c:v>
                </c:pt>
                <c:pt idx="11">
                  <c:v>23526.699999999997</c:v>
                </c:pt>
                <c:pt idx="12">
                  <c:v>22563.359999999997</c:v>
                </c:pt>
                <c:pt idx="13">
                  <c:v>22044.3</c:v>
                </c:pt>
                <c:pt idx="14">
                  <c:v>21957.967500000002</c:v>
                </c:pt>
                <c:pt idx="15">
                  <c:v>21942.36</c:v>
                </c:pt>
                <c:pt idx="16">
                  <c:v>20867.340000000004</c:v>
                </c:pt>
                <c:pt idx="17">
                  <c:v>20574.170000000006</c:v>
                </c:pt>
                <c:pt idx="18">
                  <c:v>19849.144500000002</c:v>
                </c:pt>
                <c:pt idx="19">
                  <c:v>19551.024999999998</c:v>
                </c:pt>
                <c:pt idx="20">
                  <c:v>17910.63</c:v>
                </c:pt>
                <c:pt idx="21">
                  <c:v>17426.400000000001</c:v>
                </c:pt>
                <c:pt idx="22">
                  <c:v>17215.775499999996</c:v>
                </c:pt>
                <c:pt idx="23">
                  <c:v>16701.095000000001</c:v>
                </c:pt>
                <c:pt idx="24">
                  <c:v>16355.96</c:v>
                </c:pt>
                <c:pt idx="25">
                  <c:v>15760.44</c:v>
                </c:pt>
                <c:pt idx="26">
                  <c:v>15099.875</c:v>
                </c:pt>
                <c:pt idx="27">
                  <c:v>14920.875</c:v>
                </c:pt>
                <c:pt idx="28">
                  <c:v>14352.6</c:v>
                </c:pt>
                <c:pt idx="29">
                  <c:v>13869.890000000001</c:v>
                </c:pt>
                <c:pt idx="30">
                  <c:v>13643.999999999998</c:v>
                </c:pt>
                <c:pt idx="31">
                  <c:v>13458.460000000001</c:v>
                </c:pt>
                <c:pt idx="32">
                  <c:v>13424.197500000002</c:v>
                </c:pt>
                <c:pt idx="33">
                  <c:v>12901.77</c:v>
                </c:pt>
                <c:pt idx="34">
                  <c:v>12788.1</c:v>
                </c:pt>
                <c:pt idx="35">
                  <c:v>12772</c:v>
                </c:pt>
                <c:pt idx="36">
                  <c:v>12294.54</c:v>
                </c:pt>
                <c:pt idx="37">
                  <c:v>12257.660000000002</c:v>
                </c:pt>
                <c:pt idx="38">
                  <c:v>10672.65</c:v>
                </c:pt>
                <c:pt idx="39">
                  <c:v>9915.9450000000015</c:v>
                </c:pt>
                <c:pt idx="40">
                  <c:v>9244.6</c:v>
                </c:pt>
                <c:pt idx="41">
                  <c:v>9171.6299999999992</c:v>
                </c:pt>
                <c:pt idx="42">
                  <c:v>9104</c:v>
                </c:pt>
                <c:pt idx="43">
                  <c:v>8714</c:v>
                </c:pt>
                <c:pt idx="44">
                  <c:v>8680.3450000000048</c:v>
                </c:pt>
                <c:pt idx="45">
                  <c:v>8575</c:v>
                </c:pt>
                <c:pt idx="46">
                  <c:v>8567.9000000000015</c:v>
                </c:pt>
                <c:pt idx="47">
                  <c:v>8404.16</c:v>
                </c:pt>
                <c:pt idx="48">
                  <c:v>8177.4899999999989</c:v>
                </c:pt>
                <c:pt idx="49">
                  <c:v>7991.4899999999989</c:v>
                </c:pt>
                <c:pt idx="50">
                  <c:v>7661.5499999999993</c:v>
                </c:pt>
                <c:pt idx="51">
                  <c:v>7226.5</c:v>
                </c:pt>
                <c:pt idx="52">
                  <c:v>7137</c:v>
                </c:pt>
                <c:pt idx="53">
                  <c:v>7122.3600000000006</c:v>
                </c:pt>
                <c:pt idx="54">
                  <c:v>6350.4</c:v>
                </c:pt>
                <c:pt idx="55">
                  <c:v>5882.9999999999991</c:v>
                </c:pt>
                <c:pt idx="56">
                  <c:v>5881.6749999999993</c:v>
                </c:pt>
                <c:pt idx="57">
                  <c:v>5862.6199999999981</c:v>
                </c:pt>
                <c:pt idx="58">
                  <c:v>5347.2000000000007</c:v>
                </c:pt>
                <c:pt idx="59">
                  <c:v>4960.4400000000005</c:v>
                </c:pt>
                <c:pt idx="60">
                  <c:v>4728.2375000000002</c:v>
                </c:pt>
                <c:pt idx="61">
                  <c:v>4601.7</c:v>
                </c:pt>
                <c:pt idx="62">
                  <c:v>4504.3649999999998</c:v>
                </c:pt>
                <c:pt idx="63">
                  <c:v>4338.1750000000002</c:v>
                </c:pt>
                <c:pt idx="64">
                  <c:v>3997.2</c:v>
                </c:pt>
                <c:pt idx="65">
                  <c:v>3958.08</c:v>
                </c:pt>
                <c:pt idx="66">
                  <c:v>3704.3999999999996</c:v>
                </c:pt>
                <c:pt idx="67">
                  <c:v>3437.6875</c:v>
                </c:pt>
                <c:pt idx="68">
                  <c:v>3383</c:v>
                </c:pt>
                <c:pt idx="69">
                  <c:v>3232.9500000000003</c:v>
                </c:pt>
                <c:pt idx="70">
                  <c:v>3044</c:v>
                </c:pt>
                <c:pt idx="71">
                  <c:v>2688.3999999999996</c:v>
                </c:pt>
                <c:pt idx="72">
                  <c:v>2432.5</c:v>
                </c:pt>
                <c:pt idx="73">
                  <c:v>2396.8000000000002</c:v>
                </c:pt>
                <c:pt idx="74">
                  <c:v>1784.825</c:v>
                </c:pt>
                <c:pt idx="75">
                  <c:v>1648.125</c:v>
                </c:pt>
                <c:pt idx="76">
                  <c:v>1368.7125000000001</c:v>
                </c:pt>
              </c:numCache>
            </c:numRef>
          </c:val>
          <c:extLst>
            <c:ext xmlns:c16="http://schemas.microsoft.com/office/drawing/2014/chart" uri="{C3380CC4-5D6E-409C-BE32-E72D297353CC}">
              <c16:uniqueId val="{00000000-93EC-49CD-85D7-29DBB5FB4240}"/>
            </c:ext>
          </c:extLst>
        </c:ser>
        <c:dLbls>
          <c:showLegendKey val="0"/>
          <c:showVal val="0"/>
          <c:showCatName val="0"/>
          <c:showSerName val="0"/>
          <c:showPercent val="0"/>
          <c:showBubbleSize val="0"/>
        </c:dLbls>
        <c:gapWidth val="219"/>
        <c:overlap val="-27"/>
        <c:axId val="629524048"/>
        <c:axId val="629525968"/>
      </c:barChart>
      <c:catAx>
        <c:axId val="629524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25968"/>
        <c:crosses val="autoZero"/>
        <c:auto val="1"/>
        <c:lblAlgn val="ctr"/>
        <c:lblOffset val="100"/>
        <c:noMultiLvlLbl val="0"/>
      </c:catAx>
      <c:valAx>
        <c:axId val="629525968"/>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24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TOTAL REVENUE BASED</a:t>
            </a:r>
          </a:p>
          <a:p>
            <a:pPr>
              <a:defRPr/>
            </a:pPr>
            <a:r>
              <a:rPr lang="en-US" sz="1400" b="1" i="0" u="none" strike="noStrike" kern="1200" spc="0" baseline="0">
                <a:solidFill>
                  <a:sysClr val="windowText" lastClr="000000">
                    <a:lumMod val="65000"/>
                    <a:lumOff val="35000"/>
                  </a:sysClr>
                </a:solidFill>
              </a:rPr>
              <a:t>ON DELIVERY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Table'!$B$120</c:f>
              <c:strCache>
                <c:ptCount val="1"/>
                <c:pt idx="0">
                  <c:v>Total</c:v>
                </c:pt>
              </c:strCache>
            </c:strRef>
          </c:tx>
          <c:spPr>
            <a:solidFill>
              <a:schemeClr val="accent1"/>
            </a:solidFill>
            <a:ln>
              <a:noFill/>
            </a:ln>
            <a:effectLst/>
          </c:spPr>
          <c:invertIfNegative val="0"/>
          <c:cat>
            <c:strRef>
              <c:f>'Pivot Table'!$A$121:$A$129</c:f>
              <c:strCache>
                <c:ptCount val="8"/>
                <c:pt idx="0">
                  <c:v>2015-Q1</c:v>
                </c:pt>
                <c:pt idx="1">
                  <c:v>2014-Q4</c:v>
                </c:pt>
                <c:pt idx="2">
                  <c:v>2014-Q3</c:v>
                </c:pt>
                <c:pt idx="3">
                  <c:v>2014-Q2</c:v>
                </c:pt>
                <c:pt idx="4">
                  <c:v>2015-Q2</c:v>
                </c:pt>
                <c:pt idx="5">
                  <c:v>2014-Q1</c:v>
                </c:pt>
                <c:pt idx="6">
                  <c:v>2013-Q4</c:v>
                </c:pt>
                <c:pt idx="7">
                  <c:v>2013-Q3</c:v>
                </c:pt>
              </c:strCache>
            </c:strRef>
          </c:cat>
          <c:val>
            <c:numRef>
              <c:f>'Pivot Table'!$B$121:$B$129</c:f>
              <c:numCache>
                <c:formatCode>[$$-409]#,##0.00_ ;\-[$$-409]#,##0.00\ </c:formatCode>
                <c:ptCount val="8"/>
                <c:pt idx="0">
                  <c:v>298491.55299999996</c:v>
                </c:pt>
                <c:pt idx="1">
                  <c:v>181681.46350000004</c:v>
                </c:pt>
                <c:pt idx="2">
                  <c:v>153937.77000000005</c:v>
                </c:pt>
                <c:pt idx="3">
                  <c:v>143177.04499999998</c:v>
                </c:pt>
                <c:pt idx="4">
                  <c:v>142132.31299999999</c:v>
                </c:pt>
                <c:pt idx="5">
                  <c:v>138288.92500000005</c:v>
                </c:pt>
                <c:pt idx="6">
                  <c:v>128355.40000000001</c:v>
                </c:pt>
                <c:pt idx="7">
                  <c:v>79728.570000000007</c:v>
                </c:pt>
              </c:numCache>
            </c:numRef>
          </c:val>
          <c:extLst>
            <c:ext xmlns:c16="http://schemas.microsoft.com/office/drawing/2014/chart" uri="{C3380CC4-5D6E-409C-BE32-E72D297353CC}">
              <c16:uniqueId val="{00000000-5AFD-41D7-9E4E-D0867F6690A2}"/>
            </c:ext>
          </c:extLst>
        </c:ser>
        <c:dLbls>
          <c:showLegendKey val="0"/>
          <c:showVal val="0"/>
          <c:showCatName val="0"/>
          <c:showSerName val="0"/>
          <c:showPercent val="0"/>
          <c:showBubbleSize val="0"/>
        </c:dLbls>
        <c:gapWidth val="219"/>
        <c:overlap val="-27"/>
        <c:axId val="629532208"/>
        <c:axId val="629545168"/>
      </c:barChart>
      <c:catAx>
        <c:axId val="6295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45168"/>
        <c:crosses val="autoZero"/>
        <c:auto val="1"/>
        <c:lblAlgn val="ctr"/>
        <c:lblOffset val="100"/>
        <c:noMultiLvlLbl val="0"/>
      </c:catAx>
      <c:valAx>
        <c:axId val="629545168"/>
        <c:scaling>
          <c:orientation val="minMax"/>
        </c:scaling>
        <c:delete val="0"/>
        <c:axPos val="l"/>
        <c:majorGridlines>
          <c:spPr>
            <a:ln w="9525" cap="flat" cmpd="sng" algn="ctr">
              <a:solidFill>
                <a:schemeClr val="tx1">
                  <a:lumMod val="15000"/>
                  <a:lumOff val="85000"/>
                </a:schemeClr>
              </a:solidFill>
              <a:round/>
            </a:ln>
            <a:effectLst/>
          </c:spPr>
        </c:majorGridlines>
        <c:numFmt formatCode="[$$-409]#,##0.00_ ;\-[$$-409]#,##0.0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3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Table!PivotTable8</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Table'!$B$134</c:f>
              <c:strCache>
                <c:ptCount val="1"/>
                <c:pt idx="0">
                  <c:v>Total</c:v>
                </c:pt>
              </c:strCache>
            </c:strRef>
          </c:tx>
          <c:spPr>
            <a:solidFill>
              <a:schemeClr val="accent1"/>
            </a:solidFill>
            <a:ln>
              <a:noFill/>
            </a:ln>
            <a:effectLst/>
          </c:spPr>
          <c:invertIfNegative val="0"/>
          <c:cat>
            <c:strRef>
              <c:f>'Pivot Table'!$A$135:$A$138</c:f>
              <c:strCache>
                <c:ptCount val="3"/>
                <c:pt idx="0">
                  <c:v>United Package</c:v>
                </c:pt>
                <c:pt idx="1">
                  <c:v>Federal Shipping</c:v>
                </c:pt>
                <c:pt idx="2">
                  <c:v>Speedy Express</c:v>
                </c:pt>
              </c:strCache>
            </c:strRef>
          </c:cat>
          <c:val>
            <c:numRef>
              <c:f>'Pivot Table'!$B$135:$B$138</c:f>
              <c:numCache>
                <c:formatCode>[$$-409]#,##0_ ;\-[$$-409]#,##0\ </c:formatCode>
                <c:ptCount val="3"/>
                <c:pt idx="0">
                  <c:v>561792.48399999959</c:v>
                </c:pt>
                <c:pt idx="1">
                  <c:v>403917.97800000018</c:v>
                </c:pt>
                <c:pt idx="2">
                  <c:v>365025.2674999999</c:v>
                </c:pt>
              </c:numCache>
            </c:numRef>
          </c:val>
          <c:extLst>
            <c:ext xmlns:c16="http://schemas.microsoft.com/office/drawing/2014/chart" uri="{C3380CC4-5D6E-409C-BE32-E72D297353CC}">
              <c16:uniqueId val="{00000000-186F-4929-A4BE-B6DD5E4C3267}"/>
            </c:ext>
          </c:extLst>
        </c:ser>
        <c:dLbls>
          <c:showLegendKey val="0"/>
          <c:showVal val="0"/>
          <c:showCatName val="0"/>
          <c:showSerName val="0"/>
          <c:showPercent val="0"/>
          <c:showBubbleSize val="0"/>
        </c:dLbls>
        <c:gapWidth val="150"/>
        <c:overlap val="100"/>
        <c:axId val="629530768"/>
        <c:axId val="629531248"/>
      </c:barChart>
      <c:catAx>
        <c:axId val="629530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31248"/>
        <c:crosses val="autoZero"/>
        <c:auto val="1"/>
        <c:lblAlgn val="ctr"/>
        <c:lblOffset val="100"/>
        <c:noMultiLvlLbl val="0"/>
      </c:catAx>
      <c:valAx>
        <c:axId val="629531248"/>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53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TOP 20% OF CUSTOMERS</a:t>
            </a:r>
          </a:p>
          <a:p>
            <a:pPr>
              <a:defRPr/>
            </a:pPr>
            <a:r>
              <a:rPr lang="en-US" sz="1400" b="1" i="0" u="none" strike="noStrike" kern="1200" spc="0" baseline="0">
                <a:solidFill>
                  <a:sysClr val="windowText" lastClr="000000">
                    <a:lumMod val="65000"/>
                    <a:lumOff val="35000"/>
                  </a:sysClr>
                </a:solidFill>
              </a:rPr>
              <a:t>REVENUE CONTRIBUTION</a:t>
            </a:r>
            <a:r>
              <a:rPr lang="en-US" sz="1400" b="0" i="0" u="none" strike="noStrike" kern="1200" spc="0" baseline="0">
                <a:solidFill>
                  <a:sysClr val="windowText" lastClr="000000">
                    <a:lumMod val="65000"/>
                    <a:lumOff val="35000"/>
                  </a:sysClr>
                </a:solidFill>
              </a:rPr>
              <a: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Table'!$B$142</c:f>
              <c:strCache>
                <c:ptCount val="1"/>
                <c:pt idx="0">
                  <c:v>Total</c:v>
                </c:pt>
              </c:strCache>
            </c:strRef>
          </c:tx>
          <c:spPr>
            <a:solidFill>
              <a:schemeClr val="accent1"/>
            </a:solidFill>
            <a:ln>
              <a:noFill/>
            </a:ln>
            <a:effectLst/>
          </c:spPr>
          <c:invertIfNegative val="0"/>
          <c:cat>
            <c:strRef>
              <c:f>'Pivot Table'!$A$143:$A$232</c:f>
              <c:strCache>
                <c:ptCount val="89"/>
                <c:pt idx="0">
                  <c:v>QUICK-Stop</c:v>
                </c:pt>
                <c:pt idx="1">
                  <c:v>Ernst Handel</c:v>
                </c:pt>
                <c:pt idx="2">
                  <c:v>Save-a-lot Markets</c:v>
                </c:pt>
                <c:pt idx="3">
                  <c:v>Rattlesnake Canyon Grocery</c:v>
                </c:pt>
                <c:pt idx="4">
                  <c:v>Hungry Owl All-Night Grocers</c:v>
                </c:pt>
                <c:pt idx="5">
                  <c:v>Hanari Carnes</c:v>
                </c:pt>
                <c:pt idx="6">
                  <c:v>Königlich Essen</c:v>
                </c:pt>
                <c:pt idx="7">
                  <c:v>Folk och fä HB</c:v>
                </c:pt>
                <c:pt idx="8">
                  <c:v>Mère Paillarde</c:v>
                </c:pt>
                <c:pt idx="9">
                  <c:v>White Clover Markets</c:v>
                </c:pt>
                <c:pt idx="10">
                  <c:v>Frankenversand</c:v>
                </c:pt>
                <c:pt idx="11">
                  <c:v>Queen Cozinha</c:v>
                </c:pt>
                <c:pt idx="12">
                  <c:v>Berglunds snabbköp</c:v>
                </c:pt>
                <c:pt idx="13">
                  <c:v>Suprêmes délices</c:v>
                </c:pt>
                <c:pt idx="14">
                  <c:v>Piccolo und mehr</c:v>
                </c:pt>
                <c:pt idx="15">
                  <c:v>HILARION-Abastos</c:v>
                </c:pt>
                <c:pt idx="16">
                  <c:v>Bon app'</c:v>
                </c:pt>
                <c:pt idx="17">
                  <c:v>Bottom-Dollar Markets</c:v>
                </c:pt>
                <c:pt idx="18">
                  <c:v>Richter Supermarkt</c:v>
                </c:pt>
                <c:pt idx="19">
                  <c:v>Lehmanns Marktstand</c:v>
                </c:pt>
                <c:pt idx="20">
                  <c:v>Blondesddsl père et fils</c:v>
                </c:pt>
                <c:pt idx="21">
                  <c:v>Great Lakes Food Market</c:v>
                </c:pt>
                <c:pt idx="22">
                  <c:v>Simons bistro</c:v>
                </c:pt>
                <c:pt idx="23">
                  <c:v>LINO-Delicateses</c:v>
                </c:pt>
                <c:pt idx="24">
                  <c:v>Seven Seas Imports</c:v>
                </c:pt>
                <c:pt idx="25">
                  <c:v>LILA-Supermercado</c:v>
                </c:pt>
                <c:pt idx="26">
                  <c:v>Vaffeljernet</c:v>
                </c:pt>
                <c:pt idx="27">
                  <c:v>Wartian Herkku</c:v>
                </c:pt>
                <c:pt idx="28">
                  <c:v>Old World Delicatessen</c:v>
                </c:pt>
                <c:pt idx="29">
                  <c:v>Eastern Connection</c:v>
                </c:pt>
                <c:pt idx="30">
                  <c:v>Around the Horn</c:v>
                </c:pt>
                <c:pt idx="31">
                  <c:v>Ottilies Käseladen</c:v>
                </c:pt>
                <c:pt idx="32">
                  <c:v>Ricardo Adocicados</c:v>
                </c:pt>
                <c:pt idx="33">
                  <c:v>Chop-suey Chinese</c:v>
                </c:pt>
                <c:pt idx="34">
                  <c:v>Folies gourmandes</c:v>
                </c:pt>
                <c:pt idx="35">
                  <c:v>Godos Cocina Típica</c:v>
                </c:pt>
                <c:pt idx="36">
                  <c:v>Split Rail Beer &amp; Ale</c:v>
                </c:pt>
                <c:pt idx="37">
                  <c:v>Tortuga Restaurante</c:v>
                </c:pt>
                <c:pt idx="38">
                  <c:v>Maison Dewey</c:v>
                </c:pt>
                <c:pt idx="39">
                  <c:v>Die Wandernde Kuh</c:v>
                </c:pt>
                <c:pt idx="40">
                  <c:v>La maison d'Asie</c:v>
                </c:pt>
                <c:pt idx="41">
                  <c:v>Victuailles en stock</c:v>
                </c:pt>
                <c:pt idx="42">
                  <c:v>Gourmet Lanchonetes</c:v>
                </c:pt>
                <c:pt idx="43">
                  <c:v>Magazzini Alimentari Riuniti</c:v>
                </c:pt>
                <c:pt idx="44">
                  <c:v>Reggiani Caseifici</c:v>
                </c:pt>
                <c:pt idx="45">
                  <c:v>Antonio Moreno Taquería</c:v>
                </c:pt>
                <c:pt idx="46">
                  <c:v>Tradição Hipermercados</c:v>
                </c:pt>
                <c:pt idx="47">
                  <c:v>Que Delícia</c:v>
                </c:pt>
                <c:pt idx="48">
                  <c:v>Furia Bacalhau e Frutos do Mar</c:v>
                </c:pt>
                <c:pt idx="49">
                  <c:v>Island Trading</c:v>
                </c:pt>
                <c:pt idx="50">
                  <c:v>B's Beverages</c:v>
                </c:pt>
                <c:pt idx="51">
                  <c:v>Wellington Importadora</c:v>
                </c:pt>
                <c:pt idx="52">
                  <c:v>Santé Gourmet</c:v>
                </c:pt>
                <c:pt idx="53">
                  <c:v>Princesa Isabel Vinhos</c:v>
                </c:pt>
                <c:pt idx="54">
                  <c:v>Morgenstern Gesundkost</c:v>
                </c:pt>
                <c:pt idx="55">
                  <c:v>Toms Spezialitäten</c:v>
                </c:pt>
                <c:pt idx="56">
                  <c:v>Alfreds Futterkiste</c:v>
                </c:pt>
                <c:pt idx="57">
                  <c:v>Lonesome Pine Restaurant</c:v>
                </c:pt>
                <c:pt idx="58">
                  <c:v>Pericles Comidas clásicas</c:v>
                </c:pt>
                <c:pt idx="59">
                  <c:v>Bólido Comidas preparadas</c:v>
                </c:pt>
                <c:pt idx="60">
                  <c:v>Familia Arquibaldo</c:v>
                </c:pt>
                <c:pt idx="61">
                  <c:v>Comércio Mineiro</c:v>
                </c:pt>
                <c:pt idx="62">
                  <c:v>Drachenblut Delikatessen</c:v>
                </c:pt>
                <c:pt idx="63">
                  <c:v>Wolski  Zajazd</c:v>
                </c:pt>
                <c:pt idx="64">
                  <c:v>Océano Atlántico Ltda.</c:v>
                </c:pt>
                <c:pt idx="65">
                  <c:v>The Big Cheese</c:v>
                </c:pt>
                <c:pt idx="66">
                  <c:v>Blauer See Delikatessen</c:v>
                </c:pt>
                <c:pt idx="67">
                  <c:v>France restauration</c:v>
                </c:pt>
                <c:pt idx="68">
                  <c:v>Wilman Kala</c:v>
                </c:pt>
                <c:pt idx="69">
                  <c:v>Let's Stop N Shop</c:v>
                </c:pt>
                <c:pt idx="70">
                  <c:v>Hungry Coyote Import Store</c:v>
                </c:pt>
                <c:pt idx="71">
                  <c:v>Rancho grande</c:v>
                </c:pt>
                <c:pt idx="72">
                  <c:v>Spécialités du monde</c:v>
                </c:pt>
                <c:pt idx="73">
                  <c:v>La corne d'abondance</c:v>
                </c:pt>
                <c:pt idx="74">
                  <c:v>The Cracker Box</c:v>
                </c:pt>
                <c:pt idx="75">
                  <c:v>Cactus Comidas para llevar</c:v>
                </c:pt>
                <c:pt idx="76">
                  <c:v>Consolidated Holdings</c:v>
                </c:pt>
                <c:pt idx="77">
                  <c:v>Du monde entier</c:v>
                </c:pt>
                <c:pt idx="78">
                  <c:v>Trail's Head Gourmet Provisioners</c:v>
                </c:pt>
                <c:pt idx="79">
                  <c:v>Franchi S.p.A.</c:v>
                </c:pt>
                <c:pt idx="80">
                  <c:v>GROSELLA-Restaurante</c:v>
                </c:pt>
                <c:pt idx="81">
                  <c:v>Vins et alcools Chevalier</c:v>
                </c:pt>
                <c:pt idx="82">
                  <c:v>Romero y tomillo</c:v>
                </c:pt>
                <c:pt idx="83">
                  <c:v>Ana Trujillo Emparedados y helados</c:v>
                </c:pt>
                <c:pt idx="84">
                  <c:v>Galería del gastrónomo</c:v>
                </c:pt>
                <c:pt idx="85">
                  <c:v>North/South</c:v>
                </c:pt>
                <c:pt idx="86">
                  <c:v>Laughing Bacchus Wine Cellars</c:v>
                </c:pt>
                <c:pt idx="87">
                  <c:v>Lazy K Kountry Store</c:v>
                </c:pt>
                <c:pt idx="88">
                  <c:v>Centro comercial Moctezuma</c:v>
                </c:pt>
              </c:strCache>
            </c:strRef>
          </c:cat>
          <c:val>
            <c:numRef>
              <c:f>'Pivot Table'!$B$143:$B$232</c:f>
              <c:numCache>
                <c:formatCode>[$$-409]#,##0_ ;\-[$$-409]#,##0\ </c:formatCode>
                <c:ptCount val="89"/>
                <c:pt idx="0">
                  <c:v>110277.30500000001</c:v>
                </c:pt>
                <c:pt idx="1">
                  <c:v>104874.9785</c:v>
                </c:pt>
                <c:pt idx="2">
                  <c:v>104361.95</c:v>
                </c:pt>
                <c:pt idx="3">
                  <c:v>51097.800500000005</c:v>
                </c:pt>
                <c:pt idx="4">
                  <c:v>49979.904999999999</c:v>
                </c:pt>
                <c:pt idx="5">
                  <c:v>32841.369999999995</c:v>
                </c:pt>
                <c:pt idx="6">
                  <c:v>30908.384000000002</c:v>
                </c:pt>
                <c:pt idx="7">
                  <c:v>29567.5625</c:v>
                </c:pt>
                <c:pt idx="8">
                  <c:v>28872.190000000002</c:v>
                </c:pt>
                <c:pt idx="9">
                  <c:v>27363.605000000003</c:v>
                </c:pt>
                <c:pt idx="10">
                  <c:v>26656.559500000003</c:v>
                </c:pt>
                <c:pt idx="11">
                  <c:v>25717.497500000005</c:v>
                </c:pt>
                <c:pt idx="12">
                  <c:v>24927.577500000003</c:v>
                </c:pt>
                <c:pt idx="13">
                  <c:v>24088.78</c:v>
                </c:pt>
                <c:pt idx="14">
                  <c:v>23128.86</c:v>
                </c:pt>
                <c:pt idx="15">
                  <c:v>22768.764000000003</c:v>
                </c:pt>
                <c:pt idx="16">
                  <c:v>21963.252500000002</c:v>
                </c:pt>
                <c:pt idx="17">
                  <c:v>20801.599999999999</c:v>
                </c:pt>
                <c:pt idx="18">
                  <c:v>19343.778999999999</c:v>
                </c:pt>
                <c:pt idx="19">
                  <c:v>19261.41</c:v>
                </c:pt>
                <c:pt idx="20">
                  <c:v>18534.080000000002</c:v>
                </c:pt>
                <c:pt idx="21">
                  <c:v>18507.45</c:v>
                </c:pt>
                <c:pt idx="22">
                  <c:v>16817.0975</c:v>
                </c:pt>
                <c:pt idx="23">
                  <c:v>16476.565000000002</c:v>
                </c:pt>
                <c:pt idx="24">
                  <c:v>16215.324999999999</c:v>
                </c:pt>
                <c:pt idx="25">
                  <c:v>16076.599999999999</c:v>
                </c:pt>
                <c:pt idx="26">
                  <c:v>15843.924999999999</c:v>
                </c:pt>
                <c:pt idx="27">
                  <c:v>15648.702499999999</c:v>
                </c:pt>
                <c:pt idx="28">
                  <c:v>15177.4625</c:v>
                </c:pt>
                <c:pt idx="29">
                  <c:v>14761.035</c:v>
                </c:pt>
                <c:pt idx="30">
                  <c:v>13390.650000000001</c:v>
                </c:pt>
                <c:pt idx="31">
                  <c:v>12496.2</c:v>
                </c:pt>
                <c:pt idx="32">
                  <c:v>12450.8</c:v>
                </c:pt>
                <c:pt idx="33">
                  <c:v>12348.88</c:v>
                </c:pt>
                <c:pt idx="34">
                  <c:v>11666.9</c:v>
                </c:pt>
                <c:pt idx="35">
                  <c:v>11446.36</c:v>
                </c:pt>
                <c:pt idx="36">
                  <c:v>11441.630000000001</c:v>
                </c:pt>
                <c:pt idx="37">
                  <c:v>10812.150000000001</c:v>
                </c:pt>
                <c:pt idx="38">
                  <c:v>9736.0749999999989</c:v>
                </c:pt>
                <c:pt idx="39">
                  <c:v>9588.4249999999993</c:v>
                </c:pt>
                <c:pt idx="40">
                  <c:v>9328.1999999999989</c:v>
                </c:pt>
                <c:pt idx="41">
                  <c:v>9182.43</c:v>
                </c:pt>
                <c:pt idx="42">
                  <c:v>8414.1350000000002</c:v>
                </c:pt>
                <c:pt idx="43">
                  <c:v>7176.2150000000001</c:v>
                </c:pt>
                <c:pt idx="44">
                  <c:v>7048.24</c:v>
                </c:pt>
                <c:pt idx="45">
                  <c:v>7023.9775</c:v>
                </c:pt>
                <c:pt idx="46">
                  <c:v>6850.6639999999998</c:v>
                </c:pt>
                <c:pt idx="47">
                  <c:v>6664.8100000000013</c:v>
                </c:pt>
                <c:pt idx="48">
                  <c:v>6427.4225000000006</c:v>
                </c:pt>
                <c:pt idx="49">
                  <c:v>6146.3</c:v>
                </c:pt>
                <c:pt idx="50">
                  <c:v>6089.9</c:v>
                </c:pt>
                <c:pt idx="51">
                  <c:v>6068.2000000000007</c:v>
                </c:pt>
                <c:pt idx="52">
                  <c:v>5735.1500000000005</c:v>
                </c:pt>
                <c:pt idx="53">
                  <c:v>5044.9400000000005</c:v>
                </c:pt>
                <c:pt idx="54">
                  <c:v>5042.2</c:v>
                </c:pt>
                <c:pt idx="55">
                  <c:v>4778.1400000000003</c:v>
                </c:pt>
                <c:pt idx="56">
                  <c:v>4273</c:v>
                </c:pt>
                <c:pt idx="57">
                  <c:v>4258.6000000000004</c:v>
                </c:pt>
                <c:pt idx="58">
                  <c:v>4242.2</c:v>
                </c:pt>
                <c:pt idx="59">
                  <c:v>4232.8500000000004</c:v>
                </c:pt>
                <c:pt idx="60">
                  <c:v>4107.55</c:v>
                </c:pt>
                <c:pt idx="61">
                  <c:v>3810.75</c:v>
                </c:pt>
                <c:pt idx="62">
                  <c:v>3763.21</c:v>
                </c:pt>
                <c:pt idx="63">
                  <c:v>3531.95</c:v>
                </c:pt>
                <c:pt idx="64">
                  <c:v>3460.2</c:v>
                </c:pt>
                <c:pt idx="65">
                  <c:v>3361</c:v>
                </c:pt>
                <c:pt idx="66">
                  <c:v>3239.8</c:v>
                </c:pt>
                <c:pt idx="67">
                  <c:v>3172.16</c:v>
                </c:pt>
                <c:pt idx="68">
                  <c:v>3161.35</c:v>
                </c:pt>
                <c:pt idx="69">
                  <c:v>3076.4724999999999</c:v>
                </c:pt>
                <c:pt idx="70">
                  <c:v>3063.2</c:v>
                </c:pt>
                <c:pt idx="71">
                  <c:v>2844.1000000000004</c:v>
                </c:pt>
                <c:pt idx="72">
                  <c:v>2423.35</c:v>
                </c:pt>
                <c:pt idx="73">
                  <c:v>1992.05</c:v>
                </c:pt>
                <c:pt idx="74">
                  <c:v>1947.24</c:v>
                </c:pt>
                <c:pt idx="75">
                  <c:v>1814.8</c:v>
                </c:pt>
                <c:pt idx="76">
                  <c:v>1719.1</c:v>
                </c:pt>
                <c:pt idx="77">
                  <c:v>1615.9</c:v>
                </c:pt>
                <c:pt idx="78">
                  <c:v>1571.1999999999998</c:v>
                </c:pt>
                <c:pt idx="79">
                  <c:v>1545.7</c:v>
                </c:pt>
                <c:pt idx="80">
                  <c:v>1488.7</c:v>
                </c:pt>
                <c:pt idx="81">
                  <c:v>1480</c:v>
                </c:pt>
                <c:pt idx="82">
                  <c:v>1467.29</c:v>
                </c:pt>
                <c:pt idx="83">
                  <c:v>1402.9499999999998</c:v>
                </c:pt>
                <c:pt idx="84">
                  <c:v>836.7</c:v>
                </c:pt>
                <c:pt idx="85">
                  <c:v>649</c:v>
                </c:pt>
                <c:pt idx="86">
                  <c:v>522.5</c:v>
                </c:pt>
                <c:pt idx="87">
                  <c:v>357</c:v>
                </c:pt>
                <c:pt idx="88">
                  <c:v>100.8</c:v>
                </c:pt>
              </c:numCache>
            </c:numRef>
          </c:val>
          <c:extLst>
            <c:ext xmlns:c16="http://schemas.microsoft.com/office/drawing/2014/chart" uri="{C3380CC4-5D6E-409C-BE32-E72D297353CC}">
              <c16:uniqueId val="{00000000-E628-4623-8C32-088FB924C331}"/>
            </c:ext>
          </c:extLst>
        </c:ser>
        <c:dLbls>
          <c:showLegendKey val="0"/>
          <c:showVal val="0"/>
          <c:showCatName val="0"/>
          <c:showSerName val="0"/>
          <c:showPercent val="0"/>
          <c:showBubbleSize val="0"/>
        </c:dLbls>
        <c:gapWidth val="150"/>
        <c:overlap val="100"/>
        <c:axId val="1438996880"/>
        <c:axId val="1438987760"/>
      </c:barChart>
      <c:catAx>
        <c:axId val="143899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87760"/>
        <c:crosses val="autoZero"/>
        <c:auto val="1"/>
        <c:lblAlgn val="ctr"/>
        <c:lblOffset val="100"/>
        <c:noMultiLvlLbl val="0"/>
      </c:catAx>
      <c:valAx>
        <c:axId val="1438987760"/>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99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EMPLOYEE PERFORMANCE TO</a:t>
            </a:r>
          </a:p>
          <a:p>
            <a:pPr>
              <a:defRPr/>
            </a:pPr>
            <a:r>
              <a:rPr lang="en-US" sz="1400" b="1" i="0" u="none" strike="noStrike" kern="1200" spc="0" baseline="0">
                <a:solidFill>
                  <a:sysClr val="windowText" lastClr="000000">
                    <a:lumMod val="65000"/>
                    <a:lumOff val="35000"/>
                  </a:sysClr>
                </a:solidFill>
              </a:rPr>
              <a:t>TOTAL REVENUE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Table'!$B$235</c:f>
              <c:strCache>
                <c:ptCount val="1"/>
                <c:pt idx="0">
                  <c:v>Total</c:v>
                </c:pt>
              </c:strCache>
            </c:strRef>
          </c:tx>
          <c:spPr>
            <a:solidFill>
              <a:schemeClr val="accent1"/>
            </a:solidFill>
            <a:ln>
              <a:noFill/>
            </a:ln>
            <a:effectLst/>
          </c:spPr>
          <c:invertIfNegative val="0"/>
          <c:cat>
            <c:strRef>
              <c:f>'Pivot Table'!$A$236:$A$245</c:f>
              <c:strCache>
                <c:ptCount val="9"/>
                <c:pt idx="0">
                  <c:v>Margaret Peacock</c:v>
                </c:pt>
                <c:pt idx="1">
                  <c:v>Janet Leverling</c:v>
                </c:pt>
                <c:pt idx="2">
                  <c:v>Nancy Davolio</c:v>
                </c:pt>
                <c:pt idx="3">
                  <c:v>Andrew Fuller</c:v>
                </c:pt>
                <c:pt idx="4">
                  <c:v>Laura Callahan</c:v>
                </c:pt>
                <c:pt idx="5">
                  <c:v>Robert King</c:v>
                </c:pt>
                <c:pt idx="6">
                  <c:v>Anne Dodsworth</c:v>
                </c:pt>
                <c:pt idx="7">
                  <c:v>Michael Suyama</c:v>
                </c:pt>
                <c:pt idx="8">
                  <c:v>Steven Buchanan</c:v>
                </c:pt>
              </c:strCache>
            </c:strRef>
          </c:cat>
          <c:val>
            <c:numRef>
              <c:f>'Pivot Table'!$B$236:$B$245</c:f>
              <c:numCache>
                <c:formatCode>[$$-409]#,##0_ ;\-[$$-409]#,##0\ </c:formatCode>
                <c:ptCount val="9"/>
                <c:pt idx="0">
                  <c:v>232890.84600000002</c:v>
                </c:pt>
                <c:pt idx="1">
                  <c:v>202812.84299999996</c:v>
                </c:pt>
                <c:pt idx="2">
                  <c:v>192107.60449999999</c:v>
                </c:pt>
                <c:pt idx="3">
                  <c:v>166537.75500000003</c:v>
                </c:pt>
                <c:pt idx="4">
                  <c:v>126862.27749999998</c:v>
                </c:pt>
                <c:pt idx="5">
                  <c:v>124568.23500000002</c:v>
                </c:pt>
                <c:pt idx="6">
                  <c:v>77308.066500000015</c:v>
                </c:pt>
                <c:pt idx="7">
                  <c:v>73913.12950000001</c:v>
                </c:pt>
                <c:pt idx="8">
                  <c:v>68792.282500000001</c:v>
                </c:pt>
              </c:numCache>
            </c:numRef>
          </c:val>
          <c:extLst>
            <c:ext xmlns:c16="http://schemas.microsoft.com/office/drawing/2014/chart" uri="{C3380CC4-5D6E-409C-BE32-E72D297353CC}">
              <c16:uniqueId val="{00000000-5152-4F91-8792-212A2BE8FD84}"/>
            </c:ext>
          </c:extLst>
        </c:ser>
        <c:dLbls>
          <c:showLegendKey val="0"/>
          <c:showVal val="0"/>
          <c:showCatName val="0"/>
          <c:showSerName val="0"/>
          <c:showPercent val="0"/>
          <c:showBubbleSize val="0"/>
        </c:dLbls>
        <c:gapWidth val="150"/>
        <c:overlap val="100"/>
        <c:axId val="1439035280"/>
        <c:axId val="1439032400"/>
      </c:barChart>
      <c:catAx>
        <c:axId val="14390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032400"/>
        <c:crosses val="autoZero"/>
        <c:auto val="1"/>
        <c:lblAlgn val="ctr"/>
        <c:lblOffset val="100"/>
        <c:noMultiLvlLbl val="0"/>
      </c:catAx>
      <c:valAx>
        <c:axId val="1439032400"/>
        <c:scaling>
          <c:orientation val="minMax"/>
        </c:scaling>
        <c:delete val="0"/>
        <c:axPos val="l"/>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03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NORTHWIND FINAL VERSION REPORT.xlsx]Pivot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CUSTOMER PURCHASE VOLUME:</a:t>
            </a:r>
          </a:p>
          <a:p>
            <a:pPr>
              <a:defRPr/>
            </a:pPr>
            <a:r>
              <a:rPr lang="en-US" sz="1400" b="1" i="0" u="none" strike="noStrike" kern="1200" spc="0" baseline="0">
                <a:solidFill>
                  <a:sysClr val="windowText" lastClr="000000">
                    <a:lumMod val="65000"/>
                    <a:lumOff val="35000"/>
                  </a:sysClr>
                </a:solidFill>
              </a:rPr>
              <a:t>DISCOUNT Vs QUANTITY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Table'!$B$250</c:f>
              <c:strCache>
                <c:ptCount val="1"/>
                <c:pt idx="0">
                  <c:v>Total</c:v>
                </c:pt>
              </c:strCache>
            </c:strRef>
          </c:tx>
          <c:spPr>
            <a:solidFill>
              <a:schemeClr val="accent1"/>
            </a:solidFill>
            <a:ln>
              <a:noFill/>
            </a:ln>
            <a:effectLst/>
          </c:spPr>
          <c:invertIfNegative val="0"/>
          <c:cat>
            <c:strRef>
              <c:f>'Pivot Table'!$A$251:$A$340</c:f>
              <c:strCache>
                <c:ptCount val="89"/>
                <c:pt idx="0">
                  <c:v>Save-a-lot Markets</c:v>
                </c:pt>
                <c:pt idx="1">
                  <c:v>QUICK-Stop</c:v>
                </c:pt>
                <c:pt idx="2">
                  <c:v>Ernst Handel</c:v>
                </c:pt>
                <c:pt idx="3">
                  <c:v>Hungry Owl All-Night Grocers</c:v>
                </c:pt>
                <c:pt idx="4">
                  <c:v>La maison d'Asie</c:v>
                </c:pt>
                <c:pt idx="5">
                  <c:v>Folk och fä HB</c:v>
                </c:pt>
                <c:pt idx="6">
                  <c:v>Lehmanns Marktstand</c:v>
                </c:pt>
                <c:pt idx="7">
                  <c:v>Rattlesnake Canyon Grocery</c:v>
                </c:pt>
                <c:pt idx="8">
                  <c:v>LILA-Supermercado</c:v>
                </c:pt>
                <c:pt idx="9">
                  <c:v>Bottom-Dollar Markets</c:v>
                </c:pt>
                <c:pt idx="10">
                  <c:v>Reggiani Caseifici</c:v>
                </c:pt>
                <c:pt idx="11">
                  <c:v>Piccolo und mehr</c:v>
                </c:pt>
                <c:pt idx="12">
                  <c:v>LINO-Delicateses</c:v>
                </c:pt>
                <c:pt idx="13">
                  <c:v>Die Wandernde Kuh</c:v>
                </c:pt>
                <c:pt idx="14">
                  <c:v>Victuailles en stock</c:v>
                </c:pt>
                <c:pt idx="15">
                  <c:v>Queen Cozinha</c:v>
                </c:pt>
                <c:pt idx="16">
                  <c:v>Bon app'</c:v>
                </c:pt>
                <c:pt idx="17">
                  <c:v>Hanari Carnes</c:v>
                </c:pt>
                <c:pt idx="18">
                  <c:v>Gourmet Lanchonetes</c:v>
                </c:pt>
                <c:pt idx="19">
                  <c:v>Berglunds snabbköp</c:v>
                </c:pt>
                <c:pt idx="20">
                  <c:v>Furia Bacalhau e Frutos do Mar</c:v>
                </c:pt>
                <c:pt idx="21">
                  <c:v>HILARION-Abastos</c:v>
                </c:pt>
                <c:pt idx="22">
                  <c:v>Seven Seas Imports</c:v>
                </c:pt>
                <c:pt idx="23">
                  <c:v>Wartian Herkku</c:v>
                </c:pt>
                <c:pt idx="24">
                  <c:v>Frankenversand</c:v>
                </c:pt>
                <c:pt idx="25">
                  <c:v>Vaffeljernet</c:v>
                </c:pt>
                <c:pt idx="26">
                  <c:v>Mère Paillarde</c:v>
                </c:pt>
                <c:pt idx="27">
                  <c:v>White Clover Markets</c:v>
                </c:pt>
                <c:pt idx="28">
                  <c:v>Great Lakes Food Market</c:v>
                </c:pt>
                <c:pt idx="29">
                  <c:v>Königlich Essen</c:v>
                </c:pt>
                <c:pt idx="30">
                  <c:v>Ricardo Adocicados</c:v>
                </c:pt>
                <c:pt idx="31">
                  <c:v>Ottilies Käseladen</c:v>
                </c:pt>
                <c:pt idx="32">
                  <c:v>Richter Supermarkt</c:v>
                </c:pt>
                <c:pt idx="33">
                  <c:v>Chop-suey Chinese</c:v>
                </c:pt>
                <c:pt idx="34">
                  <c:v>Old World Delicatessen</c:v>
                </c:pt>
                <c:pt idx="35">
                  <c:v>Wellington Importadora</c:v>
                </c:pt>
                <c:pt idx="36">
                  <c:v>Toms Spezialitäten</c:v>
                </c:pt>
                <c:pt idx="37">
                  <c:v>Que Delícia</c:v>
                </c:pt>
                <c:pt idx="38">
                  <c:v>Simons bistro</c:v>
                </c:pt>
                <c:pt idx="39">
                  <c:v>Split Rail Beer &amp; Ale</c:v>
                </c:pt>
                <c:pt idx="40">
                  <c:v>Bólido Comidas preparadas</c:v>
                </c:pt>
                <c:pt idx="41">
                  <c:v>Maison Dewey</c:v>
                </c:pt>
                <c:pt idx="42">
                  <c:v>Familia Arquibaldo</c:v>
                </c:pt>
                <c:pt idx="43">
                  <c:v>Around the Horn</c:v>
                </c:pt>
                <c:pt idx="44">
                  <c:v>Suprêmes délices</c:v>
                </c:pt>
                <c:pt idx="45">
                  <c:v>Antonio Moreno Taquería</c:v>
                </c:pt>
                <c:pt idx="46">
                  <c:v>Tradição Hipermercados</c:v>
                </c:pt>
                <c:pt idx="47">
                  <c:v>Let's Stop N Shop</c:v>
                </c:pt>
                <c:pt idx="48">
                  <c:v>Magazzini Alimentari Riuniti</c:v>
                </c:pt>
                <c:pt idx="49">
                  <c:v>Alfreds Futterkiste</c:v>
                </c:pt>
                <c:pt idx="50">
                  <c:v>Eastern Connection</c:v>
                </c:pt>
                <c:pt idx="51">
                  <c:v>Godos Cocina Típica</c:v>
                </c:pt>
                <c:pt idx="52">
                  <c:v>Princesa Isabel Vinhos</c:v>
                </c:pt>
                <c:pt idx="53">
                  <c:v>Blondesddsl père et fils</c:v>
                </c:pt>
                <c:pt idx="54">
                  <c:v>Du monde entier</c:v>
                </c:pt>
                <c:pt idx="55">
                  <c:v>Franchi S.p.A.</c:v>
                </c:pt>
                <c:pt idx="56">
                  <c:v>Centro comercial Moctezuma</c:v>
                </c:pt>
                <c:pt idx="57">
                  <c:v>Ana Trujillo Emparedados y helados</c:v>
                </c:pt>
                <c:pt idx="58">
                  <c:v>Wilman Kala</c:v>
                </c:pt>
                <c:pt idx="59">
                  <c:v>Pericles Comidas clásicas</c:v>
                </c:pt>
                <c:pt idx="60">
                  <c:v>Océano Atlántico Ltda.</c:v>
                </c:pt>
                <c:pt idx="61">
                  <c:v>Galería del gastrónomo</c:v>
                </c:pt>
                <c:pt idx="62">
                  <c:v>Lazy K Kountry Store</c:v>
                </c:pt>
                <c:pt idx="63">
                  <c:v>Morgenstern Gesundkost</c:v>
                </c:pt>
                <c:pt idx="64">
                  <c:v>Cactus Comidas para llevar</c:v>
                </c:pt>
                <c:pt idx="65">
                  <c:v>North/South</c:v>
                </c:pt>
                <c:pt idx="66">
                  <c:v>France restauration</c:v>
                </c:pt>
                <c:pt idx="67">
                  <c:v>Comércio Mineiro</c:v>
                </c:pt>
                <c:pt idx="68">
                  <c:v>Island Trading</c:v>
                </c:pt>
                <c:pt idx="69">
                  <c:v>La corne d'abondance</c:v>
                </c:pt>
                <c:pt idx="70">
                  <c:v>Spécialités du monde</c:v>
                </c:pt>
                <c:pt idx="71">
                  <c:v>The Big Cheese</c:v>
                </c:pt>
                <c:pt idx="72">
                  <c:v>Laughing Bacchus Wine Cellars</c:v>
                </c:pt>
                <c:pt idx="73">
                  <c:v>Consolidated Holdings</c:v>
                </c:pt>
                <c:pt idx="74">
                  <c:v>The Cracker Box</c:v>
                </c:pt>
                <c:pt idx="75">
                  <c:v>Rancho grande</c:v>
                </c:pt>
                <c:pt idx="76">
                  <c:v>Tortuga Restaurante</c:v>
                </c:pt>
                <c:pt idx="77">
                  <c:v>GROSELLA-Restaurante</c:v>
                </c:pt>
                <c:pt idx="78">
                  <c:v>Trail's Head Gourmet Provisioners</c:v>
                </c:pt>
                <c:pt idx="79">
                  <c:v>B's Beverages</c:v>
                </c:pt>
                <c:pt idx="80">
                  <c:v>Vins et alcools Chevalier</c:v>
                </c:pt>
                <c:pt idx="81">
                  <c:v>Blauer See Delikatessen</c:v>
                </c:pt>
                <c:pt idx="82">
                  <c:v>Folies gourmandes</c:v>
                </c:pt>
                <c:pt idx="83">
                  <c:v>Drachenblut Delikatessen</c:v>
                </c:pt>
                <c:pt idx="84">
                  <c:v>Lonesome Pine Restaurant</c:v>
                </c:pt>
                <c:pt idx="85">
                  <c:v>Hungry Coyote Import Store</c:v>
                </c:pt>
                <c:pt idx="86">
                  <c:v>Wolski  Zajazd</c:v>
                </c:pt>
                <c:pt idx="87">
                  <c:v>Romero y tomillo</c:v>
                </c:pt>
                <c:pt idx="88">
                  <c:v>Santé Gourmet</c:v>
                </c:pt>
              </c:strCache>
            </c:strRef>
          </c:cat>
          <c:val>
            <c:numRef>
              <c:f>'Pivot Table'!$B$251:$B$340</c:f>
              <c:numCache>
                <c:formatCode>0%</c:formatCode>
                <c:ptCount val="89"/>
                <c:pt idx="0">
                  <c:v>4.8245614035087724E-2</c:v>
                </c:pt>
                <c:pt idx="1">
                  <c:v>4.7149122807017566E-2</c:v>
                </c:pt>
                <c:pt idx="2">
                  <c:v>4.7149122807017559E-2</c:v>
                </c:pt>
                <c:pt idx="3">
                  <c:v>4.4956140350877201E-2</c:v>
                </c:pt>
                <c:pt idx="4">
                  <c:v>4.2763157894736857E-2</c:v>
                </c:pt>
                <c:pt idx="5">
                  <c:v>4.0570175438596499E-2</c:v>
                </c:pt>
                <c:pt idx="6">
                  <c:v>3.0701754385964918E-2</c:v>
                </c:pt>
                <c:pt idx="7">
                  <c:v>2.9605263157894742E-2</c:v>
                </c:pt>
                <c:pt idx="8">
                  <c:v>2.850877192982457E-2</c:v>
                </c:pt>
                <c:pt idx="9">
                  <c:v>2.7412280701754395E-2</c:v>
                </c:pt>
                <c:pt idx="10">
                  <c:v>2.5219298245614044E-2</c:v>
                </c:pt>
                <c:pt idx="11">
                  <c:v>2.3026315789473693E-2</c:v>
                </c:pt>
                <c:pt idx="12">
                  <c:v>2.3026315789473693E-2</c:v>
                </c:pt>
                <c:pt idx="13">
                  <c:v>2.3026315789473686E-2</c:v>
                </c:pt>
                <c:pt idx="14">
                  <c:v>2.1929824561403514E-2</c:v>
                </c:pt>
                <c:pt idx="15">
                  <c:v>2.0833333333333339E-2</c:v>
                </c:pt>
                <c:pt idx="16">
                  <c:v>2.0833333333333339E-2</c:v>
                </c:pt>
                <c:pt idx="17">
                  <c:v>2.0833333333333339E-2</c:v>
                </c:pt>
                <c:pt idx="18">
                  <c:v>2.0833333333333339E-2</c:v>
                </c:pt>
                <c:pt idx="19">
                  <c:v>1.9736842105263164E-2</c:v>
                </c:pt>
                <c:pt idx="20">
                  <c:v>1.9736842105263164E-2</c:v>
                </c:pt>
                <c:pt idx="21">
                  <c:v>1.8640350877192988E-2</c:v>
                </c:pt>
                <c:pt idx="22">
                  <c:v>1.7543859649122813E-2</c:v>
                </c:pt>
                <c:pt idx="23">
                  <c:v>1.6447368421052638E-2</c:v>
                </c:pt>
                <c:pt idx="24">
                  <c:v>1.5350877192982462E-2</c:v>
                </c:pt>
                <c:pt idx="25">
                  <c:v>1.4254385964912287E-2</c:v>
                </c:pt>
                <c:pt idx="26">
                  <c:v>1.4254385964912287E-2</c:v>
                </c:pt>
                <c:pt idx="27">
                  <c:v>1.4254385964912285E-2</c:v>
                </c:pt>
                <c:pt idx="28">
                  <c:v>1.4254385964912285E-2</c:v>
                </c:pt>
                <c:pt idx="29">
                  <c:v>1.4254385964912285E-2</c:v>
                </c:pt>
                <c:pt idx="30">
                  <c:v>1.4254385964912283E-2</c:v>
                </c:pt>
                <c:pt idx="31">
                  <c:v>1.4254385964912283E-2</c:v>
                </c:pt>
                <c:pt idx="32">
                  <c:v>1.3157894736842111E-2</c:v>
                </c:pt>
                <c:pt idx="33">
                  <c:v>1.3157894736842108E-2</c:v>
                </c:pt>
                <c:pt idx="34">
                  <c:v>1.3157894736842108E-2</c:v>
                </c:pt>
                <c:pt idx="35">
                  <c:v>1.2061403508771934E-2</c:v>
                </c:pt>
                <c:pt idx="36">
                  <c:v>1.2061403508771934E-2</c:v>
                </c:pt>
                <c:pt idx="37">
                  <c:v>1.2061403508771934E-2</c:v>
                </c:pt>
                <c:pt idx="38">
                  <c:v>1.0964912280701757E-2</c:v>
                </c:pt>
                <c:pt idx="39">
                  <c:v>9.8684210526315819E-3</c:v>
                </c:pt>
                <c:pt idx="40">
                  <c:v>9.8684210526315819E-3</c:v>
                </c:pt>
                <c:pt idx="41">
                  <c:v>9.8684210526315801E-3</c:v>
                </c:pt>
                <c:pt idx="42">
                  <c:v>8.7719298245614065E-3</c:v>
                </c:pt>
                <c:pt idx="43">
                  <c:v>8.7719298245614065E-3</c:v>
                </c:pt>
                <c:pt idx="44">
                  <c:v>8.7719298245614065E-3</c:v>
                </c:pt>
                <c:pt idx="45">
                  <c:v>8.7719298245614065E-3</c:v>
                </c:pt>
                <c:pt idx="46">
                  <c:v>8.7719298245614065E-3</c:v>
                </c:pt>
                <c:pt idx="47">
                  <c:v>8.7719298245614048E-3</c:v>
                </c:pt>
                <c:pt idx="48">
                  <c:v>7.6754385964912294E-3</c:v>
                </c:pt>
                <c:pt idx="49">
                  <c:v>7.6754385964912294E-3</c:v>
                </c:pt>
                <c:pt idx="50">
                  <c:v>5.4824561403508786E-3</c:v>
                </c:pt>
                <c:pt idx="51">
                  <c:v>5.4824561403508786E-3</c:v>
                </c:pt>
                <c:pt idx="52">
                  <c:v>5.4824561403508786E-3</c:v>
                </c:pt>
                <c:pt idx="53">
                  <c:v>5.4824561403508786E-3</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numCache>
            </c:numRef>
          </c:val>
          <c:extLst>
            <c:ext xmlns:c16="http://schemas.microsoft.com/office/drawing/2014/chart" uri="{C3380CC4-5D6E-409C-BE32-E72D297353CC}">
              <c16:uniqueId val="{00000000-55FD-4B90-BCE8-85EE8975C887}"/>
            </c:ext>
          </c:extLst>
        </c:ser>
        <c:dLbls>
          <c:showLegendKey val="0"/>
          <c:showVal val="0"/>
          <c:showCatName val="0"/>
          <c:showSerName val="0"/>
          <c:showPercent val="0"/>
          <c:showBubbleSize val="0"/>
        </c:dLbls>
        <c:gapWidth val="219"/>
        <c:overlap val="-27"/>
        <c:axId val="1560743008"/>
        <c:axId val="1560725248"/>
      </c:barChart>
      <c:catAx>
        <c:axId val="15607430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QUANTITY</a:t>
                </a:r>
                <a:r>
                  <a:rPr lang="en-US" sz="1200" b="1" baseline="0"/>
                  <a:t> PURCHASE BY CUSTOMERS</a:t>
                </a:r>
                <a:endParaRPr lang="en-US"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25248"/>
        <c:crosses val="autoZero"/>
        <c:auto val="1"/>
        <c:lblAlgn val="ctr"/>
        <c:lblOffset val="100"/>
        <c:noMultiLvlLbl val="0"/>
      </c:catAx>
      <c:valAx>
        <c:axId val="1560725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200" b="1"/>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743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image" Target="../media/image1.png"/><Relationship Id="rId7" Type="http://schemas.openxmlformats.org/officeDocument/2006/relationships/chart" Target="../charts/chart1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2.xml"/><Relationship Id="rId5" Type="http://schemas.openxmlformats.org/officeDocument/2006/relationships/chart" Target="../charts/chart11.xml"/><Relationship Id="rId10" Type="http://schemas.openxmlformats.org/officeDocument/2006/relationships/chart" Target="../charts/chart16.xml"/><Relationship Id="rId4" Type="http://schemas.openxmlformats.org/officeDocument/2006/relationships/image" Target="../media/image2.svg"/><Relationship Id="rId9"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2381</xdr:colOff>
      <xdr:row>1</xdr:row>
      <xdr:rowOff>57150</xdr:rowOff>
    </xdr:from>
    <xdr:to>
      <xdr:col>17</xdr:col>
      <xdr:colOff>133350</xdr:colOff>
      <xdr:row>16</xdr:row>
      <xdr:rowOff>38100</xdr:rowOff>
    </xdr:to>
    <xdr:graphicFrame macro="">
      <xdr:nvGraphicFramePr>
        <xdr:cNvPr id="2" name="Chart 1">
          <a:extLst>
            <a:ext uri="{FF2B5EF4-FFF2-40B4-BE49-F238E27FC236}">
              <a16:creationId xmlns:a16="http://schemas.microsoft.com/office/drawing/2014/main" id="{3149890E-5B1F-1186-0FF7-9625F598CE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240506</xdr:colOff>
      <xdr:row>19</xdr:row>
      <xdr:rowOff>104775</xdr:rowOff>
    </xdr:from>
    <xdr:to>
      <xdr:col>18</xdr:col>
      <xdr:colOff>80963</xdr:colOff>
      <xdr:row>34</xdr:row>
      <xdr:rowOff>133350</xdr:rowOff>
    </xdr:to>
    <xdr:graphicFrame macro="">
      <xdr:nvGraphicFramePr>
        <xdr:cNvPr id="4" name="Chart 3">
          <a:extLst>
            <a:ext uri="{FF2B5EF4-FFF2-40B4-BE49-F238E27FC236}">
              <a16:creationId xmlns:a16="http://schemas.microsoft.com/office/drawing/2014/main" id="{0EC0A95A-D762-004F-4013-BC07195CD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145257</xdr:colOff>
      <xdr:row>37</xdr:row>
      <xdr:rowOff>52387</xdr:rowOff>
    </xdr:from>
    <xdr:to>
      <xdr:col>18</xdr:col>
      <xdr:colOff>138113</xdr:colOff>
      <xdr:row>52</xdr:row>
      <xdr:rowOff>152399</xdr:rowOff>
    </xdr:to>
    <xdr:graphicFrame macro="">
      <xdr:nvGraphicFramePr>
        <xdr:cNvPr id="5" name="Chart 4">
          <a:extLst>
            <a:ext uri="{FF2B5EF4-FFF2-40B4-BE49-F238E27FC236}">
              <a16:creationId xmlns:a16="http://schemas.microsoft.com/office/drawing/2014/main" id="{0EBA2282-7726-1750-EF32-01B91767F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69055</xdr:colOff>
      <xdr:row>115</xdr:row>
      <xdr:rowOff>90488</xdr:rowOff>
    </xdr:from>
    <xdr:to>
      <xdr:col>18</xdr:col>
      <xdr:colOff>209549</xdr:colOff>
      <xdr:row>130</xdr:row>
      <xdr:rowOff>119063</xdr:rowOff>
    </xdr:to>
    <xdr:graphicFrame macro="">
      <xdr:nvGraphicFramePr>
        <xdr:cNvPr id="6" name="Chart 5">
          <a:extLst>
            <a:ext uri="{FF2B5EF4-FFF2-40B4-BE49-F238E27FC236}">
              <a16:creationId xmlns:a16="http://schemas.microsoft.com/office/drawing/2014/main" id="{C3F7CA6E-F541-A557-7258-6E07F6E44A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2377</xdr:colOff>
      <xdr:row>133</xdr:row>
      <xdr:rowOff>80963</xdr:rowOff>
    </xdr:from>
    <xdr:to>
      <xdr:col>25</xdr:col>
      <xdr:colOff>14287</xdr:colOff>
      <xdr:row>148</xdr:row>
      <xdr:rowOff>109538</xdr:rowOff>
    </xdr:to>
    <xdr:graphicFrame macro="">
      <xdr:nvGraphicFramePr>
        <xdr:cNvPr id="9" name="Chart 8">
          <a:extLst>
            <a:ext uri="{FF2B5EF4-FFF2-40B4-BE49-F238E27FC236}">
              <a16:creationId xmlns:a16="http://schemas.microsoft.com/office/drawing/2014/main" id="{9DE6E2B3-499F-41AC-4F45-94A84E3E5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2380</xdr:colOff>
      <xdr:row>208</xdr:row>
      <xdr:rowOff>85725</xdr:rowOff>
    </xdr:from>
    <xdr:to>
      <xdr:col>22</xdr:col>
      <xdr:colOff>109538</xdr:colOff>
      <xdr:row>223</xdr:row>
      <xdr:rowOff>114300</xdr:rowOff>
    </xdr:to>
    <xdr:graphicFrame macro="">
      <xdr:nvGraphicFramePr>
        <xdr:cNvPr id="3" name="Chart 2">
          <a:extLst>
            <a:ext uri="{FF2B5EF4-FFF2-40B4-BE49-F238E27FC236}">
              <a16:creationId xmlns:a16="http://schemas.microsoft.com/office/drawing/2014/main" id="{D493A76B-7137-670E-4613-395D14C14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116681</xdr:colOff>
      <xdr:row>234</xdr:row>
      <xdr:rowOff>128587</xdr:rowOff>
    </xdr:from>
    <xdr:to>
      <xdr:col>21</xdr:col>
      <xdr:colOff>138113</xdr:colOff>
      <xdr:row>249</xdr:row>
      <xdr:rowOff>157162</xdr:rowOff>
    </xdr:to>
    <xdr:graphicFrame macro="">
      <xdr:nvGraphicFramePr>
        <xdr:cNvPr id="7" name="Chart 6">
          <a:extLst>
            <a:ext uri="{FF2B5EF4-FFF2-40B4-BE49-F238E27FC236}">
              <a16:creationId xmlns:a16="http://schemas.microsoft.com/office/drawing/2014/main" id="{26E21800-CD50-9FF0-B4D2-52525FA84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40481</xdr:colOff>
      <xdr:row>250</xdr:row>
      <xdr:rowOff>0</xdr:rowOff>
    </xdr:from>
    <xdr:to>
      <xdr:col>23</xdr:col>
      <xdr:colOff>40481</xdr:colOff>
      <xdr:row>265</xdr:row>
      <xdr:rowOff>28575</xdr:rowOff>
    </xdr:to>
    <xdr:graphicFrame macro="">
      <xdr:nvGraphicFramePr>
        <xdr:cNvPr id="11" name="Chart 10">
          <a:extLst>
            <a:ext uri="{FF2B5EF4-FFF2-40B4-BE49-F238E27FC236}">
              <a16:creationId xmlns:a16="http://schemas.microsoft.com/office/drawing/2014/main" id="{96BE4463-C06B-0C68-F250-8A2E27B61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1628775</xdr:colOff>
      <xdr:row>341</xdr:row>
      <xdr:rowOff>95250</xdr:rowOff>
    </xdr:from>
    <xdr:to>
      <xdr:col>17</xdr:col>
      <xdr:colOff>7857</xdr:colOff>
      <xdr:row>355</xdr:row>
      <xdr:rowOff>173138</xdr:rowOff>
    </xdr:to>
    <xdr:grpSp>
      <xdr:nvGrpSpPr>
        <xdr:cNvPr id="36" name="Group 35">
          <a:extLst>
            <a:ext uri="{FF2B5EF4-FFF2-40B4-BE49-F238E27FC236}">
              <a16:creationId xmlns:a16="http://schemas.microsoft.com/office/drawing/2014/main" id="{03B74153-51E4-1AAB-1827-F34B32607F8C}"/>
            </a:ext>
          </a:extLst>
        </xdr:cNvPr>
        <xdr:cNvGrpSpPr/>
      </xdr:nvGrpSpPr>
      <xdr:grpSpPr>
        <a:xfrm>
          <a:off x="1042988" y="61807725"/>
          <a:ext cx="4294107" cy="2611538"/>
          <a:chOff x="1628775" y="61807725"/>
          <a:chExt cx="5208507" cy="2611538"/>
        </a:xfrm>
      </xdr:grpSpPr>
      <xdr:grpSp>
        <xdr:nvGrpSpPr>
          <xdr:cNvPr id="23" name="Group 22">
            <a:extLst>
              <a:ext uri="{FF2B5EF4-FFF2-40B4-BE49-F238E27FC236}">
                <a16:creationId xmlns:a16="http://schemas.microsoft.com/office/drawing/2014/main" id="{E97502F0-1540-46E3-999B-B421CB342723}"/>
              </a:ext>
            </a:extLst>
          </xdr:cNvPr>
          <xdr:cNvGrpSpPr/>
        </xdr:nvGrpSpPr>
        <xdr:grpSpPr>
          <a:xfrm>
            <a:off x="1628775" y="61807725"/>
            <a:ext cx="5208507" cy="2611538"/>
            <a:chOff x="6442433" y="401443"/>
            <a:chExt cx="5208507" cy="2611538"/>
          </a:xfrm>
        </xdr:grpSpPr>
        <xdr:sp macro="" textlink="">
          <xdr:nvSpPr>
            <xdr:cNvPr id="24" name="Rectangle: Rounded Corners 23">
              <a:extLst>
                <a:ext uri="{FF2B5EF4-FFF2-40B4-BE49-F238E27FC236}">
                  <a16:creationId xmlns:a16="http://schemas.microsoft.com/office/drawing/2014/main" id="{D483F77F-A9CB-C6EA-1AAA-CBD5823A2D01}"/>
                </a:ext>
              </a:extLst>
            </xdr:cNvPr>
            <xdr:cNvSpPr/>
          </xdr:nvSpPr>
          <xdr:spPr>
            <a:xfrm>
              <a:off x="6442433" y="415781"/>
              <a:ext cx="1943679" cy="14768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58E9636F-636F-AC48-96F0-EE3E6244254A}"/>
                </a:ext>
              </a:extLst>
            </xdr:cNvPr>
            <xdr:cNvSpPr txBox="1"/>
          </xdr:nvSpPr>
          <xdr:spPr>
            <a:xfrm>
              <a:off x="6573223" y="526686"/>
              <a:ext cx="1674833" cy="110906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400" b="1" baseline="0"/>
                <a:t> REVENUE</a:t>
              </a:r>
            </a:p>
            <a:p>
              <a:pPr algn="ctr"/>
              <a:r>
                <a:rPr lang="en-US" sz="1400" b="1"/>
                <a:t>1,265,793</a:t>
              </a:r>
            </a:p>
          </xdr:txBody>
        </xdr:sp>
        <xdr:sp macro="" textlink="">
          <xdr:nvSpPr>
            <xdr:cNvPr id="26" name="Rectangle: Rounded Corners 25">
              <a:extLst>
                <a:ext uri="{FF2B5EF4-FFF2-40B4-BE49-F238E27FC236}">
                  <a16:creationId xmlns:a16="http://schemas.microsoft.com/office/drawing/2014/main" id="{69A84ADE-4DB9-1D8C-EBD6-609C581D90D5}"/>
                </a:ext>
              </a:extLst>
            </xdr:cNvPr>
            <xdr:cNvSpPr/>
          </xdr:nvSpPr>
          <xdr:spPr>
            <a:xfrm>
              <a:off x="8486839" y="1907734"/>
              <a:ext cx="3164101" cy="10826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TextBox 26">
              <a:extLst>
                <a:ext uri="{FF2B5EF4-FFF2-40B4-BE49-F238E27FC236}">
                  <a16:creationId xmlns:a16="http://schemas.microsoft.com/office/drawing/2014/main" id="{B452B363-9A72-C9D2-9F49-AEF78704D729}"/>
                </a:ext>
              </a:extLst>
            </xdr:cNvPr>
            <xdr:cNvSpPr txBox="1"/>
          </xdr:nvSpPr>
          <xdr:spPr>
            <a:xfrm>
              <a:off x="8777791" y="2168562"/>
              <a:ext cx="2570074" cy="659454"/>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a:t>
              </a:r>
              <a:r>
                <a:rPr lang="en-US" sz="1200" b="1"/>
                <a:t>TOTAL </a:t>
              </a:r>
              <a:r>
                <a:rPr lang="en-US" sz="1200" b="1" baseline="0"/>
                <a:t> </a:t>
              </a:r>
              <a:r>
                <a:rPr lang="en-US" sz="1200" b="1"/>
                <a:t>CUSTOMERS</a:t>
              </a:r>
            </a:p>
            <a:p>
              <a:pPr algn="ctr"/>
              <a:r>
                <a:rPr lang="en-US" sz="1200" b="1"/>
                <a:t>89</a:t>
              </a:r>
            </a:p>
          </xdr:txBody>
        </xdr:sp>
        <xdr:sp macro="" textlink="">
          <xdr:nvSpPr>
            <xdr:cNvPr id="28" name="Rectangle: Rounded Corners 27">
              <a:extLst>
                <a:ext uri="{FF2B5EF4-FFF2-40B4-BE49-F238E27FC236}">
                  <a16:creationId xmlns:a16="http://schemas.microsoft.com/office/drawing/2014/main" id="{2E3B52B5-2663-847B-AFED-3A9C3DCFFE40}"/>
                </a:ext>
              </a:extLst>
            </xdr:cNvPr>
            <xdr:cNvSpPr/>
          </xdr:nvSpPr>
          <xdr:spPr>
            <a:xfrm>
              <a:off x="6442433" y="1827666"/>
              <a:ext cx="2015776" cy="11853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41574E32-9366-33E9-6167-B1ED3407D410}"/>
                </a:ext>
              </a:extLst>
            </xdr:cNvPr>
            <xdr:cNvSpPr txBox="1"/>
          </xdr:nvSpPr>
          <xdr:spPr>
            <a:xfrm>
              <a:off x="6653739" y="2058766"/>
              <a:ext cx="1409985" cy="81198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ORDERS</a:t>
              </a:r>
            </a:p>
            <a:p>
              <a:pPr algn="ctr"/>
              <a:r>
                <a:rPr lang="en-US" sz="1400" b="1"/>
                <a:t>2155</a:t>
              </a:r>
            </a:p>
          </xdr:txBody>
        </xdr:sp>
        <xdr:sp macro="" textlink="">
          <xdr:nvSpPr>
            <xdr:cNvPr id="30" name="Rectangle: Rounded Corners 29">
              <a:extLst>
                <a:ext uri="{FF2B5EF4-FFF2-40B4-BE49-F238E27FC236}">
                  <a16:creationId xmlns:a16="http://schemas.microsoft.com/office/drawing/2014/main" id="{01AB500E-ED81-25F7-D755-3B5D09D67D1D}"/>
                </a:ext>
              </a:extLst>
            </xdr:cNvPr>
            <xdr:cNvSpPr/>
          </xdr:nvSpPr>
          <xdr:spPr>
            <a:xfrm>
              <a:off x="8404763" y="401443"/>
              <a:ext cx="3182349" cy="160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0458FA8B-A144-7716-198C-0CA4A478A3B1}"/>
                </a:ext>
              </a:extLst>
            </xdr:cNvPr>
            <xdr:cNvSpPr txBox="1"/>
          </xdr:nvSpPr>
          <xdr:spPr>
            <a:xfrm>
              <a:off x="9270964" y="530107"/>
              <a:ext cx="1195734" cy="43941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SHIPPERS</a:t>
              </a:r>
              <a:r>
                <a:rPr lang="en-US" sz="1100" b="1" baseline="0"/>
                <a:t> NAME</a:t>
              </a:r>
              <a:endParaRPr lang="en-US" sz="1100" b="1"/>
            </a:p>
          </xdr:txBody>
        </xdr:sp>
        <xdr:sp macro="" textlink="">
          <xdr:nvSpPr>
            <xdr:cNvPr id="32" name="TextBox 31">
              <a:extLst>
                <a:ext uri="{FF2B5EF4-FFF2-40B4-BE49-F238E27FC236}">
                  <a16:creationId xmlns:a16="http://schemas.microsoft.com/office/drawing/2014/main" id="{549DAFD8-7466-65F2-09D7-04BD04A6A6B6}"/>
                </a:ext>
              </a:extLst>
            </xdr:cNvPr>
            <xdr:cNvSpPr txBox="1"/>
          </xdr:nvSpPr>
          <xdr:spPr>
            <a:xfrm>
              <a:off x="8522455" y="964993"/>
              <a:ext cx="1379331" cy="37599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Federal Shipping</a:t>
              </a:r>
            </a:p>
          </xdr:txBody>
        </xdr:sp>
        <xdr:sp macro="" textlink="">
          <xdr:nvSpPr>
            <xdr:cNvPr id="33" name="TextBox 32">
              <a:extLst>
                <a:ext uri="{FF2B5EF4-FFF2-40B4-BE49-F238E27FC236}">
                  <a16:creationId xmlns:a16="http://schemas.microsoft.com/office/drawing/2014/main" id="{B168EE8C-6DF3-1A6D-E531-0942A5A75569}"/>
                </a:ext>
              </a:extLst>
            </xdr:cNvPr>
            <xdr:cNvSpPr txBox="1"/>
          </xdr:nvSpPr>
          <xdr:spPr>
            <a:xfrm>
              <a:off x="10043014" y="964993"/>
              <a:ext cx="1360501" cy="38052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Speedy Expresss</a:t>
              </a:r>
            </a:p>
          </xdr:txBody>
        </xdr:sp>
        <xdr:sp macro="" textlink="">
          <xdr:nvSpPr>
            <xdr:cNvPr id="34" name="TextBox 33">
              <a:extLst>
                <a:ext uri="{FF2B5EF4-FFF2-40B4-BE49-F238E27FC236}">
                  <a16:creationId xmlns:a16="http://schemas.microsoft.com/office/drawing/2014/main" id="{3FC50640-86F2-73F7-36DE-3257540492F8}"/>
                </a:ext>
              </a:extLst>
            </xdr:cNvPr>
            <xdr:cNvSpPr txBox="1"/>
          </xdr:nvSpPr>
          <xdr:spPr>
            <a:xfrm>
              <a:off x="9049708" y="1517661"/>
              <a:ext cx="1934829" cy="37599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t>          </a:t>
              </a:r>
              <a:r>
                <a:rPr lang="en-US" sz="1200"/>
                <a:t>      </a:t>
              </a:r>
              <a:r>
                <a:rPr lang="en-US" sz="1200" b="1"/>
                <a:t> United</a:t>
              </a:r>
              <a:r>
                <a:rPr lang="en-US" sz="1200" b="1" baseline="0"/>
                <a:t> Package</a:t>
              </a:r>
              <a:endParaRPr lang="en-US" sz="1200" b="1"/>
            </a:p>
          </xdr:txBody>
        </xdr:sp>
      </xdr:grpSp>
      <xdr:pic>
        <xdr:nvPicPr>
          <xdr:cNvPr id="35" name="Graphic 34" descr="Dollar with solid fill">
            <a:extLst>
              <a:ext uri="{FF2B5EF4-FFF2-40B4-BE49-F238E27FC236}">
                <a16:creationId xmlns:a16="http://schemas.microsoft.com/office/drawing/2014/main" id="{99F39FE9-C574-4955-8AF8-33EC9C2B334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90688" y="62074426"/>
            <a:ext cx="471304" cy="757238"/>
          </a:xfrm>
          <a:prstGeom prst="rect">
            <a:avLst/>
          </a:prstGeom>
        </xdr:spPr>
      </xdr:pic>
    </xdr:grpSp>
    <xdr:clientData/>
  </xdr:twoCellAnchor>
  <xdr:twoCellAnchor editAs="oneCell">
    <xdr:from>
      <xdr:col>19</xdr:col>
      <xdr:colOff>9525</xdr:colOff>
      <xdr:row>19</xdr:row>
      <xdr:rowOff>119063</xdr:rowOff>
    </xdr:from>
    <xdr:to>
      <xdr:col>26</xdr:col>
      <xdr:colOff>238125</xdr:colOff>
      <xdr:row>27</xdr:row>
      <xdr:rowOff>133350</xdr:rowOff>
    </xdr:to>
    <mc:AlternateContent xmlns:mc="http://schemas.openxmlformats.org/markup-compatibility/2006">
      <mc:Choice xmlns:a14="http://schemas.microsoft.com/office/drawing/2010/main" Requires="a14">
        <xdr:graphicFrame macro="">
          <xdr:nvGraphicFramePr>
            <xdr:cNvPr id="10" name="Product Availability">
              <a:extLst>
                <a:ext uri="{FF2B5EF4-FFF2-40B4-BE49-F238E27FC236}">
                  <a16:creationId xmlns:a16="http://schemas.microsoft.com/office/drawing/2014/main" id="{95EC346F-28CE-5B2D-1647-8AC8688FDA0D}"/>
                </a:ext>
              </a:extLst>
            </xdr:cNvPr>
            <xdr:cNvGraphicFramePr/>
          </xdr:nvGraphicFramePr>
          <xdr:xfrm>
            <a:off x="0" y="0"/>
            <a:ext cx="0" cy="0"/>
          </xdr:xfrm>
          <a:graphic>
            <a:graphicData uri="http://schemas.microsoft.com/office/drawing/2010/slicer">
              <sle:slicer xmlns:sle="http://schemas.microsoft.com/office/drawing/2010/slicer" name="Product Availability"/>
            </a:graphicData>
          </a:graphic>
        </xdr:graphicFrame>
      </mc:Choice>
      <mc:Fallback>
        <xdr:sp macro="" textlink="">
          <xdr:nvSpPr>
            <xdr:cNvPr id="0" name=""/>
            <xdr:cNvSpPr>
              <a:spLocks noTextEdit="1"/>
            </xdr:cNvSpPr>
          </xdr:nvSpPr>
          <xdr:spPr>
            <a:xfrm>
              <a:off x="5795963" y="3557588"/>
              <a:ext cx="1828800" cy="1462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38100</xdr:colOff>
      <xdr:row>37</xdr:row>
      <xdr:rowOff>33337</xdr:rowOff>
    </xdr:from>
    <xdr:to>
      <xdr:col>27</xdr:col>
      <xdr:colOff>0</xdr:colOff>
      <xdr:row>51</xdr:row>
      <xdr:rowOff>95254</xdr:rowOff>
    </xdr:to>
    <mc:AlternateContent xmlns:mc="http://schemas.openxmlformats.org/markup-compatibility/2006">
      <mc:Choice xmlns:a14="http://schemas.microsoft.com/office/drawing/2010/main" Requires="a14">
        <xdr:graphicFrame macro="">
          <xdr:nvGraphicFramePr>
            <xdr:cNvPr id="12" name="productName 1">
              <a:extLst>
                <a:ext uri="{FF2B5EF4-FFF2-40B4-BE49-F238E27FC236}">
                  <a16:creationId xmlns:a16="http://schemas.microsoft.com/office/drawing/2014/main" id="{FB47C3F1-E89D-46FF-DA32-B6E157DD7E20}"/>
                </a:ext>
              </a:extLst>
            </xdr:cNvPr>
            <xdr:cNvGraphicFramePr/>
          </xdr:nvGraphicFramePr>
          <xdr:xfrm>
            <a:off x="0" y="0"/>
            <a:ext cx="0" cy="0"/>
          </xdr:xfrm>
          <a:graphic>
            <a:graphicData uri="http://schemas.microsoft.com/office/drawing/2010/slicer">
              <sle:slicer xmlns:sle="http://schemas.microsoft.com/office/drawing/2010/slicer" name="productName 1"/>
            </a:graphicData>
          </a:graphic>
        </xdr:graphicFrame>
      </mc:Choice>
      <mc:Fallback>
        <xdr:sp macro="" textlink="">
          <xdr:nvSpPr>
            <xdr:cNvPr id="0" name=""/>
            <xdr:cNvSpPr>
              <a:spLocks noTextEdit="1"/>
            </xdr:cNvSpPr>
          </xdr:nvSpPr>
          <xdr:spPr>
            <a:xfrm>
              <a:off x="5824538" y="6729412"/>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116</xdr:row>
      <xdr:rowOff>0</xdr:rowOff>
    </xdr:from>
    <xdr:to>
      <xdr:col>28</xdr:col>
      <xdr:colOff>185737</xdr:colOff>
      <xdr:row>123</xdr:row>
      <xdr:rowOff>128588</xdr:rowOff>
    </xdr:to>
    <mc:AlternateContent xmlns:mc="http://schemas.openxmlformats.org/markup-compatibility/2006">
      <mc:Choice xmlns:a14="http://schemas.microsoft.com/office/drawing/2010/main" Requires="a14">
        <xdr:graphicFrame macro="">
          <xdr:nvGraphicFramePr>
            <xdr:cNvPr id="13" name="Delivery Status">
              <a:extLst>
                <a:ext uri="{FF2B5EF4-FFF2-40B4-BE49-F238E27FC236}">
                  <a16:creationId xmlns:a16="http://schemas.microsoft.com/office/drawing/2014/main" id="{5CAB2D3B-6067-43E4-82A0-A6EDC2A6E20E}"/>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6015038" y="20993100"/>
              <a:ext cx="2052637" cy="1395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9525</xdr:colOff>
      <xdr:row>149</xdr:row>
      <xdr:rowOff>61913</xdr:rowOff>
    </xdr:from>
    <xdr:to>
      <xdr:col>12</xdr:col>
      <xdr:colOff>9525</xdr:colOff>
      <xdr:row>156</xdr:row>
      <xdr:rowOff>52388</xdr:rowOff>
    </xdr:to>
    <mc:AlternateContent xmlns:mc="http://schemas.openxmlformats.org/markup-compatibility/2006">
      <mc:Choice xmlns:a14="http://schemas.microsoft.com/office/drawing/2010/main" Requires="a14">
        <xdr:graphicFrame macro="">
          <xdr:nvGraphicFramePr>
            <xdr:cNvPr id="14" name="shipper name">
              <a:extLst>
                <a:ext uri="{FF2B5EF4-FFF2-40B4-BE49-F238E27FC236}">
                  <a16:creationId xmlns:a16="http://schemas.microsoft.com/office/drawing/2014/main" id="{494EDC16-71A7-8488-7F64-C94F829AFC1E}"/>
                </a:ext>
              </a:extLst>
            </xdr:cNvPr>
            <xdr:cNvGraphicFramePr/>
          </xdr:nvGraphicFramePr>
          <xdr:xfrm>
            <a:off x="0" y="0"/>
            <a:ext cx="0" cy="0"/>
          </xdr:xfrm>
          <a:graphic>
            <a:graphicData uri="http://schemas.microsoft.com/office/drawing/2010/slicer">
              <sle:slicer xmlns:sle="http://schemas.microsoft.com/office/drawing/2010/slicer" name="shipper name"/>
            </a:graphicData>
          </a:graphic>
        </xdr:graphicFrame>
      </mc:Choice>
      <mc:Fallback>
        <xdr:sp macro="" textlink="">
          <xdr:nvSpPr>
            <xdr:cNvPr id="0" name=""/>
            <xdr:cNvSpPr>
              <a:spLocks noTextEdit="1"/>
            </xdr:cNvSpPr>
          </xdr:nvSpPr>
          <xdr:spPr>
            <a:xfrm>
              <a:off x="2366963" y="27027188"/>
              <a:ext cx="1828800"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214312</xdr:colOff>
      <xdr:row>193</xdr:row>
      <xdr:rowOff>66675</xdr:rowOff>
    </xdr:from>
    <xdr:to>
      <xdr:col>11</xdr:col>
      <xdr:colOff>214312</xdr:colOff>
      <xdr:row>207</xdr:row>
      <xdr:rowOff>128592</xdr:rowOff>
    </xdr:to>
    <mc:AlternateContent xmlns:mc="http://schemas.openxmlformats.org/markup-compatibility/2006">
      <mc:Choice xmlns:a14="http://schemas.microsoft.com/office/drawing/2010/main" Requires="a14">
        <xdr:graphicFrame macro="">
          <xdr:nvGraphicFramePr>
            <xdr:cNvPr id="16" name="Customer name">
              <a:extLst>
                <a:ext uri="{FF2B5EF4-FFF2-40B4-BE49-F238E27FC236}">
                  <a16:creationId xmlns:a16="http://schemas.microsoft.com/office/drawing/2014/main" id="{FDFFBFE6-CF75-4407-9AD4-0BE6ECD7F9F9}"/>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dr:sp macro="" textlink="">
          <xdr:nvSpPr>
            <xdr:cNvPr id="0" name=""/>
            <xdr:cNvSpPr>
              <a:spLocks noTextEdit="1"/>
            </xdr:cNvSpPr>
          </xdr:nvSpPr>
          <xdr:spPr>
            <a:xfrm>
              <a:off x="2343150" y="34994850"/>
              <a:ext cx="1828800" cy="25955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28575</xdr:colOff>
      <xdr:row>235</xdr:row>
      <xdr:rowOff>19050</xdr:rowOff>
    </xdr:from>
    <xdr:to>
      <xdr:col>28</xdr:col>
      <xdr:colOff>171450</xdr:colOff>
      <xdr:row>249</xdr:row>
      <xdr:rowOff>114300</xdr:rowOff>
    </xdr:to>
    <mc:AlternateContent xmlns:mc="http://schemas.openxmlformats.org/markup-compatibility/2006">
      <mc:Choice xmlns:a14="http://schemas.microsoft.com/office/drawing/2010/main" Requires="a14">
        <xdr:graphicFrame macro="">
          <xdr:nvGraphicFramePr>
            <xdr:cNvPr id="17" name="Employee Name">
              <a:extLst>
                <a:ext uri="{FF2B5EF4-FFF2-40B4-BE49-F238E27FC236}">
                  <a16:creationId xmlns:a16="http://schemas.microsoft.com/office/drawing/2014/main" id="{B831BE1F-8700-B2AC-0155-4725BF22183D}"/>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dr:sp macro="" textlink="">
          <xdr:nvSpPr>
            <xdr:cNvPr id="0" name=""/>
            <xdr:cNvSpPr>
              <a:spLocks noTextEdit="1"/>
            </xdr:cNvSpPr>
          </xdr:nvSpPr>
          <xdr:spPr>
            <a:xfrm>
              <a:off x="6500813" y="42548175"/>
              <a:ext cx="1552575" cy="262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138112</xdr:colOff>
      <xdr:row>249</xdr:row>
      <xdr:rowOff>142875</xdr:rowOff>
    </xdr:from>
    <xdr:to>
      <xdr:col>29</xdr:col>
      <xdr:colOff>209550</xdr:colOff>
      <xdr:row>265</xdr:row>
      <xdr:rowOff>9525</xdr:rowOff>
    </xdr:to>
    <mc:AlternateContent xmlns:mc="http://schemas.openxmlformats.org/markup-compatibility/2006">
      <mc:Choice xmlns:a14="http://schemas.microsoft.com/office/drawing/2010/main" Requires="a14">
        <xdr:graphicFrame macro="">
          <xdr:nvGraphicFramePr>
            <xdr:cNvPr id="18" name="year-quarter">
              <a:extLst>
                <a:ext uri="{FF2B5EF4-FFF2-40B4-BE49-F238E27FC236}">
                  <a16:creationId xmlns:a16="http://schemas.microsoft.com/office/drawing/2014/main" id="{CEE794B6-D576-F938-7FA3-4FED2A07A2D2}"/>
                </a:ext>
              </a:extLst>
            </xdr:cNvPr>
            <xdr:cNvGraphicFramePr/>
          </xdr:nvGraphicFramePr>
          <xdr:xfrm>
            <a:off x="0" y="0"/>
            <a:ext cx="0" cy="0"/>
          </xdr:xfrm>
          <a:graphic>
            <a:graphicData uri="http://schemas.microsoft.com/office/drawing/2010/slicer">
              <sle:slicer xmlns:sle="http://schemas.microsoft.com/office/drawing/2010/slicer" name="year-quarter"/>
            </a:graphicData>
          </a:graphic>
        </xdr:graphicFrame>
      </mc:Choice>
      <mc:Fallback>
        <xdr:sp macro="" textlink="">
          <xdr:nvSpPr>
            <xdr:cNvPr id="0" name=""/>
            <xdr:cNvSpPr>
              <a:spLocks noTextEdit="1"/>
            </xdr:cNvSpPr>
          </xdr:nvSpPr>
          <xdr:spPr>
            <a:xfrm>
              <a:off x="6838950" y="45205650"/>
              <a:ext cx="1481138" cy="2762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67295</xdr:colOff>
      <xdr:row>2</xdr:row>
      <xdr:rowOff>23812</xdr:rowOff>
    </xdr:from>
    <xdr:to>
      <xdr:col>6</xdr:col>
      <xdr:colOff>385762</xdr:colOff>
      <xdr:row>18</xdr:row>
      <xdr:rowOff>15530</xdr:rowOff>
    </xdr:to>
    <xdr:graphicFrame macro="">
      <xdr:nvGraphicFramePr>
        <xdr:cNvPr id="2" name="Chart 1">
          <a:extLst>
            <a:ext uri="{FF2B5EF4-FFF2-40B4-BE49-F238E27FC236}">
              <a16:creationId xmlns:a16="http://schemas.microsoft.com/office/drawing/2014/main" id="{214686DD-C386-400A-A987-D81230589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433389</xdr:colOff>
      <xdr:row>2</xdr:row>
      <xdr:rowOff>33338</xdr:rowOff>
    </xdr:from>
    <xdr:to>
      <xdr:col>11</xdr:col>
      <xdr:colOff>361951</xdr:colOff>
      <xdr:row>15</xdr:row>
      <xdr:rowOff>95250</xdr:rowOff>
    </xdr:to>
    <xdr:graphicFrame macro="">
      <xdr:nvGraphicFramePr>
        <xdr:cNvPr id="3" name="Chart 2">
          <a:extLst>
            <a:ext uri="{FF2B5EF4-FFF2-40B4-BE49-F238E27FC236}">
              <a16:creationId xmlns:a16="http://schemas.microsoft.com/office/drawing/2014/main" id="{C4E3BA18-96E6-4281-90B5-5914E7E799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400050</xdr:colOff>
      <xdr:row>2</xdr:row>
      <xdr:rowOff>14285</xdr:rowOff>
    </xdr:from>
    <xdr:to>
      <xdr:col>19</xdr:col>
      <xdr:colOff>31058</xdr:colOff>
      <xdr:row>9</xdr:row>
      <xdr:rowOff>72471</xdr:rowOff>
    </xdr:to>
    <xdr:grpSp>
      <xdr:nvGrpSpPr>
        <xdr:cNvPr id="4" name="Group 3">
          <a:extLst>
            <a:ext uri="{FF2B5EF4-FFF2-40B4-BE49-F238E27FC236}">
              <a16:creationId xmlns:a16="http://schemas.microsoft.com/office/drawing/2014/main" id="{80FD6A9B-027C-4F8D-AB56-0C7F40CCC725}"/>
            </a:ext>
          </a:extLst>
        </xdr:cNvPr>
        <xdr:cNvGrpSpPr/>
      </xdr:nvGrpSpPr>
      <xdr:grpSpPr>
        <a:xfrm>
          <a:off x="8009697" y="531948"/>
          <a:ext cx="4807638" cy="1326461"/>
          <a:chOff x="1628775" y="61807725"/>
          <a:chExt cx="5208507" cy="2611538"/>
        </a:xfrm>
      </xdr:grpSpPr>
      <xdr:grpSp>
        <xdr:nvGrpSpPr>
          <xdr:cNvPr id="5" name="Group 4">
            <a:extLst>
              <a:ext uri="{FF2B5EF4-FFF2-40B4-BE49-F238E27FC236}">
                <a16:creationId xmlns:a16="http://schemas.microsoft.com/office/drawing/2014/main" id="{2AE543B2-446A-6341-7344-1A78E4FD354A}"/>
              </a:ext>
            </a:extLst>
          </xdr:cNvPr>
          <xdr:cNvGrpSpPr/>
        </xdr:nvGrpSpPr>
        <xdr:grpSpPr>
          <a:xfrm>
            <a:off x="1628775" y="61807725"/>
            <a:ext cx="5208507" cy="2611538"/>
            <a:chOff x="6442433" y="401443"/>
            <a:chExt cx="5208507" cy="2611538"/>
          </a:xfrm>
        </xdr:grpSpPr>
        <xdr:sp macro="" textlink="">
          <xdr:nvSpPr>
            <xdr:cNvPr id="7" name="Rectangle: Rounded Corners 6">
              <a:extLst>
                <a:ext uri="{FF2B5EF4-FFF2-40B4-BE49-F238E27FC236}">
                  <a16:creationId xmlns:a16="http://schemas.microsoft.com/office/drawing/2014/main" id="{7AC6DBFE-9E9F-BE25-DD9E-1ACF7C1BBB15}"/>
                </a:ext>
              </a:extLst>
            </xdr:cNvPr>
            <xdr:cNvSpPr/>
          </xdr:nvSpPr>
          <xdr:spPr>
            <a:xfrm>
              <a:off x="6442433" y="415781"/>
              <a:ext cx="1943679" cy="147680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FD7CC1B7-8F59-83A2-3ECC-6BFF1A68CDE3}"/>
                </a:ext>
              </a:extLst>
            </xdr:cNvPr>
            <xdr:cNvSpPr txBox="1"/>
          </xdr:nvSpPr>
          <xdr:spPr>
            <a:xfrm>
              <a:off x="6573223" y="526686"/>
              <a:ext cx="1674833" cy="110906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     TOTAL</a:t>
              </a:r>
              <a:r>
                <a:rPr lang="en-US" sz="1400" b="1" baseline="0"/>
                <a:t> REVENUE</a:t>
              </a:r>
            </a:p>
            <a:p>
              <a:pPr algn="ctr"/>
              <a:r>
                <a:rPr lang="en-US" sz="1400" b="1"/>
                <a:t>1,265,793</a:t>
              </a:r>
            </a:p>
          </xdr:txBody>
        </xdr:sp>
        <xdr:sp macro="" textlink="">
          <xdr:nvSpPr>
            <xdr:cNvPr id="9" name="Rectangle: Rounded Corners 8">
              <a:extLst>
                <a:ext uri="{FF2B5EF4-FFF2-40B4-BE49-F238E27FC236}">
                  <a16:creationId xmlns:a16="http://schemas.microsoft.com/office/drawing/2014/main" id="{234D9F43-B111-12A6-A27A-65A5B2601FFF}"/>
                </a:ext>
              </a:extLst>
            </xdr:cNvPr>
            <xdr:cNvSpPr/>
          </xdr:nvSpPr>
          <xdr:spPr>
            <a:xfrm>
              <a:off x="8486839" y="1907734"/>
              <a:ext cx="3164101" cy="10826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6F62A8F4-29FB-55CC-9A3B-7DFD9A24CED9}"/>
                </a:ext>
              </a:extLst>
            </xdr:cNvPr>
            <xdr:cNvSpPr txBox="1"/>
          </xdr:nvSpPr>
          <xdr:spPr>
            <a:xfrm>
              <a:off x="8777791" y="2168562"/>
              <a:ext cx="2570074" cy="659454"/>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a:t>
              </a:r>
              <a:r>
                <a:rPr lang="en-US" sz="1200" b="1"/>
                <a:t>TOTAL </a:t>
              </a:r>
              <a:r>
                <a:rPr lang="en-US" sz="1200" b="1" baseline="0"/>
                <a:t> </a:t>
              </a:r>
              <a:r>
                <a:rPr lang="en-US" sz="1200" b="1"/>
                <a:t>CUSTOMERS</a:t>
              </a:r>
            </a:p>
            <a:p>
              <a:pPr algn="ctr"/>
              <a:r>
                <a:rPr lang="en-US" sz="1200" b="1"/>
                <a:t>89</a:t>
              </a:r>
            </a:p>
          </xdr:txBody>
        </xdr:sp>
        <xdr:sp macro="" textlink="">
          <xdr:nvSpPr>
            <xdr:cNvPr id="11" name="Rectangle: Rounded Corners 10">
              <a:extLst>
                <a:ext uri="{FF2B5EF4-FFF2-40B4-BE49-F238E27FC236}">
                  <a16:creationId xmlns:a16="http://schemas.microsoft.com/office/drawing/2014/main" id="{70A65652-F514-2257-E36B-7E4A351C2D5F}"/>
                </a:ext>
              </a:extLst>
            </xdr:cNvPr>
            <xdr:cNvSpPr/>
          </xdr:nvSpPr>
          <xdr:spPr>
            <a:xfrm>
              <a:off x="6442433" y="1827666"/>
              <a:ext cx="2015776" cy="11853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5F712EA1-CE63-51AC-520C-ECD0E6BE1CD1}"/>
                </a:ext>
              </a:extLst>
            </xdr:cNvPr>
            <xdr:cNvSpPr txBox="1"/>
          </xdr:nvSpPr>
          <xdr:spPr>
            <a:xfrm>
              <a:off x="6623726" y="1896384"/>
              <a:ext cx="1409984" cy="1019168"/>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TOTALORDES</a:t>
              </a:r>
            </a:p>
            <a:p>
              <a:pPr algn="ctr"/>
              <a:r>
                <a:rPr lang="en-US" sz="1400" b="1"/>
                <a:t>2155</a:t>
              </a:r>
            </a:p>
          </xdr:txBody>
        </xdr:sp>
        <xdr:sp macro="" textlink="">
          <xdr:nvSpPr>
            <xdr:cNvPr id="13" name="Rectangle: Rounded Corners 12">
              <a:extLst>
                <a:ext uri="{FF2B5EF4-FFF2-40B4-BE49-F238E27FC236}">
                  <a16:creationId xmlns:a16="http://schemas.microsoft.com/office/drawing/2014/main" id="{73A605D8-182F-9BE6-70CC-CA8AE98E3139}"/>
                </a:ext>
              </a:extLst>
            </xdr:cNvPr>
            <xdr:cNvSpPr/>
          </xdr:nvSpPr>
          <xdr:spPr>
            <a:xfrm>
              <a:off x="8404763" y="401443"/>
              <a:ext cx="3182349" cy="160547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F68FC927-4C5B-CF08-1B80-468826366F15}"/>
                </a:ext>
              </a:extLst>
            </xdr:cNvPr>
            <xdr:cNvSpPr txBox="1"/>
          </xdr:nvSpPr>
          <xdr:spPr>
            <a:xfrm>
              <a:off x="9307789" y="441870"/>
              <a:ext cx="1688597" cy="439416"/>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SHIPPERS</a:t>
              </a:r>
              <a:r>
                <a:rPr lang="en-US" sz="1100" b="1" baseline="0"/>
                <a:t> NAME</a:t>
              </a:r>
              <a:endParaRPr lang="en-US" sz="1100" b="1"/>
            </a:p>
          </xdr:txBody>
        </xdr:sp>
        <xdr:sp macro="" textlink="">
          <xdr:nvSpPr>
            <xdr:cNvPr id="15" name="TextBox 14">
              <a:extLst>
                <a:ext uri="{FF2B5EF4-FFF2-40B4-BE49-F238E27FC236}">
                  <a16:creationId xmlns:a16="http://schemas.microsoft.com/office/drawing/2014/main" id="{606EB4BD-29E1-6D8B-D63D-1416A60B92D3}"/>
                </a:ext>
              </a:extLst>
            </xdr:cNvPr>
            <xdr:cNvSpPr txBox="1"/>
          </xdr:nvSpPr>
          <xdr:spPr>
            <a:xfrm>
              <a:off x="8475645" y="958690"/>
              <a:ext cx="1398154" cy="394459"/>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Federal Shipping</a:t>
              </a:r>
            </a:p>
          </xdr:txBody>
        </xdr:sp>
        <xdr:sp macro="" textlink="">
          <xdr:nvSpPr>
            <xdr:cNvPr id="16" name="TextBox 15">
              <a:extLst>
                <a:ext uri="{FF2B5EF4-FFF2-40B4-BE49-F238E27FC236}">
                  <a16:creationId xmlns:a16="http://schemas.microsoft.com/office/drawing/2014/main" id="{DAB0E8EB-478D-0A6F-36D4-12F3D4F56FE3}"/>
                </a:ext>
              </a:extLst>
            </xdr:cNvPr>
            <xdr:cNvSpPr txBox="1"/>
          </xdr:nvSpPr>
          <xdr:spPr>
            <a:xfrm>
              <a:off x="9949172" y="964993"/>
              <a:ext cx="1628473" cy="38052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Speedy Expresss</a:t>
              </a:r>
            </a:p>
          </xdr:txBody>
        </xdr:sp>
        <xdr:sp macro="" textlink="">
          <xdr:nvSpPr>
            <xdr:cNvPr id="17" name="TextBox 16">
              <a:extLst>
                <a:ext uri="{FF2B5EF4-FFF2-40B4-BE49-F238E27FC236}">
                  <a16:creationId xmlns:a16="http://schemas.microsoft.com/office/drawing/2014/main" id="{17C17759-2CE2-AF40-3016-72FBCE10CAA9}"/>
                </a:ext>
              </a:extLst>
            </xdr:cNvPr>
            <xdr:cNvSpPr txBox="1"/>
          </xdr:nvSpPr>
          <xdr:spPr>
            <a:xfrm>
              <a:off x="9049708" y="1517661"/>
              <a:ext cx="1934829" cy="375995"/>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t>          </a:t>
              </a:r>
              <a:r>
                <a:rPr lang="en-US" sz="1200"/>
                <a:t>      </a:t>
              </a:r>
              <a:r>
                <a:rPr lang="en-US" sz="1200" b="1"/>
                <a:t> United</a:t>
              </a:r>
              <a:r>
                <a:rPr lang="en-US" sz="1200" b="1" baseline="0"/>
                <a:t> Package</a:t>
              </a:r>
              <a:endParaRPr lang="en-US" sz="1200" b="1"/>
            </a:p>
          </xdr:txBody>
        </xdr:sp>
      </xdr:grpSp>
      <xdr:pic>
        <xdr:nvPicPr>
          <xdr:cNvPr id="6" name="Graphic 5" descr="Dollar with solid fill">
            <a:extLst>
              <a:ext uri="{FF2B5EF4-FFF2-40B4-BE49-F238E27FC236}">
                <a16:creationId xmlns:a16="http://schemas.microsoft.com/office/drawing/2014/main" id="{E0EF481C-6239-FF63-0449-C86187C549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11369" y="61975875"/>
            <a:ext cx="393840" cy="1004578"/>
          </a:xfrm>
          <a:prstGeom prst="rect">
            <a:avLst/>
          </a:prstGeom>
        </xdr:spPr>
      </xdr:pic>
    </xdr:grpSp>
    <xdr:clientData/>
  </xdr:twoCellAnchor>
  <xdr:twoCellAnchor>
    <xdr:from>
      <xdr:col>0</xdr:col>
      <xdr:colOff>41413</xdr:colOff>
      <xdr:row>18</xdr:row>
      <xdr:rowOff>51766</xdr:rowOff>
    </xdr:from>
    <xdr:to>
      <xdr:col>6</xdr:col>
      <xdr:colOff>398600</xdr:colOff>
      <xdr:row>29</xdr:row>
      <xdr:rowOff>116163</xdr:rowOff>
    </xdr:to>
    <xdr:graphicFrame macro="">
      <xdr:nvGraphicFramePr>
        <xdr:cNvPr id="18" name="Chart 17">
          <a:extLst>
            <a:ext uri="{FF2B5EF4-FFF2-40B4-BE49-F238E27FC236}">
              <a16:creationId xmlns:a16="http://schemas.microsoft.com/office/drawing/2014/main" id="{98CA1D75-6858-4B6A-8ED9-EA7C5DA2C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442913</xdr:colOff>
      <xdr:row>15</xdr:row>
      <xdr:rowOff>123825</xdr:rowOff>
    </xdr:from>
    <xdr:to>
      <xdr:col>11</xdr:col>
      <xdr:colOff>390525</xdr:colOff>
      <xdr:row>26</xdr:row>
      <xdr:rowOff>171450</xdr:rowOff>
    </xdr:to>
    <xdr:graphicFrame macro="">
      <xdr:nvGraphicFramePr>
        <xdr:cNvPr id="19" name="Chart 18">
          <a:extLst>
            <a:ext uri="{FF2B5EF4-FFF2-40B4-BE49-F238E27FC236}">
              <a16:creationId xmlns:a16="http://schemas.microsoft.com/office/drawing/2014/main" id="{2D991158-5671-49F4-BA5D-4415805EE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420341</xdr:colOff>
      <xdr:row>9</xdr:row>
      <xdr:rowOff>95043</xdr:rowOff>
    </xdr:from>
    <xdr:to>
      <xdr:col>19</xdr:col>
      <xdr:colOff>5176</xdr:colOff>
      <xdr:row>22</xdr:row>
      <xdr:rowOff>41413</xdr:rowOff>
    </xdr:to>
    <xdr:graphicFrame macro="">
      <xdr:nvGraphicFramePr>
        <xdr:cNvPr id="20" name="Chart 19">
          <a:extLst>
            <a:ext uri="{FF2B5EF4-FFF2-40B4-BE49-F238E27FC236}">
              <a16:creationId xmlns:a16="http://schemas.microsoft.com/office/drawing/2014/main" id="{0653A509-C7E1-40CD-A41F-2DCAF61D1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445191</xdr:colOff>
      <xdr:row>22</xdr:row>
      <xdr:rowOff>88002</xdr:rowOff>
    </xdr:from>
    <xdr:to>
      <xdr:col>19</xdr:col>
      <xdr:colOff>20706</xdr:colOff>
      <xdr:row>42</xdr:row>
      <xdr:rowOff>15530</xdr:rowOff>
    </xdr:to>
    <xdr:graphicFrame macro="">
      <xdr:nvGraphicFramePr>
        <xdr:cNvPr id="21" name="Chart 20">
          <a:extLst>
            <a:ext uri="{FF2B5EF4-FFF2-40B4-BE49-F238E27FC236}">
              <a16:creationId xmlns:a16="http://schemas.microsoft.com/office/drawing/2014/main" id="{EFE69DB8-70A2-4A37-B550-CE4538A477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445189</xdr:colOff>
      <xdr:row>27</xdr:row>
      <xdr:rowOff>36237</xdr:rowOff>
    </xdr:from>
    <xdr:to>
      <xdr:col>11</xdr:col>
      <xdr:colOff>408954</xdr:colOff>
      <xdr:row>42</xdr:row>
      <xdr:rowOff>15530</xdr:rowOff>
    </xdr:to>
    <xdr:graphicFrame macro="">
      <xdr:nvGraphicFramePr>
        <xdr:cNvPr id="22" name="Chart 21">
          <a:extLst>
            <a:ext uri="{FF2B5EF4-FFF2-40B4-BE49-F238E27FC236}">
              <a16:creationId xmlns:a16="http://schemas.microsoft.com/office/drawing/2014/main" id="{1DD9800A-1D5A-4AA1-828A-FE7A3DED59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46589</xdr:colOff>
      <xdr:row>29</xdr:row>
      <xdr:rowOff>134592</xdr:rowOff>
    </xdr:from>
    <xdr:to>
      <xdr:col>6</xdr:col>
      <xdr:colOff>408953</xdr:colOff>
      <xdr:row>42</xdr:row>
      <xdr:rowOff>31061</xdr:rowOff>
    </xdr:to>
    <xdr:graphicFrame macro="">
      <xdr:nvGraphicFramePr>
        <xdr:cNvPr id="23" name="Chart 22">
          <a:extLst>
            <a:ext uri="{FF2B5EF4-FFF2-40B4-BE49-F238E27FC236}">
              <a16:creationId xmlns:a16="http://schemas.microsoft.com/office/drawing/2014/main" id="{953DEEAB-1334-4A18-8EA4-37DB96C887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14288</xdr:colOff>
      <xdr:row>2</xdr:row>
      <xdr:rowOff>23191</xdr:rowOff>
    </xdr:from>
    <xdr:to>
      <xdr:col>2</xdr:col>
      <xdr:colOff>31059</xdr:colOff>
      <xdr:row>18</xdr:row>
      <xdr:rowOff>15530</xdr:rowOff>
    </xdr:to>
    <mc:AlternateContent xmlns:mc="http://schemas.openxmlformats.org/markup-compatibility/2006">
      <mc:Choice xmlns:a14="http://schemas.microsoft.com/office/drawing/2010/main" Requires="a14">
        <xdr:graphicFrame macro="">
          <xdr:nvGraphicFramePr>
            <xdr:cNvPr id="24" name="productName">
              <a:extLst>
                <a:ext uri="{FF2B5EF4-FFF2-40B4-BE49-F238E27FC236}">
                  <a16:creationId xmlns:a16="http://schemas.microsoft.com/office/drawing/2014/main" id="{5F653186-896F-31ED-4189-F098CCDCA8E5}"/>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14288" y="540854"/>
              <a:ext cx="1802709" cy="2891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5.423197685188" createdVersion="8" refreshedVersion="8" minRefreshableVersion="3" recordCount="77" xr:uid="{150333A8-E6DD-463F-B079-6D2D1346AC7D}">
  <cacheSource type="worksheet">
    <worksheetSource name="Table2"/>
  </cacheSource>
  <cacheFields count="8">
    <cacheField name="productID" numFmtId="1">
      <sharedItems containsSemiMixedTypes="0" containsString="0" containsNumber="1" containsInteger="1" minValue="1" maxValue="77"/>
    </cacheField>
    <cacheField name="productName" numFmtId="49">
      <sharedItems count="77">
        <s v="Chai"/>
        <s v="Chang"/>
        <s v="Aniseed Syrup"/>
        <s v="Chef Anton's Cajun Seasoning"/>
        <s v="Chef Anton's Gumbo Mix"/>
        <s v="Grandma's Boysenberry Spread"/>
        <s v="Uncle Bob's Organic Dried Pears"/>
        <s v="Northwoods Cranberry Sauce"/>
        <s v="Mishi Kobe Niku"/>
        <s v="Ikura"/>
        <s v="Queso Cabrales"/>
        <s v="Queso Manchego La Pastora"/>
        <s v="Konbu"/>
        <s v="Tofu"/>
        <s v="Genen Shouyu"/>
        <s v="Pavlova"/>
        <s v="Alice Mutton"/>
        <s v="Carnarvon Tigers"/>
        <s v="Teatime Chocolate Biscuits"/>
        <s v="Sir Rodney's Marmalade"/>
        <s v="Sir Rodney's Scones"/>
        <s v="Gustaf's Knackebröd"/>
        <s v="Tunnbröd"/>
        <s v="Guarana Fantastica"/>
        <s v="NuNuCa Nuß-Nougat-Creme"/>
        <s v="Gumbär Gummibärchen"/>
        <s v="Schoggi Schokolade"/>
        <s v="Rössle Sauerkraut"/>
        <s v="Thüringer Rostbratwurst"/>
        <s v="Nord-Ost Matjeshering"/>
        <s v="Gorgonzola Telino"/>
        <s v="Mascarpone Fabioli"/>
        <s v="Geitost"/>
        <s v="Sasquatch Ale"/>
        <s v="Steeleye Stout"/>
        <s v="Inlagd Sill"/>
        <s v="Gravad lax"/>
        <s v="Côte de Blaye"/>
        <s v="Chartreuse verte"/>
        <s v="Boston Crab Meat"/>
        <s v="Jack's New England Clam Chowder"/>
        <s v="Singaporean Hokkien Fried Mee"/>
        <s v="Ipoh Coffee"/>
        <s v="Gula Malacca"/>
        <s v="Rogede sild"/>
        <s v="Spegesild"/>
        <s v="Zaanse koeken"/>
        <s v="Chocolade"/>
        <s v="Maxilaku"/>
        <s v="Valkoinen suklaa"/>
        <s v="Manjimup Dried Apples"/>
        <s v="Filo Mix"/>
        <s v="Perth Pasties"/>
        <s v="Tourtière"/>
        <s v="Pâté chinois"/>
        <s v="Gnocchi di nonna Alice"/>
        <s v="Ravioli Angelo"/>
        <s v="Escargots de Bourgogne"/>
        <s v="Raclette Courdavault"/>
        <s v="Camembert Pierrot"/>
        <s v="Sirop d'érable"/>
        <s v="Tarte au sucre"/>
        <s v="Vegie-spread"/>
        <s v="Wimmers gute Semmelknödel"/>
        <s v="Louisiana Fiery Hot Pepper Sauce"/>
        <s v="Louisiana Hot Spiced Okra"/>
        <s v="Laughing Lumberjack Lager"/>
        <s v="Scottish Longbreads"/>
        <s v="Gudbrandsdalsost"/>
        <s v="Outback Lager"/>
        <s v="Flotemysost"/>
        <s v="Mozzarella di Giovanni"/>
        <s v="Röd Kaviar"/>
        <s v="Longlife Tofu"/>
        <s v="Rhönbräu Klosterbier"/>
        <s v="Lakkaliköri"/>
        <s v="Original Frankfurter Grüne Soße"/>
      </sharedItems>
    </cacheField>
    <cacheField name="quantityPerUnit" numFmtId="0">
      <sharedItems/>
    </cacheField>
    <cacheField name="unitPrice" numFmtId="1">
      <sharedItems containsSemiMixedTypes="0" containsString="0" containsNumber="1" minValue="2.5" maxValue="263.5"/>
    </cacheField>
    <cacheField name="discontinued" numFmtId="1">
      <sharedItems containsSemiMixedTypes="0" containsString="0" containsNumber="1" containsInteger="1" minValue="0" maxValue="1"/>
    </cacheField>
    <cacheField name="Product Availability" numFmtId="49">
      <sharedItems count="2">
        <s v="Available"/>
        <s v=" Not Available"/>
      </sharedItems>
    </cacheField>
    <cacheField name="categoryID" numFmtId="1">
      <sharedItems containsSemiMixedTypes="0" containsString="0" containsNumber="1" containsInteger="1" minValue="1" maxValue="8"/>
    </cacheField>
    <cacheField name="Sales" numFmtId="164">
      <sharedItems containsSemiMixedTypes="0" containsString="0" containsNumber="1" minValue="1368.7125000000001" maxValue="141396.73499999999"/>
    </cacheField>
  </cacheFields>
  <extLst>
    <ext xmlns:x14="http://schemas.microsoft.com/office/spreadsheetml/2009/9/main" uri="{725AE2AE-9491-48be-B2B4-4EB974FC3084}">
      <x14:pivotCacheDefinition pivotCacheId="17571108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5.423199074074" createdVersion="8" refreshedVersion="8" minRefreshableVersion="3" recordCount="830" xr:uid="{065AACAC-3C48-4A15-BEE7-21491F0ABB55}">
  <cacheSource type="worksheet">
    <worksheetSource name="Table1"/>
  </cacheSource>
  <cacheFields count="22">
    <cacheField name="orderID" numFmtId="1">
      <sharedItems containsSemiMixedTypes="0" containsString="0" containsNumber="1" containsInteger="1" minValue="10248" maxValue="11077" count="830">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sharedItems>
    </cacheField>
    <cacheField name="CustomerID" numFmtId="49">
      <sharedItems count="89">
        <s v="VINET"/>
        <s v="TOMSP"/>
        <s v="HANAR"/>
        <s v="VICTE"/>
        <s v="SUPRD"/>
        <s v="CHOPS"/>
        <s v="RICSU"/>
        <s v="WELLI"/>
        <s v="HILAA"/>
        <s v="ERNSH"/>
        <s v="CENTC"/>
        <s v="OTTIK"/>
        <s v="QUEDE"/>
        <s v="RATTC"/>
        <s v="FOLKO"/>
        <s v="BLONP"/>
        <s v="WARTH"/>
        <s v="FRANK"/>
        <s v="GROSR"/>
        <s v="WHITC"/>
        <s v="SPLIR"/>
        <s v="QUICK"/>
        <s v="MAGAA"/>
        <s v="TORTU"/>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EmployeeID" numFmtId="1">
      <sharedItems containsSemiMixedTypes="0" containsString="0" containsNumber="1" containsInteger="1" minValue="1" maxValue="9"/>
    </cacheField>
    <cacheField name="Employee Name" numFmtId="49">
      <sharedItems count="9">
        <s v="Steven Buchanan"/>
        <s v="Michael Suyama"/>
        <s v="Margaret Peacock"/>
        <s v="Janet Leverling"/>
        <s v="Anne Dodsworth"/>
        <s v="Nancy Davolio"/>
        <s v="Laura Callahan"/>
        <s v="Andrew Fuller"/>
        <s v="Robert King"/>
      </sharedItems>
    </cacheField>
    <cacheField name="OrderDate" numFmtId="14">
      <sharedItems containsSemiMixedTypes="0" containsNonDate="0" containsDate="1" containsString="0" minDate="2013-07-04T00:00:00" maxDate="2015-05-07T00:00:00"/>
    </cacheField>
    <cacheField name="RequiredDate" numFmtId="14">
      <sharedItems containsSemiMixedTypes="0" containsNonDate="0" containsDate="1" containsString="0" minDate="2013-07-24T00:00:00" maxDate="2015-06-12T00:00:00" count="454">
        <d v="2013-08-01T00:00:00"/>
        <d v="2013-08-16T00:00:00"/>
        <d v="2013-08-05T00:00:00"/>
        <d v="2013-08-06T00:00:00"/>
        <d v="2013-07-24T00:00:00"/>
        <d v="2013-08-08T00:00:00"/>
        <d v="2013-08-09T00:00:00"/>
        <d v="2013-08-12T00:00:00"/>
        <d v="2013-08-13T00:00:00"/>
        <d v="2013-08-14T00:00:00"/>
        <d v="2013-08-15T00:00:00"/>
        <d v="2013-08-19T00:00:00"/>
        <d v="2013-08-20T00:00:00"/>
        <d v="2013-08-21T00:00:00"/>
        <d v="2013-08-22T00:00:00"/>
        <d v="2013-09-06T00:00:00"/>
        <d v="2013-08-26T00:00:00"/>
        <d v="2013-08-27T00:00:00"/>
        <d v="2013-08-29T00:00:00"/>
        <d v="2013-08-30T00:00:00"/>
        <d v="2013-09-02T00:00:00"/>
        <d v="2013-09-03T00:00:00"/>
        <d v="2013-09-04T00:00:00"/>
        <d v="2013-09-09T00:00:00"/>
        <d v="2013-09-10T00:00:00"/>
        <d v="2013-09-11T00:00:00"/>
        <d v="2013-08-28T00:00:00"/>
        <d v="2013-09-12T00:00:00"/>
        <d v="2013-09-13T00:00:00"/>
        <d v="2013-09-16T00:00:00"/>
        <d v="2013-09-17T00:00:00"/>
        <d v="2013-09-18T00:00:00"/>
        <d v="2013-09-19T00:00:00"/>
        <d v="2013-09-20T00:00:00"/>
        <d v="2013-09-23T00:00:00"/>
        <d v="2013-09-24T00:00:00"/>
        <d v="2013-09-25T00:00:00"/>
        <d v="2013-09-26T00:00:00"/>
        <d v="2013-09-27T00:00:00"/>
        <d v="2013-09-30T00:00:00"/>
        <d v="2013-10-01T00:00:00"/>
        <d v="2013-10-16T00:00:00"/>
        <d v="2013-10-03T00:00:00"/>
        <d v="2013-10-04T00:00:00"/>
        <d v="2013-10-07T00:00:00"/>
        <d v="2013-10-08T00:00:00"/>
        <d v="2013-10-09T00:00:00"/>
        <d v="2013-10-10T00:00:00"/>
        <d v="2013-10-11T00:00:00"/>
        <d v="2013-10-14T00:00:00"/>
        <d v="2013-10-15T00:00:00"/>
        <d v="2013-10-17T00:00:00"/>
        <d v="2013-10-18T00:00:00"/>
        <d v="2013-10-21T00:00:00"/>
        <d v="2013-10-22T00:00:00"/>
        <d v="2013-10-23T00:00:00"/>
        <d v="2013-10-24T00:00:00"/>
        <d v="2013-10-25T00:00:00"/>
        <d v="2013-10-28T00:00:00"/>
        <d v="2013-10-29T00:00:00"/>
        <d v="2013-10-30T00:00:00"/>
        <d v="2013-10-31T00:00:00"/>
        <d v="2013-11-01T00:00:00"/>
        <d v="2013-11-04T00:00:00"/>
        <d v="2013-11-05T00:00:00"/>
        <d v="2013-11-07T00:00:00"/>
        <d v="2013-11-08T00:00:00"/>
        <d v="2013-11-11T00:00:00"/>
        <d v="2013-11-26T00:00:00"/>
        <d v="2013-11-13T00:00:00"/>
        <d v="2013-11-27T00:00:00"/>
        <d v="2013-11-28T00:00:00"/>
        <d v="2013-11-15T00:00:00"/>
        <d v="2013-11-18T00:00:00"/>
        <d v="2013-11-19T00:00:00"/>
        <d v="2013-11-20T00:00:00"/>
        <d v="2013-11-21T00:00:00"/>
        <d v="2013-11-22T00:00:00"/>
        <d v="2013-11-25T00:00:00"/>
        <d v="2013-11-29T00:00:00"/>
        <d v="2013-12-02T00:00:00"/>
        <d v="2013-12-17T00:00:00"/>
        <d v="2013-12-04T00:00:00"/>
        <d v="2013-12-05T00:00:00"/>
        <d v="2013-12-06T00:00:00"/>
        <d v="2013-12-09T00:00:00"/>
        <d v="2013-12-11T00:00:00"/>
        <d v="2013-12-12T00:00:00"/>
        <d v="2013-12-13T00:00:00"/>
        <d v="2013-12-16T00:00:00"/>
        <d v="2013-12-18T00:00:00"/>
        <d v="2013-12-19T00:00:00"/>
        <d v="2013-12-20T00:00:00"/>
        <d v="2013-12-23T00:00:00"/>
        <d v="2013-12-24T00:00:00"/>
        <d v="2014-01-07T00:00:00"/>
        <d v="2013-12-25T00:00:00"/>
        <d v="2014-01-09T00:00:00"/>
        <d v="2013-12-26T00:00:00"/>
        <d v="2013-12-27T00:00:00"/>
        <d v="2013-12-30T00:00:00"/>
        <d v="2013-12-31T00:00:00"/>
        <d v="2014-01-01T00:00:00"/>
        <d v="2014-01-02T00:00:00"/>
        <d v="2014-01-03T00:00:00"/>
        <d v="2014-01-06T00:00:00"/>
        <d v="2014-01-08T00:00:00"/>
        <d v="2014-01-10T00:00:00"/>
        <d v="2014-01-13T00:00:00"/>
        <d v="2014-01-14T00:00:00"/>
        <d v="2014-01-15T00:00:00"/>
        <d v="2014-01-16T00:00:00"/>
        <d v="2014-01-17T00:00:00"/>
        <d v="2014-01-20T00:00:00"/>
        <d v="2014-01-21T00:00:00"/>
        <d v="2014-01-22T00:00:00"/>
        <d v="2014-01-23T00:00:00"/>
        <d v="2014-01-24T00:00:00"/>
        <d v="2014-01-27T00:00:00"/>
        <d v="2014-01-29T00:00:00"/>
        <d v="2014-02-13T00:00:00"/>
        <d v="2014-01-31T00:00:00"/>
        <d v="2014-02-03T00:00:00"/>
        <d v="2014-02-18T00:00:00"/>
        <d v="2014-02-04T00:00:00"/>
        <d v="2014-02-05T00:00:00"/>
        <d v="2014-02-06T00:00:00"/>
        <d v="2014-02-07T00:00:00"/>
        <d v="2014-02-10T00:00:00"/>
        <d v="2014-02-11T00:00:00"/>
        <d v="2014-02-12T00:00:00"/>
        <d v="2014-02-14T00:00:00"/>
        <d v="2014-02-17T00:00:00"/>
        <d v="2014-03-04T00:00:00"/>
        <d v="2014-02-19T00:00:00"/>
        <d v="2014-02-20T00:00:00"/>
        <d v="2014-02-21T00:00:00"/>
        <d v="2014-02-24T00:00:00"/>
        <d v="2014-02-25T00:00:00"/>
        <d v="2014-03-12T00:00:00"/>
        <d v="2014-03-03T00:00:00"/>
        <d v="2014-03-18T00:00:00"/>
        <d v="2014-03-05T00:00:00"/>
        <d v="2014-03-06T00:00:00"/>
        <d v="2014-03-07T00:00:00"/>
        <d v="2014-03-10T00:00:00"/>
        <d v="2014-03-24T00:00:00"/>
        <d v="2014-03-11T00:00:00"/>
        <d v="2014-03-13T00:00:00"/>
        <d v="2014-03-14T00:00:00"/>
        <d v="2014-03-17T00:00:00"/>
        <d v="2014-03-19T00:00:00"/>
        <d v="2014-03-20T00:00:00"/>
        <d v="2014-03-21T00:00:00"/>
        <d v="2014-04-07T00:00:00"/>
        <d v="2014-04-08T00:00:00"/>
        <d v="2014-03-25T00:00:00"/>
        <d v="2014-03-26T00:00:00"/>
        <d v="2014-03-27T00:00:00"/>
        <d v="2014-03-28T00:00:00"/>
        <d v="2014-03-31T00:00:00"/>
        <d v="2014-04-01T00:00:00"/>
        <d v="2014-04-02T00:00:00"/>
        <d v="2014-04-03T00:00:00"/>
        <d v="2014-04-04T00:00:00"/>
        <d v="2014-04-09T00:00:00"/>
        <d v="2014-04-10T00:00:00"/>
        <d v="2014-04-11T00:00:00"/>
        <d v="2014-04-14T00:00:00"/>
        <d v="2014-04-16T00:00:00"/>
        <d v="2014-04-17T00:00:00"/>
        <d v="2014-04-18T00:00:00"/>
        <d v="2014-04-21T00:00:00"/>
        <d v="2014-04-23T00:00:00"/>
        <d v="2014-04-24T00:00:00"/>
        <d v="2014-04-25T00:00:00"/>
        <d v="2014-04-28T00:00:00"/>
        <d v="2014-04-29T00:00:00"/>
        <d v="2014-04-30T00:00:00"/>
        <d v="2014-05-01T00:00:00"/>
        <d v="2014-05-02T00:00:00"/>
        <d v="2014-05-05T00:00:00"/>
        <d v="2014-05-06T00:00:00"/>
        <d v="2014-05-07T00:00:00"/>
        <d v="2014-05-08T00:00:00"/>
        <d v="2014-05-09T00:00:00"/>
        <d v="2014-05-12T00:00:00"/>
        <d v="2014-05-13T00:00:00"/>
        <d v="2014-05-14T00:00:00"/>
        <d v="2014-05-15T00:00:00"/>
        <d v="2014-05-16T00:00:00"/>
        <d v="2014-05-19T00:00:00"/>
        <d v="2014-06-03T00:00:00"/>
        <d v="2014-05-20T00:00:00"/>
        <d v="2014-05-22T00:00:00"/>
        <d v="2014-05-26T00:00:00"/>
        <d v="2014-05-27T00:00:00"/>
        <d v="2014-05-28T00:00:00"/>
        <d v="2014-05-29T00:00:00"/>
        <d v="2014-05-30T00:00:00"/>
        <d v="2014-06-02T00:00:00"/>
        <d v="2014-06-04T00:00:00"/>
        <d v="2014-06-05T00:00:00"/>
        <d v="2014-06-06T00:00:00"/>
        <d v="2014-06-09T00:00:00"/>
        <d v="2014-06-10T00:00:00"/>
        <d v="2014-06-11T00:00:00"/>
        <d v="2014-06-12T00:00:00"/>
        <d v="2014-06-13T00:00:00"/>
        <d v="2014-06-16T00:00:00"/>
        <d v="2014-06-17T00:00:00"/>
        <d v="2014-06-18T00:00:00"/>
        <d v="2014-06-19T00:00:00"/>
        <d v="2014-06-20T00:00:00"/>
        <d v="2014-06-23T00:00:00"/>
        <d v="2014-06-25T00:00:00"/>
        <d v="2014-07-09T00:00:00"/>
        <d v="2014-06-26T00:00:00"/>
        <d v="2014-06-27T00:00:00"/>
        <d v="2014-06-30T00:00:00"/>
        <d v="2014-07-15T00:00:00"/>
        <d v="2014-07-02T00:00:00"/>
        <d v="2014-07-03T00:00:00"/>
        <d v="2014-07-04T00:00:00"/>
        <d v="2014-07-07T00:00:00"/>
        <d v="2014-07-22T00:00:00"/>
        <d v="2014-07-08T00:00:00"/>
        <d v="2014-07-10T00:00:00"/>
        <d v="2014-07-11T00:00:00"/>
        <d v="2014-07-14T00:00:00"/>
        <d v="2014-07-29T00:00:00"/>
        <d v="2014-07-16T00:00:00"/>
        <d v="2014-07-17T00:00:00"/>
        <d v="2014-08-04T00:00:00"/>
        <d v="2014-07-23T00:00:00"/>
        <d v="2014-07-24T00:00:00"/>
        <d v="2014-07-25T00:00:00"/>
        <d v="2014-07-28T00:00:00"/>
        <d v="2014-07-30T00:00:00"/>
        <d v="2014-07-31T00:00:00"/>
        <d v="2014-08-01T00:00:00"/>
        <d v="2014-07-21T00:00:00"/>
        <d v="2014-08-05T00:00:00"/>
        <d v="2014-08-06T00:00:00"/>
        <d v="2014-08-07T00:00:00"/>
        <d v="2014-08-08T00:00:00"/>
        <d v="2014-08-11T00:00:00"/>
        <d v="2014-08-26T00:00:00"/>
        <d v="2014-08-13T00:00:00"/>
        <d v="2014-08-27T00:00:00"/>
        <d v="2014-08-14T00:00:00"/>
        <d v="2014-08-15T00:00:00"/>
        <d v="2014-08-18T00:00:00"/>
        <d v="2014-08-19T00:00:00"/>
        <d v="2014-08-20T00:00:00"/>
        <d v="2014-08-21T00:00:00"/>
        <d v="2014-08-22T00:00:00"/>
        <d v="2014-08-25T00:00:00"/>
        <d v="2014-08-28T00:00:00"/>
        <d v="2014-09-12T00:00:00"/>
        <d v="2014-09-01T00:00:00"/>
        <d v="2014-09-02T00:00:00"/>
        <d v="2014-09-03T00:00:00"/>
        <d v="2014-09-04T00:00:00"/>
        <d v="2014-09-05T00:00:00"/>
        <d v="2014-09-08T00:00:00"/>
        <d v="2014-09-22T00:00:00"/>
        <d v="2014-09-09T00:00:00"/>
        <d v="2014-09-10T00:00:00"/>
        <d v="2014-09-11T00:00:00"/>
        <d v="2014-09-15T00:00:00"/>
        <d v="2014-09-16T00:00:00"/>
        <d v="2014-09-17T00:00:00"/>
        <d v="2014-09-18T00:00:00"/>
        <d v="2014-09-19T00:00:00"/>
        <d v="2014-09-23T00:00:00"/>
        <d v="2014-10-08T00:00:00"/>
        <d v="2014-10-09T00:00:00"/>
        <d v="2014-09-25T00:00:00"/>
        <d v="2014-09-26T00:00:00"/>
        <d v="2014-09-29T00:00:00"/>
        <d v="2014-09-30T00:00:00"/>
        <d v="2014-10-01T00:00:00"/>
        <d v="2014-10-02T00:00:00"/>
        <d v="2014-10-03T00:00:00"/>
        <d v="2014-10-06T00:00:00"/>
        <d v="2014-10-07T00:00:00"/>
        <d v="2014-09-24T00:00:00"/>
        <d v="2014-10-10T00:00:00"/>
        <d v="2014-10-13T00:00:00"/>
        <d v="2014-10-14T00:00:00"/>
        <d v="2014-10-15T00:00:00"/>
        <d v="2014-10-16T00:00:00"/>
        <d v="2014-10-17T00:00:00"/>
        <d v="2014-10-20T00:00:00"/>
        <d v="2014-10-21T00:00:00"/>
        <d v="2014-10-22T00:00:00"/>
        <d v="2014-10-23T00:00:00"/>
        <d v="2014-10-24T00:00:00"/>
        <d v="2014-10-28T00:00:00"/>
        <d v="2014-10-29T00:00:00"/>
        <d v="2014-10-30T00:00:00"/>
        <d v="2014-11-14T00:00:00"/>
        <d v="2014-10-31T00:00:00"/>
        <d v="2014-11-03T00:00:00"/>
        <d v="2014-11-18T00:00:00"/>
        <d v="2014-11-19T00:00:00"/>
        <d v="2014-11-05T00:00:00"/>
        <d v="2014-11-06T00:00:00"/>
        <d v="2014-11-07T00:00:00"/>
        <d v="2014-10-27T00:00:00"/>
        <d v="2014-11-24T00:00:00"/>
        <d v="2014-11-11T00:00:00"/>
        <d v="2014-11-12T00:00:00"/>
        <d v="2014-11-13T00:00:00"/>
        <d v="2014-11-28T00:00:00"/>
        <d v="2014-11-17T00:00:00"/>
        <d v="2014-12-02T00:00:00"/>
        <d v="2014-11-21T00:00:00"/>
        <d v="2014-11-26T00:00:00"/>
        <d v="2014-12-10T00:00:00"/>
        <d v="2014-11-27T00:00:00"/>
        <d v="2014-12-11T00:00:00"/>
        <d v="2014-12-01T00:00:00"/>
        <d v="2014-12-16T00:00:00"/>
        <d v="2014-12-03T00:00:00"/>
        <d v="2014-12-04T00:00:00"/>
        <d v="2014-12-05T00:00:00"/>
        <d v="2014-12-08T00:00:00"/>
        <d v="2014-12-09T00:00:00"/>
        <d v="2014-12-12T00:00:00"/>
        <d v="2014-12-15T00:00:00"/>
        <d v="2014-12-17T00:00:00"/>
        <d v="2014-12-18T00:00:00"/>
        <d v="2014-12-19T00:00:00"/>
        <d v="2014-12-22T00:00:00"/>
        <d v="2014-12-23T00:00:00"/>
        <d v="2014-12-24T00:00:00"/>
        <d v="2014-12-25T00:00:00"/>
        <d v="2014-12-26T00:00:00"/>
        <d v="2014-12-29T00:00:00"/>
        <d v="2014-12-30T00:00:00"/>
        <d v="2014-12-31T00:00:00"/>
        <d v="2015-01-01T00:00:00"/>
        <d v="2015-01-02T00:00:00"/>
        <d v="2015-01-05T00:00:00"/>
        <d v="2015-01-06T00:00:00"/>
        <d v="2015-01-07T00:00:00"/>
        <d v="2015-01-08T00:00:00"/>
        <d v="2015-01-09T00:00:00"/>
        <d v="2015-01-12T00:00:00"/>
        <d v="2015-01-13T00:00:00"/>
        <d v="2015-01-14T00:00:00"/>
        <d v="2015-01-15T00:00:00"/>
        <d v="2015-01-16T00:00:00"/>
        <d v="2015-01-19T00:00:00"/>
        <d v="2015-01-20T00:00:00"/>
        <d v="2015-01-21T00:00:00"/>
        <d v="2015-01-22T00:00:00"/>
        <d v="2015-01-23T00:00:00"/>
        <d v="2015-02-06T00:00:00"/>
        <d v="2015-01-26T00:00:00"/>
        <d v="2015-01-27T00:00:00"/>
        <d v="2015-01-28T00:00:00"/>
        <d v="2015-01-29T00:00:00"/>
        <d v="2015-01-30T00:00:00"/>
        <d v="2015-02-02T00:00:00"/>
        <d v="2015-02-03T00:00:00"/>
        <d v="2015-02-04T00:00:00"/>
        <d v="2015-02-05T00:00:00"/>
        <d v="2015-02-09T00:00:00"/>
        <d v="2015-02-10T00:00:00"/>
        <d v="2015-02-24T00:00:00"/>
        <d v="2015-02-11T00:00:00"/>
        <d v="2015-02-12T00:00:00"/>
        <d v="2015-02-13T00:00:00"/>
        <d v="2015-02-16T00:00:00"/>
        <d v="2015-03-02T00:00:00"/>
        <d v="2015-02-17T00:00:00"/>
        <d v="2015-02-18T00:00:00"/>
        <d v="2015-03-05T00:00:00"/>
        <d v="2015-02-20T00:00:00"/>
        <d v="2015-03-06T00:00:00"/>
        <d v="2015-02-23T00:00:00"/>
        <d v="2015-02-25T00:00:00"/>
        <d v="2015-02-26T00:00:00"/>
        <d v="2015-02-27T00:00:00"/>
        <d v="2015-03-13T00:00:00"/>
        <d v="2015-03-03T00:00:00"/>
        <d v="2015-03-17T00:00:00"/>
        <d v="2015-03-04T00:00:00"/>
        <d v="2015-03-09T00:00:00"/>
        <d v="2015-03-10T00:00:00"/>
        <d v="2015-03-24T00:00:00"/>
        <d v="2015-03-11T00:00:00"/>
        <d v="2015-03-12T00:00:00"/>
        <d v="2015-03-16T00:00:00"/>
        <d v="2015-03-18T00:00:00"/>
        <d v="2015-03-19T00:00:00"/>
        <d v="2015-03-20T00:00:00"/>
        <d v="2015-03-23T00:00:00"/>
        <d v="2015-03-25T00:00:00"/>
        <d v="2015-03-26T00:00:00"/>
        <d v="2015-03-27T00:00:00"/>
        <d v="2015-03-30T00:00:00"/>
        <d v="2015-03-31T00:00:00"/>
        <d v="2015-04-14T00:00:00"/>
        <d v="2015-04-01T00:00:00"/>
        <d v="2015-04-02T00:00:00"/>
        <d v="2015-04-17T00:00:00"/>
        <d v="2015-04-03T00:00:00"/>
        <d v="2015-04-06T00:00:00"/>
        <d v="2015-04-07T00:00:00"/>
        <d v="2015-04-08T00:00:00"/>
        <d v="2015-04-09T00:00:00"/>
        <d v="2015-04-10T00:00:00"/>
        <d v="2015-04-13T00:00:00"/>
        <d v="2015-04-27T00:00:00"/>
        <d v="2015-04-28T00:00:00"/>
        <d v="2015-04-15T00:00:00"/>
        <d v="2015-04-29T00:00:00"/>
        <d v="2015-04-16T00:00:00"/>
        <d v="2015-04-20T00:00:00"/>
        <d v="2015-04-21T00:00:00"/>
        <d v="2015-04-22T00:00:00"/>
        <d v="2015-05-06T00:00:00"/>
        <d v="2015-04-23T00:00:00"/>
        <d v="2015-05-08T00:00:00"/>
        <d v="2015-04-24T00:00:00"/>
        <d v="2015-05-13T00:00:00"/>
        <d v="2015-04-30T00:00:00"/>
        <d v="2015-05-15T00:00:00"/>
        <d v="2015-05-01T00:00:00"/>
        <d v="2015-05-04T00:00:00"/>
        <d v="2015-05-05T00:00:00"/>
        <d v="2015-05-07T00:00:00"/>
        <d v="2015-05-11T00:00:00"/>
        <d v="2015-05-12T00:00:00"/>
        <d v="2015-05-14T00:00:00"/>
        <d v="2015-06-01T00:00:00"/>
        <d v="2015-05-18T00:00:00"/>
        <d v="2015-05-19T00:00:00"/>
        <d v="2015-05-20T00:00:00"/>
        <d v="2015-05-21T00:00:00"/>
        <d v="2015-05-22T00:00:00"/>
        <d v="2015-05-25T00:00:00"/>
        <d v="2015-05-26T00:00:00"/>
        <d v="2015-05-27T00:00:00"/>
        <d v="2015-06-10T00:00:00"/>
        <d v="2015-05-28T00:00:00"/>
        <d v="2015-06-11T00:00:00"/>
        <d v="2015-05-29T00:00:00"/>
        <d v="2015-06-02T00:00:00"/>
        <d v="2015-06-03T00:00:00"/>
      </sharedItems>
    </cacheField>
    <cacheField name="ShippedDate" numFmtId="14">
      <sharedItems containsNonDate="0" containsDate="1" containsString="0" containsBlank="1" minDate="2013-07-10T00:00:00" maxDate="2015-05-07T00:00:00" count="388">
        <d v="2013-07-16T00:00:00"/>
        <d v="2013-07-10T00:00:00"/>
        <d v="2013-07-12T00:00:00"/>
        <d v="2013-07-15T00:00:00"/>
        <d v="2013-07-11T00:00:00"/>
        <d v="2013-07-23T00:00:00"/>
        <d v="2013-07-17T00:00:00"/>
        <d v="2013-07-22T00:00:00"/>
        <d v="2013-07-25T00:00:00"/>
        <d v="2013-07-29T00:00:00"/>
        <d v="2013-07-30T00:00:00"/>
        <d v="2013-07-31T00:00:00"/>
        <d v="2013-08-23T00:00:00"/>
        <d v="2013-08-12T00:00:00"/>
        <d v="2013-08-06T00:00:00"/>
        <d v="2013-08-02T00:00:00"/>
        <d v="2013-08-09T00:00:00"/>
        <d v="2013-08-30T00:00:00"/>
        <d v="2013-08-16T00:00:00"/>
        <d v="2013-08-14T00:00:00"/>
        <d v="2013-08-13T00:00:00"/>
        <d v="2013-09-12T00:00:00"/>
        <d v="2013-08-21T00:00:00"/>
        <d v="2013-08-27T00:00:00"/>
        <d v="2013-08-26T00:00:00"/>
        <d v="2013-08-28T00:00:00"/>
        <d v="2013-09-03T00:00:00"/>
        <d v="2013-09-04T00:00:00"/>
        <d v="2013-09-02T00:00:00"/>
        <d v="2013-09-11T00:00:00"/>
        <d v="2013-09-05T00:00:00"/>
        <d v="2013-09-10T00:00:00"/>
        <d v="2013-09-13T00:00:00"/>
        <d v="2013-09-18T00:00:00"/>
        <d v="2013-09-17T00:00:00"/>
        <d v="2013-10-09T00:00:00"/>
        <d v="2013-09-23T00:00:00"/>
        <d v="2013-09-25T00:00:00"/>
        <d v="2013-09-24T00:00:00"/>
        <d v="2013-10-23T00:00:00"/>
        <d v="2013-09-27T00:00:00"/>
        <d v="2013-09-26T00:00:00"/>
        <d v="2013-10-03T00:00:00"/>
        <d v="2013-10-04T00:00:00"/>
        <d v="2013-10-08T00:00:00"/>
        <d v="2013-10-10T00:00:00"/>
        <d v="2013-10-11T00:00:00"/>
        <d v="2013-10-18T00:00:00"/>
        <d v="2013-10-14T00:00:00"/>
        <d v="2013-10-17T00:00:00"/>
        <d v="2013-10-28T00:00:00"/>
        <d v="2013-10-21T00:00:00"/>
        <d v="2013-10-25T00:00:00"/>
        <d v="2013-10-24T00:00:00"/>
        <d v="2013-10-29T00:00:00"/>
        <d v="2013-11-04T00:00:00"/>
        <d v="2013-11-08T00:00:00"/>
        <d v="2013-11-05T00:00:00"/>
        <d v="2013-11-06T00:00:00"/>
        <d v="2013-11-11T00:00:00"/>
        <d v="2013-11-15T00:00:00"/>
        <d v="2013-12-03T00:00:00"/>
        <d v="2013-11-20T00:00:00"/>
        <d v="2013-11-18T00:00:00"/>
        <d v="2013-11-25T00:00:00"/>
        <d v="2013-11-27T00:00:00"/>
        <d v="2013-12-02T00:00:00"/>
        <d v="2013-11-26T00:00:00"/>
        <d v="2013-11-28T00:00:00"/>
        <d v="2013-12-04T00:00:00"/>
        <d v="2013-12-30T00:00:00"/>
        <d v="2013-12-09T00:00:00"/>
        <d v="2013-12-27T00:00:00"/>
        <d v="2013-12-24T00:00:00"/>
        <d v="2013-12-11T00:00:00"/>
        <d v="2013-12-13T00:00:00"/>
        <d v="2013-12-19T00:00:00"/>
        <d v="2014-01-16T00:00:00"/>
        <d v="2013-12-16T00:00:00"/>
        <d v="2013-12-18T00:00:00"/>
        <d v="2013-12-20T00:00:00"/>
        <d v="2013-12-23T00:00:00"/>
        <d v="2013-12-25T00:00:00"/>
        <d v="2013-12-26T00:00:00"/>
        <d v="2013-12-31T00:00:00"/>
        <d v="2014-01-01T00:00:00"/>
        <d v="2014-01-03T00:00:00"/>
        <d v="2014-01-06T00:00:00"/>
        <d v="2014-01-02T00:00:00"/>
        <d v="2014-01-09T00:00:00"/>
        <d v="2014-01-08T00:00:00"/>
        <d v="2014-01-10T00:00:00"/>
        <d v="2014-01-22T00:00:00"/>
        <d v="2014-01-13T00:00:00"/>
        <d v="2014-01-30T00:00:00"/>
        <d v="2014-01-14T00:00:00"/>
        <d v="2014-01-15T00:00:00"/>
        <d v="2014-01-21T00:00:00"/>
        <d v="2014-01-17T00:00:00"/>
        <d v="2014-01-24T00:00:00"/>
        <d v="2014-01-27T00:00:00"/>
        <d v="2014-01-28T00:00:00"/>
        <d v="2014-01-31T00:00:00"/>
        <d v="2014-02-24T00:00:00"/>
        <d v="2014-02-14T00:00:00"/>
        <d v="2014-02-06T00:00:00"/>
        <d v="2014-03-03T00:00:00"/>
        <d v="2014-02-04T00:00:00"/>
        <d v="2014-02-07T00:00:00"/>
        <d v="2014-02-03T00:00:00"/>
        <d v="2014-03-04T00:00:00"/>
        <d v="2014-02-13T00:00:00"/>
        <d v="2014-02-11T00:00:00"/>
        <d v="2014-02-12T00:00:00"/>
        <d v="2014-02-10T00:00:00"/>
        <d v="2014-02-28T00:00:00"/>
        <d v="2014-03-14T00:00:00"/>
        <d v="2014-02-18T00:00:00"/>
        <d v="2014-02-21T00:00:00"/>
        <d v="2014-02-20T00:00:00"/>
        <d v="2014-02-19T00:00:00"/>
        <d v="2014-03-07T00:00:00"/>
        <d v="2014-02-27T00:00:00"/>
        <d v="2014-03-11T00:00:00"/>
        <d v="2014-03-12T00:00:00"/>
        <d v="2014-02-26T00:00:00"/>
        <d v="2014-02-25T00:00:00"/>
        <d v="2014-03-05T00:00:00"/>
        <d v="2014-03-18T00:00:00"/>
        <d v="2014-03-06T00:00:00"/>
        <d v="2014-03-13T00:00:00"/>
        <d v="2014-03-19T00:00:00"/>
        <d v="2014-03-21T00:00:00"/>
        <d v="2014-04-04T00:00:00"/>
        <d v="2014-03-24T00:00:00"/>
        <d v="2014-03-25T00:00:00"/>
        <d v="2014-03-26T00:00:00"/>
        <d v="2014-04-10T00:00:00"/>
        <d v="2014-04-25T00:00:00"/>
        <d v="2014-04-01T00:00:00"/>
        <d v="2014-03-31T00:00:00"/>
        <d v="2014-04-02T00:00:00"/>
        <d v="2014-03-28T00:00:00"/>
        <d v="2014-04-09T00:00:00"/>
        <d v="2014-04-03T00:00:00"/>
        <d v="2014-04-08T00:00:00"/>
        <d v="2014-04-11T00:00:00"/>
        <d v="2014-04-07T00:00:00"/>
        <d v="2014-04-16T00:00:00"/>
        <d v="2014-04-17T00:00:00"/>
        <d v="2014-04-29T00:00:00"/>
        <d v="2014-04-18T00:00:00"/>
        <d v="2014-04-21T00:00:00"/>
        <d v="2014-05-02T00:00:00"/>
        <d v="2014-04-22T00:00:00"/>
        <d v="2014-05-13T00:00:00"/>
        <d v="2014-04-28T00:00:00"/>
        <d v="2014-04-24T00:00:00"/>
        <d v="2014-05-16T00:00:00"/>
        <d v="2014-05-23T00:00:00"/>
        <d v="2014-05-01T00:00:00"/>
        <d v="2014-05-05T00:00:00"/>
        <d v="2014-05-06T00:00:00"/>
        <d v="2014-05-30T00:00:00"/>
        <d v="2014-05-07T00:00:00"/>
        <d v="2014-05-15T00:00:00"/>
        <d v="2014-05-09T00:00:00"/>
        <d v="2014-05-12T00:00:00"/>
        <d v="2014-05-19T00:00:00"/>
        <d v="2014-05-22T00:00:00"/>
        <d v="2014-05-14T00:00:00"/>
        <d v="2014-05-21T00:00:00"/>
        <d v="2014-06-06T00:00:00"/>
        <d v="2014-06-13T00:00:00"/>
        <d v="2014-05-29T00:00:00"/>
        <d v="2014-05-26T00:00:00"/>
        <d v="2014-06-26T00:00:00"/>
        <d v="2014-05-27T00:00:00"/>
        <d v="2014-06-02T00:00:00"/>
        <d v="2014-06-05T00:00:00"/>
        <d v="2014-06-03T00:00:00"/>
        <d v="2014-06-04T00:00:00"/>
        <d v="2014-06-10T00:00:00"/>
        <d v="2014-06-09T00:00:00"/>
        <d v="2014-06-12T00:00:00"/>
        <d v="2014-06-24T00:00:00"/>
        <d v="2014-06-16T00:00:00"/>
        <d v="2014-06-18T00:00:00"/>
        <d v="2014-06-17T00:00:00"/>
        <d v="2014-07-09T00:00:00"/>
        <d v="2014-07-11T00:00:00"/>
        <d v="2014-06-19T00:00:00"/>
        <d v="2014-07-04T00:00:00"/>
        <d v="2014-06-25T00:00:00"/>
        <d v="2014-06-20T00:00:00"/>
        <d v="2014-06-30T00:00:00"/>
        <d v="2014-07-25T00:00:00"/>
        <d v="2014-07-01T00:00:00"/>
        <d v="2014-07-02T00:00:00"/>
        <d v="2014-07-14T00:00:00"/>
        <d v="2014-07-10T00:00:00"/>
        <d v="2014-07-16T00:00:00"/>
        <d v="2014-08-13T00:00:00"/>
        <d v="2014-08-12T00:00:00"/>
        <d v="2014-07-18T00:00:00"/>
        <d v="2014-07-21T00:00:00"/>
        <d v="2014-07-22T00:00:00"/>
        <d v="2014-08-08T00:00:00"/>
        <d v="2014-07-29T00:00:00"/>
        <d v="2014-07-31T00:00:00"/>
        <d v="2014-08-01T00:00:00"/>
        <d v="2014-07-30T00:00:00"/>
        <d v="2014-08-06T00:00:00"/>
        <d v="2014-08-05T00:00:00"/>
        <d v="2014-08-04T00:00:00"/>
        <d v="2014-08-07T00:00:00"/>
        <d v="2014-08-14T00:00:00"/>
        <d v="2014-08-11T00:00:00"/>
        <d v="2014-08-19T00:00:00"/>
        <d v="2014-08-20T00:00:00"/>
        <d v="2014-08-21T00:00:00"/>
        <d v="2014-08-15T00:00:00"/>
        <d v="2014-08-18T00:00:00"/>
        <d v="2014-08-26T00:00:00"/>
        <d v="2014-09-01T00:00:00"/>
        <d v="2014-08-27T00:00:00"/>
        <d v="2014-08-28T00:00:00"/>
        <d v="2014-09-05T00:00:00"/>
        <d v="2014-09-02T00:00:00"/>
        <d v="2014-09-03T00:00:00"/>
        <d v="2014-09-09T00:00:00"/>
        <d v="2014-08-29T00:00:00"/>
        <d v="2014-09-11T00:00:00"/>
        <d v="2014-09-08T00:00:00"/>
        <d v="2014-09-19T00:00:00"/>
        <d v="2014-09-10T00:00:00"/>
        <d v="2014-09-15T00:00:00"/>
        <d v="2014-10-15T00:00:00"/>
        <d v="2014-09-18T00:00:00"/>
        <d v="2014-10-03T00:00:00"/>
        <d v="2014-09-17T00:00:00"/>
        <d v="2014-09-22T00:00:00"/>
        <d v="2014-09-23T00:00:00"/>
        <d v="2014-09-24T00:00:00"/>
        <d v="2014-09-26T00:00:00"/>
        <d v="2014-09-30T00:00:00"/>
        <d v="2014-09-29T00:00:00"/>
        <d v="2014-10-16T00:00:00"/>
        <d v="2014-10-01T00:00:00"/>
        <d v="2014-10-08T00:00:00"/>
        <d v="2014-10-30T00:00:00"/>
        <d v="2014-10-07T00:00:00"/>
        <d v="2014-10-22T00:00:00"/>
        <d v="2014-10-13T00:00:00"/>
        <d v="2014-10-10T00:00:00"/>
        <d v="2014-10-09T00:00:00"/>
        <d v="2014-10-14T00:00:00"/>
        <d v="2014-10-17T00:00:00"/>
        <d v="2014-10-21T00:00:00"/>
        <d v="2014-10-20T00:00:00"/>
        <d v="2014-11-07T00:00:00"/>
        <d v="2014-11-18T00:00:00"/>
        <d v="2014-10-23T00:00:00"/>
        <d v="2014-11-05T00:00:00"/>
        <d v="2014-11-20T00:00:00"/>
        <d v="2014-10-29T00:00:00"/>
        <d v="2014-10-31T00:00:00"/>
        <d v="2014-10-24T00:00:00"/>
        <d v="2014-10-27T00:00:00"/>
        <d v="2014-11-04T00:00:00"/>
        <d v="2014-11-25T00:00:00"/>
        <d v="2014-12-05T00:00:00"/>
        <d v="2014-11-11T00:00:00"/>
        <d v="2014-11-14T00:00:00"/>
        <d v="2014-11-10T00:00:00"/>
        <d v="2014-11-12T00:00:00"/>
        <d v="2014-11-21T00:00:00"/>
        <d v="2014-11-17T00:00:00"/>
        <d v="2014-11-24T00:00:00"/>
        <d v="2014-11-27T00:00:00"/>
        <d v="2014-11-26T00:00:00"/>
        <d v="2014-11-28T00:00:00"/>
        <d v="2014-12-19T00:00:00"/>
        <d v="2014-12-03T00:00:00"/>
        <d v="2014-12-02T00:00:00"/>
        <d v="2014-12-15T00:00:00"/>
        <d v="2014-12-04T00:00:00"/>
        <d v="2014-12-12T00:00:00"/>
        <d v="2014-12-10T00:00:00"/>
        <d v="2014-12-08T00:00:00"/>
        <d v="2014-12-09T00:00:00"/>
        <d v="2014-12-17T00:00:00"/>
        <d v="2015-01-02T00:00:00"/>
        <d v="2014-12-16T00:00:00"/>
        <d v="2014-12-26T00:00:00"/>
        <d v="2014-12-18T00:00:00"/>
        <d v="2015-01-21T00:00:00"/>
        <d v="2014-12-24T00:00:00"/>
        <d v="2015-01-14T00:00:00"/>
        <d v="2014-12-25T00:00:00"/>
        <d v="2014-12-22T00:00:00"/>
        <d v="2014-12-23T00:00:00"/>
        <d v="2015-01-19T00:00:00"/>
        <d v="2014-12-31T00:00:00"/>
        <d v="2015-01-01T00:00:00"/>
        <d v="2015-01-08T00:00:00"/>
        <d v="2015-01-20T00:00:00"/>
        <d v="2015-01-05T00:00:00"/>
        <d v="2015-01-06T00:00:00"/>
        <d v="2015-01-07T00:00:00"/>
        <d v="2015-01-09T00:00:00"/>
        <d v="2015-01-30T00:00:00"/>
        <d v="2015-01-12T00:00:00"/>
        <d v="2015-02-04T00:00:00"/>
        <d v="2015-01-13T00:00:00"/>
        <d v="2015-01-16T00:00:00"/>
        <d v="2015-01-15T00:00:00"/>
        <d v="2015-02-06T00:00:00"/>
        <d v="2015-01-23T00:00:00"/>
        <d v="2015-01-22T00:00:00"/>
        <d v="2015-02-16T00:00:00"/>
        <d v="2015-01-29T00:00:00"/>
        <d v="2015-01-26T00:00:00"/>
        <d v="2015-02-10T00:00:00"/>
        <d v="2015-02-02T00:00:00"/>
        <d v="2015-02-03T00:00:00"/>
        <d v="2015-02-05T00:00:00"/>
        <d v="2015-02-17T00:00:00"/>
        <d v="2015-02-09T00:00:00"/>
        <d v="2015-02-12T00:00:00"/>
        <d v="2015-02-11T00:00:00"/>
        <d v="2015-02-23T00:00:00"/>
        <d v="2015-02-13T00:00:00"/>
        <d v="2015-03-03T00:00:00"/>
        <d v="2015-02-19T00:00:00"/>
        <d v="2015-02-18T00:00:00"/>
        <d v="2015-02-20T00:00:00"/>
        <d v="2015-03-02T00:00:00"/>
        <d v="2015-02-27T00:00:00"/>
        <d v="2015-02-25T00:00:00"/>
        <d v="2015-03-06T00:00:00"/>
        <d v="2015-02-26T00:00:00"/>
        <d v="2015-03-04T00:00:00"/>
        <d v="2015-03-10T00:00:00"/>
        <d v="2015-03-05T00:00:00"/>
        <d v="2015-03-18T00:00:00"/>
        <d v="2015-03-09T00:00:00"/>
        <d v="2015-03-11T00:00:00"/>
        <d v="2015-03-13T00:00:00"/>
        <d v="2015-04-08T00:00:00"/>
        <d v="2015-03-12T00:00:00"/>
        <d v="2015-03-19T00:00:00"/>
        <d v="2015-03-24T00:00:00"/>
        <d v="2015-03-16T00:00:00"/>
        <d v="2015-03-23T00:00:00"/>
        <d v="2015-03-20T00:00:00"/>
        <d v="2015-03-17T00:00:00"/>
        <d v="2015-04-07T00:00:00"/>
        <d v="2015-03-25T00:00:00"/>
        <d v="2015-03-27T00:00:00"/>
        <d v="2015-03-30T00:00:00"/>
        <d v="2015-03-26T00:00:00"/>
        <d v="2015-04-02T00:00:00"/>
        <d v="2015-04-01T00:00:00"/>
        <d v="2015-04-24T00:00:00"/>
        <d v="2015-04-03T00:00:00"/>
        <d v="2015-04-10T00:00:00"/>
        <d v="2015-04-23T00:00:00"/>
        <d v="2015-03-31T00:00:00"/>
        <d v="2015-04-17T00:00:00"/>
        <d v="2015-04-06T00:00:00"/>
        <d v="2015-04-21T00:00:00"/>
        <d v="2015-04-09T00:00:00"/>
        <d v="2015-04-13T00:00:00"/>
        <d v="2015-04-14T00:00:00"/>
        <d v="2015-04-16T00:00:00"/>
        <d v="2015-04-20T00:00:00"/>
        <d v="2015-04-15T00:00:00"/>
        <m/>
        <d v="2015-05-04T00:00:00"/>
        <d v="2015-04-28T00:00:00"/>
        <d v="2015-04-22T00:00:00"/>
        <d v="2015-04-27T00:00:00"/>
        <d v="2015-04-30T00:00:00"/>
        <d v="2015-05-01T00:00:00"/>
        <d v="2015-04-29T00:00:00"/>
        <d v="2015-05-05T00:00:00"/>
        <d v="2015-05-06T00:00:00"/>
      </sharedItems>
    </cacheField>
    <cacheField name="Days to ship" numFmtId="1">
      <sharedItems containsMixedTypes="1" containsNumber="1" containsInteger="1" minValue="1" maxValue="37" count="36">
        <n v="12"/>
        <n v="5"/>
        <n v="4"/>
        <n v="7"/>
        <n v="2"/>
        <n v="6"/>
        <n v="3"/>
        <n v="10"/>
        <n v="11"/>
        <n v="8"/>
        <n v="30"/>
        <n v="18"/>
        <n v="9"/>
        <n v="1"/>
        <n v="29"/>
        <n v="13"/>
        <n v="26"/>
        <n v="34"/>
        <n v="15"/>
        <n v="19"/>
        <n v="22"/>
        <n v="32"/>
        <n v="24"/>
        <n v="21"/>
        <n v="35"/>
        <n v="16"/>
        <n v="23"/>
        <n v="20"/>
        <n v="17"/>
        <n v="27"/>
        <n v="25"/>
        <n v="14"/>
        <n v="31"/>
        <n v="37"/>
        <n v="28"/>
        <s v=""/>
      </sharedItems>
    </cacheField>
    <cacheField name="shipperID" numFmtId="1">
      <sharedItems containsSemiMixedTypes="0" containsString="0" containsNumber="1" containsInteger="1" minValue="1" maxValue="3" count="3">
        <n v="3"/>
        <n v="1"/>
        <n v="2"/>
      </sharedItems>
    </cacheField>
    <cacheField name="freight" numFmtId="2">
      <sharedItems containsSemiMixedTypes="0" containsString="0" containsNumber="1" minValue="0.02" maxValue="1007.64" count="799">
        <n v="32.380000000000003"/>
        <n v="11.61"/>
        <n v="65.83"/>
        <n v="41.34"/>
        <n v="51.3"/>
        <n v="58.17"/>
        <n v="22.98"/>
        <n v="148.33000000000001"/>
        <n v="13.97"/>
        <n v="81.91"/>
        <n v="140.51"/>
        <n v="3.25"/>
        <n v="55.09"/>
        <n v="3.05"/>
        <n v="48.29"/>
        <n v="146.06"/>
        <n v="3.67"/>
        <n v="55.28"/>
        <n v="25.73"/>
        <n v="208.58"/>
        <n v="66.290000000000006"/>
        <n v="4.5599999999999996"/>
        <n v="136.54"/>
        <n v="4.54"/>
        <n v="98.03"/>
        <n v="76.069999999999993"/>
        <n v="6.01"/>
        <n v="26.93"/>
        <n v="13.84"/>
        <n v="125.77"/>
        <n v="92.69"/>
        <n v="25.83"/>
        <n v="8.98"/>
        <n v="2.94"/>
        <n v="12.69"/>
        <n v="84.81"/>
        <n v="76.56"/>
        <n v="76.83"/>
        <n v="229.24"/>
        <n v="12.76"/>
        <n v="7.45"/>
        <n v="22.77"/>
        <n v="79.7"/>
        <n v="6.4"/>
        <n v="1.35"/>
        <n v="21.18"/>
        <n v="147.26"/>
        <n v="1.1499999999999999"/>
        <n v="0.12"/>
        <n v="5.74"/>
        <n v="168.22"/>
        <n v="29.76"/>
        <n v="17.68"/>
        <n v="45.08"/>
        <n v="6.27"/>
        <n v="107.83"/>
        <n v="63.79"/>
        <n v="257.62"/>
        <n v="7.56"/>
        <n v="0.56000000000000005"/>
        <n v="1.61"/>
        <n v="47.3"/>
        <n v="17.52"/>
        <n v="24.69"/>
        <n v="40.26"/>
        <n v="1.96"/>
        <n v="74.16"/>
        <n v="41.76"/>
        <n v="150.15"/>
        <n v="4.7300000000000004"/>
        <n v="64.5"/>
        <n v="34.57"/>
        <n v="3.43"/>
        <n v="0.4"/>
        <n v="4.88"/>
        <n v="214.27"/>
        <n v="64.86"/>
        <n v="77.92"/>
        <n v="63.36"/>
        <n v="87.03"/>
        <n v="191.67"/>
        <n v="12.75"/>
        <n v="10.19"/>
        <n v="52.84"/>
        <n v="0.59"/>
        <n v="8.56"/>
        <n v="42.11"/>
        <n v="15.51"/>
        <n v="108.26"/>
        <n v="84.21"/>
        <n v="15.66"/>
        <n v="166.31"/>
        <n v="26.78"/>
        <n v="54.83"/>
        <n v="110.37"/>
        <n v="23.29"/>
        <n v="249.06"/>
        <n v="142.08000000000001"/>
        <n v="3.1"/>
        <n v="0.78"/>
        <n v="8.6300000000000008"/>
        <n v="64.19"/>
        <n v="162.33000000000001"/>
        <n v="1.3"/>
        <n v="360.63"/>
        <n v="53.8"/>
        <n v="41.95"/>
        <n v="36.71"/>
        <n v="34.880000000000003"/>
        <n v="19.64"/>
        <n v="288.43"/>
        <n v="131.69999999999999"/>
        <n v="183.17"/>
        <n v="96.04"/>
        <n v="30.54"/>
        <n v="71.97"/>
        <n v="22"/>
        <n v="10.14"/>
        <n v="13.55"/>
        <n v="101.95"/>
        <n v="195.68"/>
        <n v="1.17"/>
        <n v="0.45"/>
        <n v="890.78"/>
        <n v="124.12"/>
        <n v="3.94"/>
        <n v="20.12"/>
        <n v="20.39"/>
        <n v="22.21"/>
        <n v="5.44"/>
        <n v="45.03"/>
        <n v="35.03"/>
        <n v="7.99"/>
        <n v="94.77"/>
        <n v="34.24"/>
        <n v="168.64"/>
        <n v="30.96"/>
        <n v="13.99"/>
        <n v="93.63"/>
        <n v="34.86"/>
        <n v="47.42"/>
        <n v="126.38"/>
        <n v="5.45"/>
        <n v="122.46"/>
        <n v="126.56"/>
        <n v="30.34"/>
        <n v="184.41"/>
        <n v="135.35"/>
        <n v="60.26"/>
        <n v="89.16"/>
        <n v="27.36"/>
        <n v="83.93"/>
        <n v="12.51"/>
        <n v="67.88"/>
        <n v="73.790000000000006"/>
        <n v="155.97"/>
        <n v="34.82"/>
        <n v="108.04"/>
        <n v="91.48"/>
        <n v="11.26"/>
        <n v="29.83"/>
        <n v="2.4"/>
        <n v="23.65"/>
        <n v="3.77"/>
        <n v="95.66"/>
        <n v="21.48"/>
        <n v="0.2"/>
        <n v="22.72"/>
        <n v="70.290000000000006"/>
        <n v="17.55"/>
        <n v="137.35"/>
        <n v="44.12"/>
        <n v="99.23"/>
        <n v="3.02"/>
        <n v="24.5"/>
        <n v="370.61"/>
        <n v="7.93"/>
        <n v="18.690000000000001"/>
        <n v="31.29"/>
        <n v="11.09"/>
        <n v="56.63"/>
        <n v="458.78"/>
        <n v="44.17"/>
        <n v="4.34"/>
        <n v="73.83"/>
        <n v="17.920000000000002"/>
        <n v="9.2100000000000009"/>
        <n v="156.66"/>
        <n v="19.97"/>
        <n v="8.24"/>
        <n v="4.07"/>
        <n v="86.53"/>
        <n v="73.02"/>
        <n v="47.94"/>
        <n v="13.95"/>
        <n v="3.5"/>
        <n v="9.3000000000000007"/>
        <n v="14.68"/>
        <n v="68.66"/>
        <n v="38.82"/>
        <n v="53.3"/>
        <n v="7.23"/>
        <n v="189.09"/>
        <n v="140.26"/>
        <n v="25.36"/>
        <n v="2.74"/>
        <n v="180.45"/>
        <n v="8.1199999999999992"/>
        <n v="11.57"/>
        <n v="147.06"/>
        <n v="25.09"/>
        <n v="16.27"/>
        <n v="148.61000000000001"/>
        <n v="6.17"/>
        <n v="14.78"/>
        <n v="89"/>
        <n v="145.04"/>
        <n v="11.93"/>
        <n v="4.93"/>
        <n v="60.18"/>
        <n v="64.56"/>
        <n v="45.59"/>
        <n v="4.2"/>
        <n v="16.37"/>
        <n v="83.49"/>
        <n v="68.52"/>
        <n v="4.41"/>
        <n v="13.02"/>
        <n v="4.8099999999999996"/>
        <n v="708.95"/>
        <n v="64.33"/>
        <n v="7.48"/>
        <n v="15.28"/>
        <n v="6.88"/>
        <n v="64.45"/>
        <n v="30.53"/>
        <n v="71.069999999999993"/>
        <n v="5.29"/>
        <n v="210.19"/>
        <n v="16.96"/>
        <n v="62.89"/>
        <n v="10.64"/>
        <n v="65.989999999999995"/>
        <n v="4.6500000000000004"/>
        <n v="46.77"/>
        <n v="36.21"/>
        <n v="29.75"/>
        <n v="102.02"/>
        <n v="42.68"/>
        <n v="8.85"/>
        <n v="69.319999999999993"/>
        <n v="16.739999999999998"/>
        <n v="59.13"/>
        <n v="7.13"/>
        <n v="21.19"/>
        <n v="47.45"/>
        <n v="4.99"/>
        <n v="0.15"/>
        <n v="367.63"/>
        <n v="350.64"/>
        <n v="3.53"/>
        <n v="105.65"/>
        <n v="789.95"/>
        <n v="204.47"/>
        <n v="62.78"/>
        <n v="32.07"/>
        <n v="218.15"/>
        <n v="91.76"/>
        <n v="13.37"/>
        <n v="17.22"/>
        <n v="45.33"/>
        <n v="77.63"/>
        <n v="244.79"/>
        <n v="11.06"/>
        <n v="58.59"/>
        <n v="41.9"/>
        <n v="3.35"/>
        <n v="66.69"/>
        <n v="339.22"/>
        <n v="74.459999999999994"/>
        <n v="188.04"/>
        <n v="27.94"/>
        <n v="15.64"/>
        <n v="58.88"/>
        <n v="78.849999999999994"/>
        <n v="4.87"/>
        <n v="12.36"/>
        <n v="1007.64"/>
        <n v="68.650000000000006"/>
        <n v="10.95"/>
        <n v="48.17"/>
        <n v="24.91"/>
        <n v="11.92"/>
        <n v="194.72"/>
        <n v="178.43"/>
        <n v="1.43"/>
        <n v="171.24"/>
        <n v="4.32"/>
        <n v="72.95"/>
        <n v="83.22"/>
        <n v="149.49"/>
        <n v="120.97"/>
        <n v="252.49"/>
        <n v="9.8000000000000007"/>
        <n v="96.72"/>
        <n v="72.97"/>
        <n v="8.0500000000000007"/>
        <n v="36.65"/>
        <n v="242.21"/>
        <n v="22.95"/>
        <n v="60.43"/>
        <n v="13.75"/>
        <n v="7.15"/>
        <n v="88.4"/>
        <n v="33.97"/>
        <n v="6.54"/>
        <n v="58.98"/>
        <n v="188.99"/>
        <n v="26.06"/>
        <n v="116.43"/>
        <n v="84.84"/>
        <n v="37.6"/>
        <n v="127.34"/>
        <n v="18.559999999999999"/>
        <n v="25.41"/>
        <n v="29.6"/>
        <n v="13.73"/>
        <n v="75.89"/>
        <n v="3.01"/>
        <n v="27.71"/>
        <n v="7.28"/>
        <n v="59.14"/>
        <n v="13.41"/>
        <n v="0.48"/>
        <n v="62.52"/>
        <n v="194.67"/>
        <n v="4.42"/>
        <n v="44.77"/>
        <n v="55.92"/>
        <n v="32.1"/>
        <n v="174.2"/>
        <n v="5.24"/>
        <n v="96.78"/>
        <n v="16.34"/>
        <n v="35.119999999999997"/>
        <n v="44.42"/>
        <n v="29.98"/>
        <n v="45.13"/>
        <n v="58.3"/>
        <n v="2.92"/>
        <n v="48.77"/>
        <n v="7.46"/>
        <n v="379.13"/>
        <n v="79.400000000000006"/>
        <n v="200.24"/>
        <n v="27.79"/>
        <n v="1.85"/>
        <n v="80.650000000000006"/>
        <n v="544.08000000000004"/>
        <n v="8.11"/>
        <n v="1.93"/>
        <n v="0.75"/>
        <n v="116.53"/>
        <n v="18.53"/>
        <n v="154.68"/>
        <n v="91.05"/>
        <n v="0.94"/>
        <n v="23.73"/>
        <n v="50.97"/>
        <n v="97.18"/>
        <n v="94.8"/>
        <n v="43.9"/>
        <n v="138.69"/>
        <n v="107.46"/>
        <n v="30.36"/>
        <n v="85.46"/>
        <n v="32.35"/>
        <n v="0.87"/>
        <n v="41.38"/>
        <n v="477.9"/>
        <n v="487.38"/>
        <n v="47.46"/>
        <n v="201.29"/>
        <n v="158.44"/>
        <n v="38.64"/>
        <n v="23.55"/>
        <n v="179.61"/>
        <n v="41.89"/>
        <n v="29.46"/>
        <n v="0.14000000000000001"/>
        <n v="12.41"/>
        <n v="142.33000000000001"/>
        <n v="45.54"/>
        <n v="14.25"/>
        <n v="6.2"/>
        <n v="176.81"/>
        <n v="20.6"/>
        <n v="7.14"/>
        <n v="93.25"/>
        <n v="55.26"/>
        <n v="57.15"/>
        <n v="352.69"/>
        <n v="364.15"/>
        <n v="105.81"/>
        <n v="111.29"/>
        <n v="1.28"/>
        <n v="113.15"/>
        <n v="1.27"/>
        <n v="26.31"/>
        <n v="232.42"/>
        <n v="78.09"/>
        <n v="47.22"/>
        <n v="24.39"/>
        <n v="203.48"/>
        <n v="95.75"/>
        <n v="22.76"/>
        <n v="0.9"/>
        <n v="31.85"/>
        <n v="2.0099999999999998"/>
        <n v="4.03"/>
        <n v="388.98"/>
        <n v="26.61"/>
        <n v="76.13"/>
        <n v="36.130000000000003"/>
        <n v="4.4000000000000004"/>
        <n v="145.63"/>
        <n v="33.75"/>
        <n v="96.5"/>
        <n v="296.43"/>
        <n v="299.08999999999997"/>
        <n v="13.42"/>
        <n v="15.8"/>
        <n v="810.05"/>
        <n v="61.02"/>
        <n v="139.34"/>
        <n v="398.36"/>
        <n v="16.72"/>
        <n v="102.55"/>
        <n v="45.52"/>
        <n v="272.47000000000003"/>
        <n v="0.57999999999999996"/>
        <n v="65.099999999999994"/>
        <n v="220.31"/>
        <n v="23.94"/>
        <n v="152.30000000000001"/>
        <n v="4.78"/>
        <n v="3.52"/>
        <n v="135.63"/>
        <n v="21.74"/>
        <n v="2.96"/>
        <n v="210.8"/>
        <n v="4.9800000000000004"/>
        <n v="52.41"/>
        <n v="89.93"/>
        <n v="167.05"/>
        <n v="24.49"/>
        <n v="63.2"/>
        <n v="22.57"/>
        <n v="59.25"/>
        <n v="170.88"/>
        <n v="51.44"/>
        <n v="9.5299999999999994"/>
        <n v="48.92"/>
        <n v="74.58"/>
        <n v="21.72"/>
        <n v="57.75"/>
        <n v="10.83"/>
        <n v="16.559999999999999"/>
        <n v="89.9"/>
        <n v="58.33"/>
        <n v="141.06"/>
        <n v="96.65"/>
        <n v="16.97"/>
        <n v="110.11"/>
        <n v="1.63"/>
        <n v="45.97"/>
        <n v="44.1"/>
        <n v="7.79"/>
        <n v="2.91"/>
        <n v="11.08"/>
        <n v="81.88"/>
        <n v="10.96"/>
        <n v="243.73"/>
        <n v="23.72"/>
        <n v="69.19"/>
        <n v="31.43"/>
        <n v="117.33"/>
        <n v="232.55"/>
        <n v="61.53"/>
        <n v="79.3"/>
        <n v="130.79"/>
        <n v="1.39"/>
        <n v="7.7"/>
        <n v="2.38"/>
        <n v="16.71"/>
        <n v="73.209999999999994"/>
        <n v="8.19"/>
        <n v="138.16999999999999"/>
        <n v="11.99"/>
        <n v="155.63999999999999"/>
        <n v="18.66"/>
        <n v="328.74"/>
        <n v="37.35"/>
        <n v="145.44999999999999"/>
        <n v="42.74"/>
        <n v="157.55000000000001"/>
        <n v="1.59"/>
        <n v="146.32"/>
        <n v="65.06"/>
        <n v="5.32"/>
        <n v="11.19"/>
        <n v="91.28"/>
        <n v="96.43"/>
        <n v="48.2"/>
        <n v="20.25"/>
        <n v="351.53"/>
        <n v="6.79"/>
        <n v="58.13"/>
        <n v="42.13"/>
        <n v="73.16"/>
        <n v="1.1000000000000001"/>
        <n v="124.98"/>
        <n v="70.09"/>
        <n v="1.51"/>
        <n v="110.87"/>
        <n v="249.93"/>
        <n v="42.7"/>
        <n v="100.6"/>
        <n v="28.23"/>
        <n v="16.850000000000001"/>
        <n v="23.79"/>
        <n v="4.5199999999999996"/>
        <n v="21.49"/>
        <n v="126.66"/>
        <n v="26.52"/>
        <n v="33.35"/>
        <n v="2.33"/>
        <n v="30.76"/>
        <n v="137.44"/>
        <n v="97.09"/>
        <n v="257.26"/>
        <n v="55.23"/>
        <n v="27.33"/>
        <n v="237.34"/>
        <n v="22.11"/>
        <n v="1.36"/>
        <n v="45.53"/>
        <n v="4.33"/>
        <n v="31.22"/>
        <n v="59.78"/>
        <n v="47.38"/>
        <n v="130.94"/>
        <n v="14.62"/>
        <n v="719.78"/>
        <n v="306.07"/>
        <n v="65.48"/>
        <n v="19.760000000000002"/>
        <n v="37.520000000000003"/>
        <n v="36.68"/>
        <n v="7"/>
        <n v="163.97"/>
        <n v="1.23"/>
        <n v="79.25"/>
        <n v="7.09"/>
        <n v="63.54"/>
        <n v="90.85"/>
        <n v="154.72"/>
        <n v="81.83"/>
        <n v="72.19"/>
        <n v="43.26"/>
        <n v="71.489999999999995"/>
        <n v="29.78"/>
        <n v="69.53"/>
        <n v="411.88"/>
        <n v="13.32"/>
        <n v="59.28"/>
        <n v="35.43"/>
        <n v="2.71"/>
        <n v="424.3"/>
        <n v="54.42"/>
        <n v="9.26"/>
        <n v="25.22"/>
        <n v="212.98"/>
        <n v="56.46"/>
        <n v="487.57"/>
        <n v="38.24"/>
        <n v="49.19"/>
        <n v="160.55000000000001"/>
        <n v="174.05"/>
        <n v="53.83"/>
        <n v="100.22"/>
        <n v="170.97"/>
        <n v="58.43"/>
        <n v="188.85"/>
        <n v="52.51"/>
        <n v="76.099999999999994"/>
        <n v="19.260000000000002"/>
        <n v="14.93"/>
        <n v="53.23"/>
        <n v="30.26"/>
        <n v="3.04"/>
        <n v="348.14"/>
        <n v="109.11"/>
        <n v="191.27"/>
        <n v="143.28"/>
        <n v="12.04"/>
        <n v="112.27"/>
        <n v="175.32"/>
        <n v="0.82"/>
        <n v="19.579999999999998"/>
        <n v="32.369999999999997"/>
        <n v="60.42"/>
        <n v="38.06"/>
        <n v="46.69"/>
        <n v="8.5"/>
        <n v="88.01"/>
        <n v="2.84"/>
        <n v="23.1"/>
        <n v="0.53"/>
        <n v="90.97"/>
        <n v="5.64"/>
        <n v="1.25"/>
        <n v="51.87"/>
        <n v="280.61"/>
        <n v="32.76"/>
        <n v="20.37"/>
        <n v="120.27"/>
        <n v="77.78"/>
        <n v="116.13"/>
        <n v="162.75"/>
        <n v="32.450000000000003"/>
        <n v="603.54"/>
        <n v="1.21"/>
        <n v="1.66"/>
        <n v="62.09"/>
        <n v="44.15"/>
        <n v="162.94999999999999"/>
        <n v="13.72"/>
        <n v="26.29"/>
        <n v="9.19"/>
        <n v="32.96"/>
        <n v="53.05"/>
        <n v="38.11"/>
        <n v="38.19"/>
        <n v="580.91"/>
        <n v="33.049999999999997"/>
        <n v="3.51"/>
        <n v="63.77"/>
        <n v="8.2899999999999991"/>
        <n v="48.83"/>
        <n v="19.8"/>
        <n v="29.61"/>
        <n v="176.48"/>
        <n v="62.74"/>
        <n v="68.260000000000005"/>
        <n v="151.52000000000001"/>
        <n v="2.27"/>
        <n v="39.92"/>
        <n v="19.79"/>
        <n v="33.93"/>
        <n v="15.55"/>
        <n v="13.6"/>
        <n v="134.63999999999999"/>
        <n v="54.15"/>
        <n v="32.01"/>
        <n v="47.59"/>
        <n v="33.68"/>
        <n v="31.51"/>
        <n v="31.89"/>
        <n v="76.33"/>
        <n v="19.77"/>
        <n v="400.81"/>
        <n v="17.95"/>
        <n v="2.17"/>
        <n v="52.92"/>
        <n v="10.220000000000001"/>
        <n v="27.2"/>
        <n v="3.26"/>
        <n v="23.39"/>
        <n v="74.44"/>
        <n v="2.5"/>
        <n v="30.85"/>
        <n v="40.42"/>
        <n v="27.91"/>
        <n v="44.65"/>
        <n v="105.36"/>
        <n v="49.56"/>
        <n v="2.08"/>
        <n v="104.47"/>
        <n v="275.79000000000002"/>
        <n v="2.7"/>
        <n v="87.38"/>
        <n v="144.38"/>
        <n v="27.19"/>
        <n v="62.22"/>
        <n v="74.599999999999994"/>
        <n v="0.21"/>
        <n v="16.16"/>
        <n v="121.82"/>
        <n v="0.02"/>
        <n v="15.17"/>
        <n v="12.96"/>
        <n v="32.270000000000003"/>
        <n v="37.97"/>
        <n v="208.5"/>
        <n v="32.82"/>
        <n v="353.07"/>
        <n v="1.26"/>
        <n v="193.37"/>
        <n v="14.01"/>
        <n v="657.54"/>
        <n v="211.22"/>
        <n v="91.51"/>
        <n v="217.86"/>
        <n v="185.48"/>
        <n v="61.14"/>
        <n v="34.76"/>
        <n v="117.61"/>
        <n v="38.51"/>
        <n v="4.2699999999999996"/>
        <n v="8.81"/>
        <n v="65.53"/>
        <n v="46"/>
        <n v="1.1200000000000001"/>
        <n v="73.91"/>
        <n v="20.309999999999999"/>
        <n v="96.35"/>
        <n v="55.12"/>
        <n v="197.3"/>
        <n v="141.16"/>
        <n v="14.91"/>
        <n v="44.84"/>
        <n v="25.19"/>
        <n v="202.24"/>
        <n v="79.459999999999994"/>
        <n v="59.11"/>
        <n v="28.71"/>
        <n v="242.95"/>
        <n v="32.99"/>
        <n v="23.6"/>
        <n v="4.62"/>
        <n v="33.799999999999997"/>
        <n v="754.26"/>
        <n v="11.65"/>
        <n v="3.17"/>
        <n v="43.3"/>
        <n v="297.18"/>
        <n v="123.83"/>
        <n v="74.36"/>
        <n v="29.17"/>
        <n v="47.09"/>
        <n v="52.52"/>
        <n v="29.59"/>
        <n v="47.84"/>
        <n v="830.75"/>
        <n v="227.22"/>
        <n v="606.19000000000005"/>
        <n v="84.74"/>
        <n v="40.32"/>
        <n v="0.17"/>
        <n v="149.47"/>
        <n v="3.2"/>
        <n v="65"/>
        <n v="18.84"/>
        <n v="48.22"/>
        <n v="29.99"/>
        <n v="8.8000000000000007"/>
        <n v="8.7200000000000006"/>
        <n v="70.58"/>
        <n v="71.64"/>
        <n v="46.62"/>
        <n v="24.12"/>
        <n v="8.34"/>
        <n v="59.41"/>
        <n v="2.79"/>
        <n v="67.260000000000005"/>
        <n v="0.33"/>
        <n v="120.92"/>
        <n v="278.95999999999998"/>
        <n v="4.13"/>
        <n v="31.14"/>
        <n v="85.8"/>
        <n v="10.98"/>
        <n v="29.93"/>
        <n v="81.73"/>
        <n v="30.09"/>
        <n v="12.91"/>
        <n v="44.72"/>
        <n v="7.98"/>
        <n v="81.75"/>
        <n v="15.67"/>
        <n v="136"/>
        <n v="0.93"/>
        <n v="258.64"/>
        <n v="24.95"/>
        <n v="18.440000000000001"/>
        <n v="6.19"/>
        <n v="38.28"/>
        <n v="8.5299999999999994"/>
      </sharedItems>
    </cacheField>
    <cacheField name="Sales" numFmtId="2">
      <sharedItems containsSemiMixedTypes="0" containsString="0" containsNumber="1" minValue="12.5" maxValue="16387.5" count="796">
        <n v="440"/>
        <n v="1863.4"/>
        <n v="1552.6"/>
        <n v="654.05999999999995"/>
        <n v="3597.9"/>
        <n v="1444.8000000000002"/>
        <n v="556.61999999999989"/>
        <n v="2490.5"/>
        <n v="517.79999999999995"/>
        <n v="1119.9000000000001"/>
        <n v="1614.88"/>
        <n v="100.8"/>
        <n v="1504.65"/>
        <n v="448"/>
        <n v="584"/>
        <n v="1873.8"/>
        <n v="695.625"/>
        <n v="1176"/>
        <n v="346.55999999999995"/>
        <n v="3536.6"/>
        <n v="1101.2"/>
        <n v="642.19999999999993"/>
        <n v="1376"/>
        <n v="48"/>
        <n v="1456"/>
        <n v="2037.2800000000002"/>
        <n v="538.6"/>
        <n v="291.83999999999997"/>
        <n v="420"/>
        <n v="1200.8"/>
        <n v="1488.8"/>
        <n v="351"/>
        <n v="613.20000000000005"/>
        <n v="86.5"/>
        <n v="155.39999999999998"/>
        <n v="1414.8000000000002"/>
        <n v="1170.375"/>
        <n v="1743.36"/>
        <n v="3016"/>
        <n v="818.99999999999989"/>
        <n v="80.099999999999994"/>
        <n v="479.4"/>
        <n v="2169"/>
        <n v="497.52000000000004"/>
        <n v="1296"/>
        <n v="848.7"/>
        <n v="1887.6000000000001"/>
        <n v="121.6"/>
        <n v="1050.5999999999999"/>
        <n v="1420"/>
        <n v="2645"/>
        <n v="349.5"/>
        <n v="608"/>
        <n v="755"/>
        <n v="2708.7999999999997"/>
        <n v="1117.8000000000002"/>
        <n v="954.4"/>
        <n v="3741.3"/>
        <n v="498.5"/>
        <n v="424"/>
        <n v="88.8"/>
        <n v="1762"/>
        <n v="336"/>
        <n v="268.79999999999995"/>
        <n v="1614.8"/>
        <n v="182.39999999999998"/>
        <n v="2094.3000000000002"/>
        <n v="516.79999999999995"/>
        <n v="2835"/>
        <n v="288"/>
        <n v="240.4"/>
        <n v="1191.1999999999998"/>
        <n v="516"/>
        <n v="144"/>
        <n v="112"/>
        <n v="164.4"/>
        <n v="5275.7150000000001"/>
        <n v="1497"/>
        <n v="982"/>
        <n v="1810"/>
        <n v="1168"/>
        <n v="4578.43"/>
        <n v="1649"/>
        <n v="88.5"/>
        <n v="1786.8799999999999"/>
        <n v="877.2"/>
        <n v="144.80000000000001"/>
        <n v="2036.1599999999999"/>
        <n v="285.12"/>
        <n v="2467"/>
        <n v="934.5"/>
        <n v="3354"/>
        <n v="2436.1799999999998"/>
        <n v="352.59999999999997"/>
        <n v="1840.64"/>
        <n v="1584"/>
        <n v="2296"/>
        <n v="2924.8"/>
        <n v="1618.88"/>
        <n v="814.42"/>
        <n v="363.6"/>
        <n v="141.60000000000002"/>
        <n v="642.05999999999995"/>
        <n v="5398.7250000000004"/>
        <n v="136.30000000000001"/>
        <n v="8593.2800000000007"/>
        <n v="568.79999999999995"/>
        <n v="480"/>
        <n v="1106.4000000000001"/>
        <n v="1167.68"/>
        <n v="429.4"/>
        <n v="3471.68"/>
        <n v="7390.2"/>
        <n v="2046.2400000000002"/>
        <n v="1549.6"/>
        <n v="447.2"/>
        <n v="950"/>
        <n v="403.20000000000005"/>
        <n v="136"/>
        <n v="834.19999999999993"/>
        <n v="1689.78"/>
        <n v="2390.4"/>
        <n v="1117.5999999999999"/>
        <n v="72.959999999999994"/>
        <n v="9210.9000000000015"/>
        <n v="1366.4"/>
        <n v="459"/>
        <n v="338"/>
        <n v="399"/>
        <n v="863.59999999999991"/>
        <n v="103.19999999999999"/>
        <n v="863.2800000000002"/>
        <n v="1313.8200000000002"/>
        <n v="2900"/>
        <n v="899"/>
        <n v="2222.3999999999996"/>
        <n v="691.2"/>
        <n v="166"/>
        <n v="1058.4000000000001"/>
        <n v="1228.8"/>
        <n v="1832.8"/>
        <n v="2090.88"/>
        <n v="86.399999999999991"/>
        <n v="1440"/>
        <n v="2556.9499999999998"/>
        <n v="442"/>
        <n v="2122.92"/>
        <n v="1903.8000000000002"/>
        <n v="716.71999999999991"/>
        <n v="2505.6"/>
        <n v="1765.6"/>
        <n v="3063"/>
        <n v="3868.6"/>
        <n v="2713.5"/>
        <n v="855.01499999999999"/>
        <n v="1591.25"/>
        <n v="400"/>
        <n v="1830.7800000000002"/>
        <n v="1194"/>
        <n v="1622.4"/>
        <n v="319.20000000000005"/>
        <n v="802"/>
        <n v="966.8"/>
        <n v="334.8"/>
        <n v="2123.1999999999998"/>
        <n v="224.82999999999998"/>
        <n v="102.4"/>
        <n v="720"/>
        <n v="11188.4"/>
        <n v="1814.8"/>
        <n v="2097.6"/>
        <n v="1707.8400000000001"/>
        <n v="1194.2700000000002"/>
        <n v="49.8"/>
        <n v="1020"/>
        <n v="9194.5600000000013"/>
        <n v="360"/>
        <n v="338.20000000000005"/>
        <n v="651"/>
        <n v="192"/>
        <n v="1441.375"/>
        <n v="4899.2"/>
        <n v="1892.25"/>
        <n v="485"/>
        <n v="851.19999999999993"/>
        <n v="321.12"/>
        <n v="631.6"/>
        <n v="1994.5200000000002"/>
        <n v="393"/>
        <n v="454"/>
        <n v="1078"/>
        <n v="4924.1350000000002"/>
        <n v="1755"/>
        <n v="1792"/>
        <n v="517.43999999999994"/>
        <n v="1031.7"/>
        <n v="174.9"/>
        <n v="246.24"/>
        <n v="914.4"/>
        <n v="443.4"/>
        <n v="1838.2"/>
        <n v="425.12"/>
        <n v="3849.6600000000003"/>
        <n v="2018.5"/>
        <n v="407.70000000000005"/>
        <n v="331.20000000000005"/>
        <n v="2684"/>
        <n v="557.59999999999991"/>
        <n v="3891"/>
        <n v="1659.1999999999998"/>
        <n v="176.1"/>
        <n v="1538.7"/>
        <n v="156.00000000000003"/>
        <n v="713.3"/>
        <n v="1609.28"/>
        <n v="2518"/>
        <n v="216"/>
        <n v="235.2"/>
        <n v="717.6"/>
        <n v="956.67499999999995"/>
        <n v="1820.8"/>
        <n v="1328"/>
        <n v="1036.8"/>
        <n v="230.39999999999998"/>
        <n v="1249.0999999999999"/>
        <n v="1505.18"/>
        <n v="180.48"/>
        <n v="558"/>
        <n v="471.2"/>
        <n v="10495.6"/>
        <n v="756"/>
        <n v="1472"/>
        <n v="147"/>
        <n v="668.8"/>
        <n v="386.2"/>
        <n v="1272"/>
        <n v="889.7"/>
        <n v="1512"/>
        <n v="439.20000000000005"/>
        <n v="3163.2"/>
        <n v="259.505"/>
        <n v="608.40000000000009"/>
        <n v="912"/>
        <n v="278"/>
        <n v="190"/>
        <n v="1380.6"/>
        <n v="575"/>
        <n v="1412"/>
        <n v="523.26"/>
        <n v="149"/>
        <n v="816.3"/>
        <n v="2048.5"/>
        <n v="1388.5"/>
        <n v="147.89999999999998"/>
        <n v="415.8"/>
        <n v="749.0625"/>
        <n v="240"/>
        <n v="136.80000000000001"/>
        <n v="4707.5400000000009"/>
        <n v="2550"/>
        <n v="525.29999999999995"/>
        <n v="1942"/>
        <n v="8623.4500000000007"/>
        <n v="9921.2999999999993"/>
        <n v="2381.0500000000002"/>
        <n v="352"/>
        <n v="4150.05"/>
        <n v="2314.1999999999998"/>
        <n v="200"/>
        <n v="225.5"/>
        <n v="2318.2399999999998"/>
        <n v="2444.31"/>
        <n v="3192.65"/>
        <n v="818.4"/>
        <n v="1151.4000000000001"/>
        <n v="1503"/>
        <n v="392.2"/>
        <n v="946"/>
        <n v="4180"/>
        <n v="110"/>
        <n v="796.35"/>
        <n v="2222.1999999999998"/>
        <n v="465.70000000000005"/>
        <n v="1940.85"/>
        <n v="1645"/>
        <n v="1823.8"/>
        <n v="139.80000000000001"/>
        <n v="355.5"/>
        <n v="10191.700000000001"/>
        <n v="1946.52"/>
        <n v="469.11"/>
        <n v="1504.5"/>
        <n v="417.2"/>
        <n v="210"/>
        <n v="2812"/>
        <n v="1792.8"/>
        <n v="240.1"/>
        <n v="3554.2750000000001"/>
        <n v="683.3"/>
        <n v="1677.3"/>
        <n v="880.5"/>
        <n v="1546.3"/>
        <n v="1728.5250000000001"/>
        <n v="2944.4"/>
        <n v="835.19999999999993"/>
        <n v="1152.5"/>
        <n v="2142.9"/>
        <n v="520.41"/>
        <n v="1072.425"/>
        <n v="2844.5"/>
        <n v="488.7"/>
        <n v="965"/>
        <n v="1234.05"/>
        <n v="639.9"/>
        <n v="1761"/>
        <n v="2519"/>
        <n v="155"/>
        <n v="890"/>
        <n v="2465.25"/>
        <n v="550.58749999999998"/>
        <n v="1501.0849999999998"/>
        <n v="2082"/>
        <n v="764.3"/>
        <n v="2147.4"/>
        <n v="838.45"/>
        <n v="569"/>
        <n v="477"/>
        <n v="317.75"/>
        <n v="1013.7449999999999"/>
        <n v="310"/>
        <n v="330"/>
        <n v="2237.5"/>
        <n v="593.75"/>
        <n v="142.5"/>
        <n v="23.8"/>
        <n v="807.38"/>
        <n v="3120"/>
        <n v="72"/>
        <n v="1101"/>
        <n v="812.5"/>
        <n v="516.46749999999997"/>
        <n v="1994.4"/>
        <n v="565.5"/>
        <n v="4725"/>
        <n v="1180.8800000000001"/>
        <n v="718.08"/>
        <n v="2388.5"/>
        <n v="493"/>
        <n v="479.8"/>
        <n v="2285"/>
        <n v="48.75"/>
        <n v="1483"/>
        <n v="230.85000000000002"/>
        <n v="4109.7"/>
        <n v="1130.4000000000001"/>
        <n v="6475.4000000000005"/>
        <n v="1064"/>
        <n v="299.25"/>
        <n v="808"/>
        <n v="6375"/>
        <n v="353.2"/>
        <n v="464"/>
        <n v="120"/>
        <n v="4807"/>
        <n v="1402.5"/>
        <n v="2697.5"/>
        <n v="1260"/>
        <n v="57.5"/>
        <n v="758.5"/>
        <n v="560"/>
        <n v="1336.95"/>
        <n v="1393.24"/>
        <n v="479.75"/>
        <n v="1503.6"/>
        <n v="1185.75"/>
        <n v="450"/>
        <n v="2775.05"/>
        <n v="903.59999999999991"/>
        <n v="55.800000000000004"/>
        <n v="589"/>
        <n v="5510.5925000000007"/>
        <n v="4985.5"/>
        <n v="1326.2249999999999"/>
        <n v="629.5"/>
        <n v="2761.9375"/>
        <n v="2720.05"/>
        <n v="500"/>
        <n v="708.75"/>
        <n v="2054"/>
        <n v="696"/>
        <n v="814.5"/>
        <n v="1371.8"/>
        <n v="1535"/>
        <n v="1446"/>
        <n v="636"/>
        <n v="372.375"/>
        <n v="1434"/>
        <n v="1779.1999999999998"/>
        <n v="397.8"/>
        <n v="318.83499999999998"/>
        <n v="1083.1500000000001"/>
        <n v="601.83000000000004"/>
        <n v="154.4"/>
        <n v="604.21500000000003"/>
        <n v="4371.6000000000004"/>
        <n v="4464.6000000000004"/>
        <n v="1227.02"/>
        <n v="1701"/>
        <n v="562.6"/>
        <n v="125"/>
        <n v="1930.4"/>
        <n v="1288.3875"/>
        <n v="1295"/>
        <n v="4666.9400000000005"/>
        <n v="1536.8"/>
        <n v="625.27499999999998"/>
        <n v="570"/>
        <n v="2301.75"/>
        <n v="920.1"/>
        <n v="3815.25"/>
        <n v="412.35"/>
        <n v="45"/>
        <n v="1423"/>
        <n v="534.85"/>
        <n v="813.36500000000001"/>
        <n v="5256.5"/>
        <n v="660"/>
        <n v="1261.875"/>
        <n v="1287.4000000000001"/>
        <n v="375.5"/>
        <n v="63"/>
        <n v="1768"/>
        <n v="801.1"/>
        <n v="1404.45"/>
        <n v="4960.8999999999996"/>
        <n v="3160.6"/>
        <n v="472.5"/>
        <n v="862.5"/>
        <n v="10164.799999999999"/>
        <n v="878"/>
        <n v="2071.1999999999998"/>
        <n v="4825"/>
        <n v="642"/>
        <n v="996"/>
        <n v="805.42499999999995"/>
        <n v="3436.4434999999994"/>
        <n v="114"/>
        <n v="1638.4"/>
        <n v="2864.5"/>
        <n v="2545"/>
        <n v="595.5"/>
        <n v="378"/>
        <n v="1893"/>
        <n v="1641"/>
        <n v="180.4"/>
        <n v="3424"/>
        <n v="93.5"/>
        <n v="4451.7"/>
        <n v="1233.48"/>
        <n v="2827.9"/>
        <n v="2205.75"/>
        <n v="706"/>
        <n v="1270.75"/>
        <n v="3463"/>
        <n v="844.25250000000005"/>
        <n v="550"/>
        <n v="923.875"/>
        <n v="1570"/>
        <n v="468.45"/>
        <n v="638.5"/>
        <n v="287.8"/>
        <n v="655"/>
        <n v="1624.5"/>
        <n v="1296.75"/>
        <n v="1850"/>
        <n v="484.26250000000005"/>
        <n v="1890.5"/>
        <n v="1459"/>
        <n v="1498.35"/>
        <n v="536.4"/>
        <n v="997"/>
        <n v="52.349999999999994"/>
        <n v="1416"/>
        <n v="228"/>
        <n v="3118"/>
        <n v="319.2"/>
        <n v="736"/>
        <n v="4529.8"/>
        <n v="2311.6999999999998"/>
        <n v="1912.85"/>
        <n v="2196"/>
        <n v="1080"/>
        <n v="1590.5625"/>
        <n v="1631.4839999999999"/>
        <n v="252"/>
        <n v="88"/>
        <n v="55.199999999999996"/>
        <n v="1948.5"/>
        <n v="1990"/>
        <n v="3082"/>
        <n v="1644.6"/>
        <n v="320"/>
        <n v="2917"/>
        <n v="507"/>
        <n v="4337"/>
        <n v="616"/>
        <n v="2286"/>
        <n v="1515.6000000000001"/>
        <n v="2310"/>
        <n v="28"/>
        <n v="1477"/>
        <n v="1684.2750000000001"/>
        <n v="236.25"/>
        <n v="344"/>
        <n v="3603.2200000000003"/>
        <n v="2030.4"/>
        <n v="868.75"/>
        <n v="6635.2749999999996"/>
        <n v="224"/>
        <n v="96.5"/>
        <n v="1335"/>
        <n v="975.88"/>
        <n v="12.5"/>
        <n v="1442.5"/>
        <n v="1488"/>
        <n v="387.5"/>
        <n v="1531.0800000000002"/>
        <n v="2622.76"/>
        <n v="731.5"/>
        <n v="3687"/>
        <n v="722.5"/>
        <n v="1829.7570000000001"/>
        <n v="399.85"/>
        <n v="191.1"/>
        <n v="314.76"/>
        <n v="2158"/>
        <n v="2341.3640000000005"/>
        <n v="446.6"/>
        <n v="1553.5"/>
        <n v="1468.9349999999999"/>
        <n v="3026.8500000000004"/>
        <n v="2942.8125"/>
        <n v="1193.01"/>
        <n v="2278.4"/>
        <n v="2775"/>
        <n v="439.6"/>
        <n v="18.399999999999999"/>
        <n v="1411"/>
        <n v="140"/>
        <n v="187"/>
        <n v="852"/>
        <n v="1692.8"/>
        <n v="602.4"/>
        <n v="1788.45"/>
        <n v="40"/>
        <n v="8446.4500000000007"/>
        <n v="10952.844999999999"/>
        <n v="833"/>
        <n v="1140"/>
        <n v="678"/>
        <n v="237.89999999999998"/>
        <n v="2826"/>
        <n v="250.8"/>
        <n v="1030.76"/>
        <n v="730"/>
        <n v="843"/>
        <n v="932"/>
        <n v="1764"/>
        <n v="1974"/>
        <n v="2684.4"/>
        <n v="475.11"/>
        <n v="906.93000000000006"/>
        <n v="1432.7139999999999"/>
        <n v="845.8"/>
        <n v="4705.5"/>
        <n v="1064.5"/>
        <n v="1938.375"/>
        <n v="827.55"/>
        <n v="211.2"/>
        <n v="4581"/>
        <n v="975"/>
        <n v="159"/>
        <n v="735"/>
        <n v="3812.7"/>
        <n v="1112"/>
        <n v="4931.92"/>
        <n v="931.5"/>
        <n v="967.81899999999996"/>
        <n v="629"/>
        <n v="2603"/>
        <n v="2984"/>
        <n v="625"/>
        <n v="2966.5"/>
        <n v="2227.8874999999998"/>
        <n v="2048.2125000000001"/>
        <n v="649"/>
        <n v="1078.6875"/>
        <n v="519"/>
        <n v="3523.4"/>
        <n v="581"/>
        <n v="441.15"/>
        <n v="282"/>
        <n v="16387.5"/>
        <n v="1096.1999999999998"/>
        <n v="98.399999999999991"/>
        <n v="1920.6"/>
        <n v="1630"/>
        <n v="160"/>
        <n v="1979.23"/>
        <n v="2058.46"/>
        <n v="336.8"/>
        <n v="709.55"/>
        <n v="917"/>
        <n v="1955.125"/>
        <n v="1539"/>
        <n v="611.29999999999995"/>
        <n v="1500"/>
        <n v="150"/>
        <n v="892.64"/>
        <n v="36"/>
        <n v="1378.07"/>
        <n v="1209"/>
        <n v="3127.5"/>
        <n v="70"/>
        <n v="605"/>
        <n v="11380"/>
        <n v="860.1"/>
        <n v="368.9325"/>
        <n v="2090"/>
        <n v="5502.11"/>
        <n v="2753.1"/>
        <n v="6379.4"/>
        <n v="750.5"/>
        <n v="10835.240000000002"/>
        <n v="30"/>
        <n v="122.39999999999999"/>
        <n v="33.75"/>
        <n v="863.43"/>
        <n v="932.05"/>
        <n v="1924.25"/>
        <n v="342"/>
        <n v="427.5"/>
        <n v="108.5"/>
        <n v="663.1"/>
        <n v="670"/>
        <n v="452.9"/>
        <n v="858"/>
        <n v="6200.55"/>
        <n v="768.75"/>
        <n v="537.5"/>
        <n v="539.5"/>
        <n v="686.7"/>
        <n v="365.89"/>
        <n v="1447.5"/>
        <n v="1122.8"/>
        <n v="390"/>
        <n v="1936"/>
        <n v="742.5"/>
        <n v="748.8"/>
        <n v="1835.7"/>
        <n v="475.15"/>
        <n v="514.4"/>
        <n v="800"/>
        <n v="137.5"/>
        <n v="1174.75"/>
        <n v="2255.5"/>
        <n v="799.2"/>
        <n v="1788.6299999999999"/>
        <n v="920.6"/>
        <n v="619.5"/>
        <n v="456"/>
        <n v="644.79999999999995"/>
        <n v="2731.875"/>
        <n v="637.5"/>
        <n v="4011.75"/>
        <n v="711"/>
        <n v="1025.325"/>
        <n v="245"/>
        <n v="1407.5"/>
        <n v="220"/>
        <n v="2362.25"/>
        <n v="4422"/>
        <n v="458.755"/>
        <n v="4441.25"/>
        <n v="1659.5349999999999"/>
        <n v="74.400000000000006"/>
        <n v="677"/>
        <n v="1762.7"/>
        <n v="781"/>
        <n v="131.75"/>
        <n v="265.35000000000002"/>
        <n v="3584"/>
        <n v="57.8"/>
        <n v="2052.5"/>
        <n v="848"/>
        <n v="1098.4599999999998"/>
        <n v="910.4"/>
        <n v="1408"/>
        <n v="108"/>
        <n v="1733.0600000000002"/>
        <n v="251.5"/>
        <n v="291.55"/>
        <n v="439"/>
        <n v="717.5"/>
        <n v="2233"/>
        <n v="1303.1949999999999"/>
        <n v="4813.5"/>
        <n v="248"/>
        <n v="15810"/>
        <n v="1014"/>
        <n v="720.9"/>
        <n v="1809.75"/>
        <n v="2023.38"/>
        <n v="2220"/>
        <n v="2772"/>
        <n v="3574.8"/>
        <n v="1353.6"/>
        <n v="4288.8500000000004"/>
        <n v="69.599999999999994"/>
        <n v="4895.4375"/>
        <n v="940.5"/>
        <n v="1196"/>
        <n v="1885"/>
        <n v="686"/>
        <n v="1197.95"/>
        <n v="903.75"/>
        <n v="2769"/>
        <n v="1811.1"/>
        <n v="326"/>
        <n v="295.38"/>
        <n v="586"/>
        <n v="329.685"/>
        <n v="2633.9"/>
        <n v="4680.8999999999996"/>
        <n v="616.5"/>
        <n v="645"/>
        <n v="933.5"/>
        <n v="2825.3"/>
        <n v="361"/>
        <n v="243.18"/>
        <n v="622.35"/>
        <n v="491.5"/>
        <n v="6750"/>
        <n v="1575"/>
        <n v="76"/>
        <n v="632.4"/>
        <n v="6306.24"/>
        <n v="1402"/>
        <n v="1966.81"/>
        <n v="270"/>
        <n v="1030"/>
        <n v="877.72499999999991"/>
        <n v="2160"/>
        <n v="1286.8"/>
        <n v="12615.05"/>
        <n v="2393.5"/>
        <n v="8902.5"/>
        <n v="3232.8"/>
        <n v="539.4"/>
        <n v="1754.5"/>
        <n v="1692"/>
        <n v="60"/>
        <n v="732.6"/>
        <n v="3090"/>
        <n v="1773"/>
        <n v="405.75"/>
        <n v="591.59999999999991"/>
        <n v="1309.5"/>
        <n v="1485.8"/>
        <n v="817.875"/>
        <n v="525"/>
        <n v="273.60000000000002"/>
        <n v="810"/>
        <n v="1332"/>
        <n v="3055"/>
        <n v="305"/>
        <n v="1727.5"/>
        <n v="3740"/>
        <n v="1838"/>
        <n v="266"/>
        <n v="510"/>
        <n v="406.40000000000003"/>
        <n v="1342.95"/>
        <n v="4330.4000000000005"/>
        <n v="189.42000000000002"/>
        <n v="928.75"/>
        <n v="86.850000000000009"/>
        <n v="2027.08"/>
        <n v="1629.9749999999999"/>
        <n v="484.5"/>
        <n v="5218"/>
        <n v="300"/>
        <n v="232.08499999999998"/>
        <n v="498.1"/>
        <n v="792.75"/>
        <n v="1255.7205000000001"/>
      </sharedItems>
    </cacheField>
    <cacheField name="Discount" numFmtId="9">
      <sharedItems containsSemiMixedTypes="0" containsString="0" containsNumber="1" minValue="0" maxValue="0.25" count="6">
        <n v="0"/>
        <n v="0.05"/>
        <n v="0.15"/>
        <n v="0.2"/>
        <n v="0.25"/>
        <n v="0.1"/>
      </sharedItems>
    </cacheField>
    <cacheField name="total with freight" numFmtId="2">
      <sharedItems containsSemiMixedTypes="0" containsString="0" containsNumber="1" minValue="13.6" maxValue="16735.64" count="830">
        <n v="472.38"/>
        <n v="1875.01"/>
        <n v="1618.4299999999998"/>
        <n v="695.4"/>
        <n v="3649.2000000000003"/>
        <n v="1502.9700000000003"/>
        <n v="579.59999999999991"/>
        <n v="2638.83"/>
        <n v="531.77"/>
        <n v="1201.8100000000002"/>
        <n v="1755.39"/>
        <n v="104.05"/>
        <n v="1559.74"/>
        <n v="451.05"/>
        <n v="632.29"/>
        <n v="2019.86"/>
        <n v="699.29499999999996"/>
        <n v="1231.28"/>
        <n v="372.28999999999996"/>
        <n v="3745.18"/>
        <n v="1167.49"/>
        <n v="646.75999999999988"/>
        <n v="1512.54"/>
        <n v="52.54"/>
        <n v="1554.03"/>
        <n v="2113.3500000000004"/>
        <n v="544.61"/>
        <n v="318.77"/>
        <n v="433.84"/>
        <n v="1326.57"/>
        <n v="1581.49"/>
        <n v="376.83"/>
        <n v="622.18000000000006"/>
        <n v="89.44"/>
        <n v="168.08999999999997"/>
        <n v="1499.6100000000001"/>
        <n v="1246.9349999999999"/>
        <n v="1820.1899999999998"/>
        <n v="3245.24"/>
        <n v="831.75999999999988"/>
        <n v="87.55"/>
        <n v="502.16999999999996"/>
        <n v="2248.6999999999998"/>
        <n v="503.92"/>
        <n v="1297.3499999999999"/>
        <n v="869.88"/>
        <n v="2034.8600000000001"/>
        <n v="122.75"/>
        <n v="1050.7199999999998"/>
        <n v="1425.74"/>
        <n v="2813.22"/>
        <n v="379.26"/>
        <n v="625.67999999999995"/>
        <n v="800.08"/>
        <n v="2715.0699999999997"/>
        <n v="1225.6300000000001"/>
        <n v="1018.1899999999999"/>
        <n v="3998.92"/>
        <n v="506.06"/>
        <n v="424.56"/>
        <n v="90.41"/>
        <n v="1809.3"/>
        <n v="353.52"/>
        <n v="293.48999999999995"/>
        <n v="1655.06"/>
        <n v="184.35999999999999"/>
        <n v="2168.46"/>
        <n v="558.55999999999995"/>
        <n v="2985.15"/>
        <n v="300.69"/>
        <n v="245.13"/>
        <n v="1255.6999999999998"/>
        <n v="550.57000000000005"/>
        <n v="147.43"/>
        <n v="112.4"/>
        <n v="169.28"/>
        <n v="5489.9850000000006"/>
        <n v="1561.86"/>
        <n v="1059.92"/>
        <n v="1873.36"/>
        <n v="1255.03"/>
        <n v="4770.1000000000004"/>
        <n v="1661.75"/>
        <n v="98.69"/>
        <n v="1839.7199999999998"/>
        <n v="877.79000000000008"/>
        <n v="153.36000000000001"/>
        <n v="2078.27"/>
        <n v="300.63"/>
        <n v="2575.2600000000002"/>
        <n v="1018.71"/>
        <n v="3369.66"/>
        <n v="2602.4899999999998"/>
        <n v="379.38"/>
        <n v="1895.47"/>
        <n v="1694.37"/>
        <n v="2319.29"/>
        <n v="3173.86"/>
        <n v="1760.96"/>
        <n v="817.52"/>
        <n v="364.38"/>
        <n v="150.23000000000002"/>
        <n v="706.25"/>
        <n v="5561.0550000000003"/>
        <n v="137.60000000000002"/>
        <n v="8953.91"/>
        <n v="622.59999999999991"/>
        <n v="521.95000000000005"/>
        <n v="1143.1100000000001"/>
        <n v="1202.5600000000002"/>
        <n v="449.03999999999996"/>
        <n v="3760.1099999999997"/>
        <n v="7521.9"/>
        <n v="2229.4100000000003"/>
        <n v="1645.6399999999999"/>
        <n v="477.74"/>
        <n v="1021.97"/>
        <n v="425.20000000000005"/>
        <n v="146.13999999999999"/>
        <n v="847.74999999999989"/>
        <n v="1791.73"/>
        <n v="2586.08"/>
        <n v="1118.77"/>
        <n v="73.41"/>
        <n v="10101.680000000002"/>
        <n v="1490.52"/>
        <n v="462.94"/>
        <n v="358.12"/>
        <n v="419.39"/>
        <n v="885.81"/>
        <n v="108.63999999999999"/>
        <n v="908.31000000000017"/>
        <n v="1348.8500000000001"/>
        <n v="119.99"/>
        <n v="2994.77"/>
        <n v="933.24"/>
        <n v="2391.0399999999995"/>
        <n v="722.16000000000008"/>
        <n v="179.99"/>
        <n v="1152.0300000000002"/>
        <n v="1263.6599999999999"/>
        <n v="1880.22"/>
        <n v="2217.2600000000002"/>
        <n v="91.85"/>
        <n v="1562.46"/>
        <n v="2683.5099999999998"/>
        <n v="472.34"/>
        <n v="2307.33"/>
        <n v="2039.15"/>
        <n v="776.9799999999999"/>
        <n v="2594.7599999999998"/>
        <n v="1792.9599999999998"/>
        <n v="3146.93"/>
        <n v="3881.11"/>
        <n v="2781.38"/>
        <n v="928.80499999999995"/>
        <n v="1747.22"/>
        <n v="434.82"/>
        <n v="1938.8200000000002"/>
        <n v="1285.48"/>
        <n v="1633.66"/>
        <n v="349.03000000000003"/>
        <n v="804.4"/>
        <n v="990.44999999999993"/>
        <n v="338.57"/>
        <n v="2218.8599999999997"/>
        <n v="246.30999999999997"/>
        <n v="102.60000000000001"/>
        <n v="742.72"/>
        <n v="11258.69"/>
        <n v="1832.35"/>
        <n v="2234.9499999999998"/>
        <n v="1751.96"/>
        <n v="1293.5000000000002"/>
        <n v="52.82"/>
        <n v="1044.5"/>
        <n v="9565.1700000000019"/>
        <n v="367.93"/>
        <n v="356.89000000000004"/>
        <n v="682.29"/>
        <n v="203.09"/>
        <n v="1498.0050000000001"/>
        <n v="5357.98"/>
        <n v="1936.42"/>
        <n v="489.34"/>
        <n v="925.03"/>
        <n v="339.04"/>
        <n v="640.81000000000006"/>
        <n v="2151.1800000000003"/>
        <n v="412.97"/>
        <n v="462.24"/>
        <n v="1082.07"/>
        <n v="5010.665"/>
        <n v="1828.02"/>
        <n v="1839.94"/>
        <n v="531.39"/>
        <n v="1035.2"/>
        <n v="184.20000000000002"/>
        <n v="260.92"/>
        <n v="983.06"/>
        <n v="482.21999999999997"/>
        <n v="1891.5"/>
        <n v="432.35"/>
        <n v="4038.7500000000005"/>
        <n v="2158.7600000000002"/>
        <n v="433.06000000000006"/>
        <n v="333.94000000000005"/>
        <n v="2864.45"/>
        <n v="565.71999999999991"/>
        <n v="1595.57"/>
        <n v="4038.06"/>
        <n v="1684.2899999999997"/>
        <n v="192.37"/>
        <n v="1687.31"/>
        <n v="162.17000000000002"/>
        <n v="728.07999999999993"/>
        <n v="1698.28"/>
        <n v="2663.04"/>
        <n v="227.93"/>
        <n v="240.13"/>
        <n v="761.72"/>
        <n v="1016.8549999999999"/>
        <n v="1885.36"/>
        <n v="1373.59"/>
        <n v="1041"/>
        <n v="246.76999999999998"/>
        <n v="1332.59"/>
        <n v="1573.7"/>
        <n v="184.89"/>
        <n v="571.02"/>
        <n v="476.01"/>
        <n v="11204.550000000001"/>
        <n v="757.35"/>
        <n v="1536.33"/>
        <n v="154.47999999999999"/>
        <n v="684.07999999999993"/>
        <n v="393.08"/>
        <n v="1648.45"/>
        <n v="1302.53"/>
        <n v="960.77"/>
        <n v="1516.93"/>
        <n v="444.49000000000007"/>
        <n v="3373.39"/>
        <n v="276.46499999999997"/>
        <n v="914.08999999999992"/>
        <n v="619.04000000000008"/>
        <n v="977.99"/>
        <n v="282.64999999999998"/>
        <n v="236.77"/>
        <n v="1416.81"/>
        <n v="604.75"/>
        <n v="1514.02"/>
        <n v="565.93999999999994"/>
        <n v="157.85"/>
        <n v="885.61999999999989"/>
        <n v="2065.2399999999998"/>
        <n v="1447.63"/>
        <n v="155.02999999999997"/>
        <n v="436.99"/>
        <n v="796.51250000000005"/>
        <n v="244.99"/>
        <n v="136.95000000000002"/>
        <n v="5075.170000000001"/>
        <n v="2900.64"/>
        <n v="528.82999999999993"/>
        <n v="2047.65"/>
        <n v="9413.4000000000015"/>
        <n v="10125.769999999999"/>
        <n v="2443.8300000000004"/>
        <n v="384.07"/>
        <n v="4368.2"/>
        <n v="2405.96"/>
        <n v="213.37"/>
        <n v="242.72"/>
        <n v="2363.5699999999997"/>
        <n v="2521.94"/>
        <n v="3437.44"/>
        <n v="829.45999999999992"/>
        <n v="1209.99"/>
        <n v="1544.9"/>
        <n v="395.55"/>
        <n v="1012.69"/>
        <n v="4519.22"/>
        <n v="118.12"/>
        <n v="870.81000000000006"/>
        <n v="2410.2399999999998"/>
        <n v="493.64000000000004"/>
        <n v="1956.49"/>
        <n v="1703.88"/>
        <n v="1902.6499999999999"/>
        <n v="144.67000000000002"/>
        <n v="367.86"/>
        <n v="11199.34"/>
        <n v="2015.17"/>
        <n v="480.06"/>
        <n v="1552.67"/>
        <n v="442.11"/>
        <n v="221.92"/>
        <n v="3006.72"/>
        <n v="1971.23"/>
        <n v="241.53"/>
        <n v="3725.5150000000003"/>
        <n v="687.62"/>
        <n v="1750.25"/>
        <n v="963.72"/>
        <n v="1695.79"/>
        <n v="1849.4950000000001"/>
        <n v="3196.8900000000003"/>
        <n v="844.99999999999989"/>
        <n v="1249.22"/>
        <n v="2215.87"/>
        <n v="528.45999999999992"/>
        <n v="1109.075"/>
        <n v="3086.71"/>
        <n v="511.65"/>
        <n v="1025.43"/>
        <n v="1247.8"/>
        <n v="647.04999999999995"/>
        <n v="1849.4"/>
        <n v="2552.9699999999998"/>
        <n v="161.54"/>
        <n v="948.98"/>
        <n v="2654.24"/>
        <n v="576.64749999999992"/>
        <n v="1617.5149999999999"/>
        <n v="2166.84"/>
        <n v="801.9"/>
        <n v="2274.7400000000002"/>
        <n v="857.01"/>
        <n v="594.41"/>
        <n v="506.6"/>
        <n v="331.48"/>
        <n v="1089.635"/>
        <n v="313.01"/>
        <n v="357.71"/>
        <n v="2244.7800000000002"/>
        <n v="652.89"/>
        <n v="155.91"/>
        <n v="24.28"/>
        <n v="869.9"/>
        <n v="3314.67"/>
        <n v="76.42"/>
        <n v="1145.77"/>
        <n v="868.42"/>
        <n v="548.5675"/>
        <n v="2168.6"/>
        <n v="570.74"/>
        <n v="4821.78"/>
        <n v="1197.22"/>
        <n v="753.2"/>
        <n v="2432.92"/>
        <n v="522.98"/>
        <n v="524.93000000000006"/>
        <n v="2343.3000000000002"/>
        <n v="51.67"/>
        <n v="1531.77"/>
        <n v="238.31000000000003"/>
        <n v="4488.83"/>
        <n v="1209.8000000000002"/>
        <n v="6675.64"/>
        <n v="1091.79"/>
        <n v="425.85"/>
        <n v="326.02999999999997"/>
        <n v="888.65"/>
        <n v="6919.08"/>
        <n v="361.31"/>
        <n v="465.93"/>
        <n v="120.75"/>
        <n v="4923.53"/>
        <n v="1421.03"/>
        <n v="2852.18"/>
        <n v="1351.05"/>
        <n v="58.44"/>
        <n v="782.23"/>
        <n v="610.97"/>
        <n v="1434.13"/>
        <n v="1488.04"/>
        <n v="523.65"/>
        <n v="1642.29"/>
        <n v="1293.21"/>
        <n v="480.36"/>
        <n v="2860.51"/>
        <n v="935.94999999999993"/>
        <n v="56.67"/>
        <n v="630.38"/>
        <n v="5988.4925000000003"/>
        <n v="5472.88"/>
        <n v="1373.6849999999999"/>
        <n v="630.65"/>
        <n v="2963.2275"/>
        <n v="2878.4900000000002"/>
        <n v="538.64"/>
        <n v="732.3"/>
        <n v="2233.61"/>
        <n v="737.89"/>
        <n v="843.96"/>
        <n v="1371.94"/>
        <n v="1547.41"/>
        <n v="1588.33"/>
        <n v="681.54"/>
        <n v="386.625"/>
        <n v="1440.2"/>
        <n v="1956.0099999999998"/>
        <n v="418.40000000000003"/>
        <n v="325.97499999999997"/>
        <n v="1176.4000000000001"/>
        <n v="657.09"/>
        <n v="158.81"/>
        <n v="661.36500000000001"/>
        <n v="4724.29"/>
        <n v="4828.75"/>
        <n v="1332.83"/>
        <n v="1812.29"/>
        <n v="580.15"/>
        <n v="126.28"/>
        <n v="2043.5500000000002"/>
        <n v="1289.6575"/>
        <n v="1321.31"/>
        <n v="4899.3600000000006"/>
        <n v="1614.8899999999999"/>
        <n v="672.495"/>
        <n v="594.39"/>
        <n v="2505.23"/>
        <n v="950.44"/>
        <n v="3911"/>
        <n v="435.11"/>
        <n v="45.9"/>
        <n v="1454.85"/>
        <n v="536.86"/>
        <n v="817.39499999999998"/>
        <n v="5645.48"/>
        <n v="687.94"/>
        <n v="1288.4849999999999"/>
        <n v="1363.5300000000002"/>
        <n v="411.63"/>
        <n v="67.400000000000006"/>
        <n v="1913.63"/>
        <n v="834.85"/>
        <n v="1500.95"/>
        <n v="5257.33"/>
        <n v="3459.69"/>
        <n v="485.92"/>
        <n v="878.3"/>
        <n v="10974.849999999999"/>
        <n v="939.02"/>
        <n v="2210.54"/>
        <n v="5223.3599999999997"/>
        <n v="658.72"/>
        <n v="1098.55"/>
        <n v="850.94499999999994"/>
        <n v="3708.9134999999997"/>
        <n v="114.58"/>
        <n v="1703.5"/>
        <n v="3084.81"/>
        <n v="353.94"/>
        <n v="2697.3"/>
        <n v="600.28"/>
        <n v="381.52"/>
        <n v="2028.63"/>
        <n v="1662.74"/>
        <n v="183.36"/>
        <n v="3634.8"/>
        <n v="98.48"/>
        <n v="4504.1099999999997"/>
        <n v="1323.41"/>
        <n v="2994.9500000000003"/>
        <n v="2230.2399999999998"/>
        <n v="1359.2"/>
        <n v="728.57"/>
        <n v="1330"/>
        <n v="3633.88"/>
        <n v="895.69250000000011"/>
        <n v="559.53"/>
        <n v="972.79499999999996"/>
        <n v="1644.58"/>
        <n v="490.16999999999996"/>
        <n v="696.25"/>
        <n v="298.63"/>
        <n v="671.56"/>
        <n v="1714.4"/>
        <n v="1355.08"/>
        <n v="1991.06"/>
        <n v="504.38250000000005"/>
        <n v="1987.15"/>
        <n v="376.97"/>
        <n v="1569.11"/>
        <n v="1499.98"/>
        <n v="582.37"/>
        <n v="1041.0999999999999"/>
        <n v="147.59"/>
        <n v="55.259999999999991"/>
        <n v="251.08"/>
        <n v="1497.88"/>
        <n v="238.96"/>
        <n v="3361.73"/>
        <n v="342.91999999999996"/>
        <n v="805.19"/>
        <n v="4533.3200000000006"/>
        <n v="2343.1299999999997"/>
        <n v="2030.1799999999998"/>
        <n v="2428.5500000000002"/>
        <n v="1141.53"/>
        <n v="1669.8625"/>
        <n v="1762.2739999999999"/>
        <n v="253.39"/>
        <n v="95.7"/>
        <n v="57.58"/>
        <n v="1965.21"/>
        <n v="2063.21"/>
        <n v="3090.19"/>
        <n v="1782.77"/>
        <n v="331.99"/>
        <n v="3072.64"/>
        <n v="525.66"/>
        <n v="4665.74"/>
        <n v="653.35"/>
        <n v="2431.4499999999998"/>
        <n v="1558.3400000000001"/>
        <n v="2467.5500000000002"/>
        <n v="29.59"/>
        <n v="1623.32"/>
        <n v="1749.335"/>
        <n v="241.57"/>
        <n v="355.19"/>
        <n v="3694.5000000000005"/>
        <n v="2126.83"/>
        <n v="916.95"/>
        <n v="248.25"/>
        <n v="6986.8049999999994"/>
        <n v="227.01"/>
        <n v="103.29"/>
        <n v="1393.13"/>
        <n v="762.13"/>
        <n v="1049.04"/>
        <n v="13.6"/>
        <n v="1567.48"/>
        <n v="1558.09"/>
        <n v="389.01"/>
        <n v="1641.9500000000003"/>
        <n v="2872.69"/>
        <n v="774.2"/>
        <n v="3787.6"/>
        <n v="750.73"/>
        <n v="1846.607"/>
        <n v="423.64000000000004"/>
        <n v="195.62"/>
        <n v="336.25"/>
        <n v="2284.66"/>
        <n v="2367.8840000000005"/>
        <n v="453.35"/>
        <n v="448.93"/>
        <n v="1584.26"/>
        <n v="1606.375"/>
        <n v="3123.9400000000005"/>
        <n v="3200.0725000000002"/>
        <n v="1248.24"/>
        <n v="2305.73"/>
        <n v="3012.34"/>
        <n v="461.71000000000004"/>
        <n v="19.759999999999998"/>
        <n v="1456.53"/>
        <n v="144.87"/>
        <n v="191.33"/>
        <n v="883.22"/>
        <n v="1752.58"/>
        <n v="649.78"/>
        <n v="1919.39"/>
        <n v="54.62"/>
        <n v="9166.2300000000014"/>
        <n v="11258.914999999999"/>
        <n v="898.48"/>
        <n v="496.76"/>
        <n v="1177.52"/>
        <n v="714.68"/>
        <n v="244.89999999999998"/>
        <n v="2989.97"/>
        <n v="252.03"/>
        <n v="1110.01"/>
        <n v="737.09"/>
        <n v="906.54"/>
        <n v="1022.85"/>
        <n v="1918.72"/>
        <n v="2055.83"/>
        <n v="2756.59"/>
        <n v="518.37"/>
        <n v="978.42000000000007"/>
        <n v="1462.4939999999999"/>
        <n v="915.32999999999993"/>
        <n v="5117.38"/>
        <n v="1077.82"/>
        <n v="1997.655"/>
        <n v="862.9799999999999"/>
        <n v="213.91"/>
        <n v="5005.3"/>
        <n v="1029.42"/>
        <n v="168.26"/>
        <n v="760.22"/>
        <n v="4025.68"/>
        <n v="1168.46"/>
        <n v="5419.49"/>
        <n v="969.74"/>
        <n v="968.37899999999991"/>
        <n v="678.19"/>
        <n v="2763.55"/>
        <n v="3158.05"/>
        <n v="678.83"/>
        <n v="3066.72"/>
        <n v="2398.8574999999996"/>
        <n v="718.43"/>
        <n v="2237.0625"/>
        <n v="701.51"/>
        <n v="1154.7874999999999"/>
        <n v="538.26"/>
        <n v="3538.33"/>
        <n v="634.23"/>
        <n v="471.40999999999997"/>
        <n v="285.04000000000002"/>
        <n v="16735.64"/>
        <n v="1205.3099999999997"/>
        <n v="100.33"/>
        <n v="2111.87"/>
        <n v="1773.28"/>
        <n v="172.04"/>
        <n v="2091.5"/>
        <n v="2233.7800000000002"/>
        <n v="337.62"/>
        <n v="329.58"/>
        <n v="741.92"/>
        <n v="977.42"/>
        <n v="1993.1849999999999"/>
        <n v="1585.69"/>
        <n v="619.79999999999995"/>
        <n v="1588.01"/>
        <n v="152.84"/>
        <n v="915.74"/>
        <n v="36.53"/>
        <n v="1469.04"/>
        <n v="1214.6400000000001"/>
        <n v="3132.49"/>
        <n v="71.25"/>
        <n v="656.87"/>
        <n v="11660.61"/>
        <n v="892.86"/>
        <n v="389.30250000000001"/>
        <n v="2210.27"/>
        <n v="5579.8899999999994"/>
        <n v="2869.23"/>
        <n v="6542.15"/>
        <n v="782.95"/>
        <n v="11438.780000000002"/>
        <n v="31.27"/>
        <n v="123.60999999999999"/>
        <n v="35.409999999999997"/>
        <n v="996.59"/>
        <n v="907.57999999999993"/>
        <n v="968.76"/>
        <n v="2087.1999999999998"/>
        <n v="355.72"/>
        <n v="453.79"/>
        <n v="117.69"/>
        <n v="696.06000000000006"/>
        <n v="723.05"/>
        <n v="491.01"/>
        <n v="896.19"/>
        <n v="6781.46"/>
        <n v="801.8"/>
        <n v="558.69000000000005"/>
        <n v="543.01"/>
        <n v="750.47"/>
        <n v="374.18"/>
        <n v="1496.33"/>
        <n v="1142.5999999999999"/>
        <n v="419.61"/>
        <n v="2112.48"/>
        <n v="805.24"/>
        <n v="817.06"/>
        <n v="1987.22"/>
        <n v="477.41999999999996"/>
        <n v="554.31999999999994"/>
        <n v="819.79"/>
        <n v="138.86000000000001"/>
        <n v="1208.68"/>
        <n v="2271.0500000000002"/>
        <n v="812.80000000000007"/>
        <n v="1923.27"/>
        <n v="974.75"/>
        <n v="532.01"/>
        <n v="667.09"/>
        <n v="489.68"/>
        <n v="676.31"/>
        <n v="2763.7649999999999"/>
        <n v="713.83"/>
        <n v="379.77"/>
        <n v="4412.5600000000004"/>
        <n v="577.95000000000005"/>
        <n v="713.17"/>
        <n v="1078.2450000000001"/>
        <n v="255.22"/>
        <n v="1434.7"/>
        <n v="223.26"/>
        <n v="2385.64"/>
        <n v="4496.4399999999996"/>
        <n v="112.5"/>
        <n v="489.60500000000002"/>
        <n v="511.62"/>
        <n v="4464.97"/>
        <n v="1687.4449999999999"/>
        <n v="77.660000000000011"/>
        <n v="721.65"/>
        <n v="1868.06"/>
        <n v="830.56"/>
        <n v="136.72999999999999"/>
        <n v="267.43"/>
        <n v="1224.3700000000001"/>
        <n v="3859.79"/>
        <n v="60.5"/>
        <n v="2139.88"/>
        <n v="992.38"/>
        <n v="1125.6499999999999"/>
        <n v="972.62"/>
        <n v="1482.6"/>
        <n v="108.21"/>
        <n v="240.16"/>
        <n v="1854.88"/>
        <n v="251.52"/>
        <n v="306.72000000000003"/>
        <n v="451.96"/>
        <n v="749.77"/>
        <n v="949.97"/>
        <n v="2441.5"/>
        <n v="1336.0149999999999"/>
        <n v="5166.57"/>
        <n v="249.26"/>
        <n v="16003.37"/>
        <n v="1028.01"/>
        <n v="1378.44"/>
        <n v="2020.97"/>
        <n v="2114.8900000000003"/>
        <n v="2437.86"/>
        <n v="2957.48"/>
        <n v="3635.94"/>
        <n v="1388.36"/>
        <n v="4406.46"/>
        <n v="2334.5100000000002"/>
        <n v="73.86999999999999"/>
        <n v="4904.2475000000004"/>
        <n v="1006.03"/>
        <n v="1242"/>
        <n v="561.12"/>
        <n v="1958.91"/>
        <n v="706.31"/>
        <n v="1294.3"/>
        <n v="958.87"/>
        <n v="2966.3"/>
        <n v="1952.26"/>
        <n v="340.91"/>
        <n v="340.22"/>
        <n v="586.75"/>
        <n v="354.875"/>
        <n v="2836.1400000000003"/>
        <n v="4760.3599999999997"/>
        <n v="675.61"/>
        <n v="673.71"/>
        <n v="934.71"/>
        <n v="3068.25"/>
        <n v="393.99"/>
        <n v="266.78000000000003"/>
        <n v="626.97"/>
        <n v="525.29999999999995"/>
        <n v="7504.26"/>
        <n v="1586.65"/>
        <n v="79.17"/>
        <n v="675.69999999999993"/>
        <n v="6603.42"/>
        <n v="1408.27"/>
        <n v="1623.83"/>
        <n v="2041.1699999999998"/>
        <n v="299.17"/>
        <n v="1077.0899999999999"/>
        <n v="930.24499999999989"/>
        <n v="2189.59"/>
        <n v="1334.6399999999999"/>
        <n v="13445.8"/>
        <n v="2620.7199999999998"/>
        <n v="9508.69"/>
        <n v="3317.54"/>
        <n v="579.72"/>
        <n v="1754.67"/>
        <n v="1841.47"/>
        <n v="63.2"/>
        <n v="762.19"/>
        <n v="3155"/>
        <n v="218.84"/>
        <n v="1821.22"/>
        <n v="435.74"/>
        <n v="218.8"/>
        <n v="600.31999999999994"/>
        <n v="1380.08"/>
        <n v="1557.44"/>
        <n v="864.495"/>
        <n v="549.12"/>
        <n v="281.94"/>
        <n v="869.41"/>
        <n v="38.79"/>
        <n v="1399.26"/>
        <n v="3108.05"/>
        <n v="305.33"/>
        <n v="1848.42"/>
        <n v="4018.96"/>
        <n v="49.13"/>
        <n v="889.14"/>
        <n v="1923.8"/>
        <n v="276.98"/>
        <n v="524.01"/>
        <n v="436.33000000000004"/>
        <n v="1424.68"/>
        <n v="4360.4900000000007"/>
        <n v="202.33"/>
        <n v="973.47"/>
        <n v="94.830000000000013"/>
        <n v="2108.83"/>
        <n v="375.67"/>
        <n v="1765.9749999999999"/>
        <n v="485.43"/>
        <n v="5476.64"/>
        <n v="324.95"/>
        <n v="250.52499999999998"/>
        <n v="504.29"/>
        <n v="831.03"/>
        <n v="1264.2505000000001"/>
      </sharedItems>
    </cacheField>
    <cacheField name="quantity" numFmtId="1">
      <sharedItems containsSemiMixedTypes="0" containsString="0" containsNumber="1" containsInteger="1" minValue="1" maxValue="120" count="48">
        <n v="12"/>
        <n v="9"/>
        <n v="10"/>
        <n v="6"/>
        <n v="40"/>
        <n v="20"/>
        <n v="15"/>
        <n v="25"/>
        <n v="50"/>
        <n v="16"/>
        <n v="60"/>
        <n v="35"/>
        <n v="30"/>
        <n v="24"/>
        <n v="1"/>
        <n v="45"/>
        <n v="100"/>
        <n v="18"/>
        <n v="4"/>
        <n v="14"/>
        <n v="8"/>
        <n v="5"/>
        <n v="21"/>
        <n v="7"/>
        <n v="70"/>
        <n v="36"/>
        <n v="56"/>
        <n v="54"/>
        <n v="80"/>
        <n v="42"/>
        <n v="32"/>
        <n v="28"/>
        <n v="49"/>
        <n v="2"/>
        <n v="120"/>
        <n v="3"/>
        <n v="39"/>
        <n v="55"/>
        <n v="11"/>
        <n v="48"/>
        <n v="90"/>
        <n v="44"/>
        <n v="33"/>
        <n v="65"/>
        <n v="52"/>
        <n v="110"/>
        <n v="84"/>
        <n v="77"/>
      </sharedItems>
    </cacheField>
    <cacheField name="Customer name" numFmtId="49">
      <sharedItems count="89">
        <s v="Vins et alcools Chevalier"/>
        <s v="Toms Spezialitäten"/>
        <s v="Hanari Carnes"/>
        <s v="Victuailles en stock"/>
        <s v="Suprêmes délices"/>
        <s v="Chop-suey Chinese"/>
        <s v="Richter Supermarkt"/>
        <s v="Wellington Importadora"/>
        <s v="HILARION-Abastos"/>
        <s v="Ernst Handel"/>
        <s v="Centro comercial Moctezuma"/>
        <s v="Ottilies Käseladen"/>
        <s v="Que Delícia"/>
        <s v="Rattlesnake Canyon Grocery"/>
        <s v="Folk och fä HB"/>
        <s v="Blondesddsl père et fils"/>
        <s v="Wartian Herkku"/>
        <s v="Frankenversand"/>
        <s v="GROSELLA-Restaurante"/>
        <s v="White Clover Markets"/>
        <s v="Split Rail Beer &amp; Ale"/>
        <s v="QUICK-Stop"/>
        <s v="Magazzini Alimentari Riuniti"/>
        <s v="Tortuga Restaurante"/>
        <s v="Morgenstern Gesundkost"/>
        <s v="Berglunds snabbköp"/>
        <s v="Lehmanns Marktstand"/>
        <s v="Romero y tomillo"/>
        <s v="LILA-Supermercado"/>
        <s v="Ricardo Adocicados"/>
        <s v="Reggiani Caseifici"/>
        <s v="B's Beverages"/>
        <s v="Comércio Mineiro"/>
        <s v="Tradição Hipermercados"/>
        <s v="Hungry Owl All-Night Grocers"/>
        <s v="Die Wandernde Kuh"/>
        <s v="Godos Cocina Típica"/>
        <s v="Old World Delicatessen"/>
        <s v="Lonesome Pine Restaurant"/>
        <s v="Ana Trujillo Emparedados y helados"/>
        <s v="The Big Cheese"/>
        <s v="Du monde entier"/>
        <s v="Island Trading"/>
        <s v="Pericles Comidas clásicas"/>
        <s v="Königlich Essen"/>
        <s v="Save-a-lot Markets"/>
        <s v="Bólido Comidas preparadas"/>
        <s v="Furia Bacalhau e Frutos do Mar"/>
        <s v="Bon app'"/>
        <s v="Mère Paillarde"/>
        <s v="Princesa Isabel Vinhos"/>
        <s v="Simons bistro"/>
        <s v="Familia Arquibaldo"/>
        <s v="La maison d'Asie"/>
        <s v="Piccolo und mehr"/>
        <s v="Around the Horn"/>
        <s v="Seven Seas Imports"/>
        <s v="Drachenblut Delikatessen"/>
        <s v="Eastern Connection"/>
        <s v="Antonio Moreno Taquería"/>
        <s v="Galería del gastrónomo"/>
        <s v="Vaffeljernet"/>
        <s v="Queen Cozinha"/>
        <s v="Wolski  Zajazd"/>
        <s v="Hungry Coyote Import Store"/>
        <s v="Santé Gourmet"/>
        <s v="Bottom-Dollar Markets"/>
        <s v="LINO-Delicateses"/>
        <s v="Folies gourmandes"/>
        <s v="Océano Atlántico Ltda."/>
        <s v="Franchi S.p.A."/>
        <s v="Gourmet Lanchonetes"/>
        <s v="Consolidated Holdings"/>
        <s v="Rancho grande"/>
        <s v="Lazy K Kountry Store"/>
        <s v="Laughing Bacchus Wine Cellars"/>
        <s v="Blauer See Delikatessen"/>
        <s v="North/South"/>
        <s v="Cactus Comidas para llevar"/>
        <s v="Great Lakes Food Market"/>
        <s v="Maison Dewey"/>
        <s v="Trail's Head Gourmet Provisioners"/>
        <s v="Let's Stop N Shop"/>
        <s v="Wilman Kala"/>
        <s v="The Cracker Box"/>
        <s v="Alfreds Futterkiste"/>
        <s v="France restauration"/>
        <s v="Spécialités du monde"/>
        <s v="La corne d'abondance"/>
      </sharedItems>
    </cacheField>
    <cacheField name="shipper name" numFmtId="49">
      <sharedItems count="3">
        <s v="Federal Shipping"/>
        <s v="Speedy Express"/>
        <s v="United Package"/>
      </sharedItems>
    </cacheField>
    <cacheField name="year" numFmtId="0">
      <sharedItems containsSemiMixedTypes="0" containsString="0" containsNumber="1" containsInteger="1" minValue="2013" maxValue="2015" count="3">
        <n v="2013"/>
        <n v="2014"/>
        <n v="2015"/>
      </sharedItems>
    </cacheField>
    <cacheField name="month" numFmtId="0">
      <sharedItems containsSemiMixedTypes="0" containsString="0" containsNumber="1" containsInteger="1" minValue="1" maxValue="12" count="12">
        <n v="7"/>
        <n v="8"/>
        <n v="9"/>
        <n v="10"/>
        <n v="11"/>
        <n v="12"/>
        <n v="1"/>
        <n v="2"/>
        <n v="3"/>
        <n v="4"/>
        <n v="5"/>
        <n v="6"/>
      </sharedItems>
    </cacheField>
    <cacheField name="Quarter" numFmtId="0">
      <sharedItems count="4">
        <s v="Q3"/>
        <s v="Q4"/>
        <s v="Q1"/>
        <s v="Q2"/>
      </sharedItems>
    </cacheField>
    <cacheField name="year-quarter" numFmtId="0">
      <sharedItems count="8">
        <s v="2013-Q3"/>
        <s v="2013-Q4"/>
        <s v="2014-Q1"/>
        <s v="2014-Q2"/>
        <s v="2014-Q3"/>
        <s v="2014-Q4"/>
        <s v="2015-Q1"/>
        <s v="2015-Q2"/>
      </sharedItems>
    </cacheField>
    <cacheField name="Delivery Status" numFmtId="49">
      <sharedItems count="3">
        <s v="On Time"/>
        <s v="Late"/>
        <s v="Pending"/>
      </sharedItems>
    </cacheField>
    <cacheField name="unit price" numFmtId="0">
      <sharedItems containsSemiMixedTypes="0" containsString="0" containsNumber="1" minValue="2" maxValue="263.5" count="108">
        <n v="14"/>
        <n v="18.600000000000001"/>
        <n v="7.7"/>
        <n v="16.8"/>
        <n v="64.8"/>
        <n v="10"/>
        <n v="3.6"/>
        <n v="15.2"/>
        <n v="26.2"/>
        <n v="35.1"/>
        <n v="8"/>
        <n v="17"/>
        <n v="13.9"/>
        <n v="31.2"/>
        <n v="30.4"/>
        <n v="14.7"/>
        <n v="99"/>
        <n v="2"/>
        <n v="24.8"/>
        <n v="17.2"/>
        <n v="36.4"/>
        <n v="15.5"/>
        <n v="7.3"/>
        <n v="20.7"/>
        <n v="12.4"/>
        <n v="14.4"/>
        <n v="5.9"/>
        <n v="4.8"/>
        <n v="50"/>
        <n v="13.6"/>
        <n v="16"/>
        <n v="39.4"/>
        <n v="28.8"/>
        <n v="17.600000000000001"/>
        <n v="11.2"/>
        <n v="25.6"/>
        <n v="5.6"/>
        <n v="20"/>
        <n v="44"/>
        <n v="24.9"/>
        <n v="7.2"/>
        <n v="26.6"/>
        <n v="32"/>
        <n v="13"/>
        <n v="210.8"/>
        <n v="10.6"/>
        <n v="24"/>
        <n v="7.6"/>
        <n v="9.6"/>
        <n v="20.8"/>
        <n v="27.2"/>
        <n v="77.599999999999994"/>
        <n v="19.2"/>
        <n v="10.199999999999999"/>
        <n v="4.5"/>
        <n v="45.6"/>
        <n v="7.45"/>
        <n v="9.5"/>
        <n v="23.25"/>
        <n v="19"/>
        <n v="49.3"/>
        <n v="46"/>
        <n v="6"/>
        <n v="123.79"/>
        <n v="22"/>
        <n v="81"/>
        <n v="97"/>
        <n v="62.5"/>
        <n v="7"/>
        <n v="31"/>
        <n v="18"/>
        <n v="39"/>
        <n v="21"/>
        <n v="55"/>
        <n v="25.89"/>
        <n v="38"/>
        <n v="12.5"/>
        <n v="15"/>
        <n v="30"/>
        <n v="17.45"/>
        <n v="36"/>
        <n v="34.799999999999997"/>
        <n v="33.25"/>
        <n v="9.65"/>
        <n v="19.45"/>
        <n v="2.5"/>
        <n v="7.75"/>
        <n v="19.5"/>
        <n v="31.23"/>
        <n v="43.9"/>
        <n v="12.75"/>
        <n v="263.5"/>
        <n v="25"/>
        <n v="9.1999999999999993"/>
        <n v="32.799999999999997"/>
        <n v="18.399999999999999"/>
        <n v="53"/>
        <n v="9"/>
        <n v="40"/>
        <n v="21.35"/>
        <n v="28.5"/>
        <n v="21.05"/>
        <n v="12"/>
        <n v="21.5"/>
        <n v="13.25"/>
        <n v="16.25"/>
        <n v="34"/>
        <n v="26"/>
      </sharedItems>
    </cacheField>
  </cacheFields>
  <extLst>
    <ext xmlns:x14="http://schemas.microsoft.com/office/spreadsheetml/2009/9/main" uri="{725AE2AE-9491-48be-B2B4-4EB974FC3084}">
      <x14:pivotCacheDefinition pivotCacheId="834294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1"/>
    <x v="0"/>
    <s v="10 boxes x 20 bags"/>
    <n v="18"/>
    <n v="0"/>
    <x v="0"/>
    <n v="1"/>
    <n v="12788.1"/>
  </r>
  <r>
    <n v="2"/>
    <x v="1"/>
    <s v="24 - 12 oz bottles"/>
    <n v="19"/>
    <n v="0"/>
    <x v="0"/>
    <n v="1"/>
    <n v="16355.96"/>
  </r>
  <r>
    <n v="3"/>
    <x v="2"/>
    <s v="12 - 550 ml bottles"/>
    <n v="10"/>
    <n v="0"/>
    <x v="0"/>
    <n v="2"/>
    <n v="3044"/>
  </r>
  <r>
    <n v="4"/>
    <x v="3"/>
    <s v="48 - 6 oz jars"/>
    <n v="22"/>
    <n v="0"/>
    <x v="0"/>
    <n v="2"/>
    <n v="8567.9000000000015"/>
  </r>
  <r>
    <n v="5"/>
    <x v="4"/>
    <s v="36 boxes"/>
    <n v="21.35"/>
    <n v="1"/>
    <x v="1"/>
    <n v="2"/>
    <n v="5347.2000000000007"/>
  </r>
  <r>
    <n v="6"/>
    <x v="5"/>
    <s v="12 - 8 oz jars"/>
    <n v="25"/>
    <n v="0"/>
    <x v="0"/>
    <n v="2"/>
    <n v="7137"/>
  </r>
  <r>
    <n v="7"/>
    <x v="6"/>
    <s v="12 - 1 lb pkgs."/>
    <n v="30"/>
    <n v="0"/>
    <x v="0"/>
    <n v="7"/>
    <n v="22044.3"/>
  </r>
  <r>
    <n v="8"/>
    <x v="7"/>
    <s v="12 - 12 oz jars"/>
    <n v="40"/>
    <n v="0"/>
    <x v="0"/>
    <n v="2"/>
    <n v="12772"/>
  </r>
  <r>
    <n v="9"/>
    <x v="8"/>
    <s v="18 - 500 g pkgs."/>
    <n v="97"/>
    <n v="1"/>
    <x v="1"/>
    <n v="6"/>
    <n v="7226.5"/>
  </r>
  <r>
    <n v="10"/>
    <x v="9"/>
    <s v="12 - 200 ml jars"/>
    <n v="31"/>
    <n v="0"/>
    <x v="0"/>
    <n v="8"/>
    <n v="20867.340000000004"/>
  </r>
  <r>
    <n v="11"/>
    <x v="10"/>
    <s v="1 kg pkg."/>
    <n v="21"/>
    <n v="0"/>
    <x v="0"/>
    <n v="4"/>
    <n v="12901.77"/>
  </r>
  <r>
    <n v="12"/>
    <x v="11"/>
    <s v="10 - 500 g pkgs."/>
    <n v="38"/>
    <n v="0"/>
    <x v="0"/>
    <n v="4"/>
    <n v="12257.660000000002"/>
  </r>
  <r>
    <n v="13"/>
    <x v="12"/>
    <s v="2 kg box"/>
    <n v="6"/>
    <n v="0"/>
    <x v="0"/>
    <n v="8"/>
    <n v="4960.4400000000005"/>
  </r>
  <r>
    <n v="14"/>
    <x v="13"/>
    <s v="40 - 100 g pkgs."/>
    <n v="23.25"/>
    <n v="0"/>
    <x v="0"/>
    <n v="7"/>
    <n v="7991.4899999999989"/>
  </r>
  <r>
    <n v="15"/>
    <x v="14"/>
    <s v="24 - 250 ml bottles"/>
    <n v="15.5"/>
    <n v="0"/>
    <x v="0"/>
    <n v="2"/>
    <n v="1784.825"/>
  </r>
  <r>
    <n v="16"/>
    <x v="15"/>
    <s v="32 - 500 g boxes"/>
    <n v="17.45"/>
    <n v="0"/>
    <x v="0"/>
    <n v="3"/>
    <n v="17215.775499999996"/>
  </r>
  <r>
    <n v="17"/>
    <x v="16"/>
    <s v="20 - 1 kg tins"/>
    <n v="39"/>
    <n v="1"/>
    <x v="1"/>
    <n v="6"/>
    <n v="32698.379999999997"/>
  </r>
  <r>
    <n v="18"/>
    <x v="17"/>
    <s v="16 kg pkg."/>
    <n v="62.5"/>
    <n v="0"/>
    <x v="0"/>
    <n v="8"/>
    <n v="29171.875"/>
  </r>
  <r>
    <n v="19"/>
    <x v="18"/>
    <s v="10 boxes x 12 pieces"/>
    <n v="9.1999999999999993"/>
    <n v="0"/>
    <x v="0"/>
    <n v="3"/>
    <n v="5862.6199999999981"/>
  </r>
  <r>
    <n v="20"/>
    <x v="19"/>
    <s v="30 gift boxes"/>
    <n v="81"/>
    <n v="0"/>
    <x v="0"/>
    <n v="3"/>
    <n v="22563.359999999997"/>
  </r>
  <r>
    <n v="21"/>
    <x v="20"/>
    <s v="24 pkgs. x 4 pieces"/>
    <n v="10"/>
    <n v="0"/>
    <x v="0"/>
    <n v="3"/>
    <n v="9104"/>
  </r>
  <r>
    <n v="22"/>
    <x v="21"/>
    <s v="24 - 500 g pkgs."/>
    <n v="21"/>
    <n v="0"/>
    <x v="0"/>
    <n v="5"/>
    <n v="7122.3600000000006"/>
  </r>
  <r>
    <n v="23"/>
    <x v="22"/>
    <s v="12 - 250 g pkgs."/>
    <n v="9"/>
    <n v="0"/>
    <x v="0"/>
    <n v="5"/>
    <n v="4601.7"/>
  </r>
  <r>
    <n v="24"/>
    <x v="23"/>
    <s v="12 - 355 ml cans"/>
    <n v="4.5"/>
    <n v="1"/>
    <x v="1"/>
    <n v="1"/>
    <n v="4504.3649999999998"/>
  </r>
  <r>
    <n v="25"/>
    <x v="24"/>
    <s v="20 - 450 g glasses"/>
    <n v="14"/>
    <n v="0"/>
    <x v="0"/>
    <n v="3"/>
    <n v="3704.3999999999996"/>
  </r>
  <r>
    <n v="26"/>
    <x v="25"/>
    <s v="100 - 250 g bags"/>
    <n v="31.23"/>
    <n v="0"/>
    <x v="0"/>
    <n v="3"/>
    <n v="19849.144500000002"/>
  </r>
  <r>
    <n v="27"/>
    <x v="26"/>
    <s v="100 - 100 g pieces"/>
    <n v="43.9"/>
    <n v="0"/>
    <x v="0"/>
    <n v="3"/>
    <n v="15099.875"/>
  </r>
  <r>
    <n v="28"/>
    <x v="27"/>
    <s v="25 - 825 g cans"/>
    <n v="45.6"/>
    <n v="1"/>
    <x v="1"/>
    <n v="7"/>
    <n v="25696.640000000007"/>
  </r>
  <r>
    <n v="29"/>
    <x v="28"/>
    <s v="50 bags x 30 sausgs."/>
    <n v="123.79"/>
    <n v="1"/>
    <x v="1"/>
    <n v="6"/>
    <n v="80368.672000000006"/>
  </r>
  <r>
    <n v="30"/>
    <x v="29"/>
    <s v="10 - 200 g glasses"/>
    <n v="25.89"/>
    <n v="0"/>
    <x v="0"/>
    <n v="8"/>
    <n v="13424.197500000002"/>
  </r>
  <r>
    <n v="31"/>
    <x v="30"/>
    <s v="12 - 100 g pkgs"/>
    <n v="12.5"/>
    <n v="0"/>
    <x v="0"/>
    <n v="4"/>
    <n v="14920.875"/>
  </r>
  <r>
    <n v="32"/>
    <x v="31"/>
    <s v="24 - 200 g pkgs."/>
    <n v="32"/>
    <n v="0"/>
    <x v="0"/>
    <n v="4"/>
    <n v="8404.16"/>
  </r>
  <r>
    <n v="33"/>
    <x v="32"/>
    <s v="500 g"/>
    <n v="2.5"/>
    <n v="0"/>
    <x v="0"/>
    <n v="4"/>
    <n v="1648.125"/>
  </r>
  <r>
    <n v="34"/>
    <x v="33"/>
    <s v="24 - 12 oz bottles"/>
    <n v="14"/>
    <n v="0"/>
    <x v="0"/>
    <n v="1"/>
    <n v="6350.4"/>
  </r>
  <r>
    <n v="35"/>
    <x v="34"/>
    <s v="24 - 12 oz bottles"/>
    <n v="18"/>
    <n v="0"/>
    <x v="0"/>
    <n v="1"/>
    <n v="13643.999999999998"/>
  </r>
  <r>
    <n v="36"/>
    <x v="35"/>
    <s v="24 - 250 g  jars"/>
    <n v="19"/>
    <n v="0"/>
    <x v="0"/>
    <n v="8"/>
    <n v="13458.460000000001"/>
  </r>
  <r>
    <n v="37"/>
    <x v="36"/>
    <s v="12 - 500 g pkgs."/>
    <n v="26"/>
    <n v="0"/>
    <x v="0"/>
    <n v="8"/>
    <n v="2688.3999999999996"/>
  </r>
  <r>
    <n v="38"/>
    <x v="37"/>
    <s v="12 - 75 cl bottles"/>
    <n v="263.5"/>
    <n v="0"/>
    <x v="0"/>
    <n v="1"/>
    <n v="141396.73499999999"/>
  </r>
  <r>
    <n v="39"/>
    <x v="38"/>
    <s v="750 cc per bottle"/>
    <n v="18"/>
    <n v="0"/>
    <x v="0"/>
    <n v="1"/>
    <n v="12294.54"/>
  </r>
  <r>
    <n v="40"/>
    <x v="39"/>
    <s v="24 - 4 oz tins"/>
    <n v="18.399999999999999"/>
    <n v="0"/>
    <x v="0"/>
    <n v="8"/>
    <n v="17910.63"/>
  </r>
  <r>
    <n v="41"/>
    <x v="40"/>
    <s v="12 - 12 oz cans"/>
    <n v="9.65"/>
    <n v="0"/>
    <x v="0"/>
    <n v="8"/>
    <n v="8680.3450000000048"/>
  </r>
  <r>
    <n v="42"/>
    <x v="41"/>
    <s v="32 - 1 kg pkgs."/>
    <n v="14"/>
    <n v="1"/>
    <x v="1"/>
    <n v="5"/>
    <n v="8575"/>
  </r>
  <r>
    <n v="43"/>
    <x v="42"/>
    <s v="16 - 500 g tins"/>
    <n v="46"/>
    <n v="0"/>
    <x v="0"/>
    <n v="1"/>
    <n v="23526.699999999997"/>
  </r>
  <r>
    <n v="44"/>
    <x v="43"/>
    <s v="20 - 2 kg bags"/>
    <n v="19.45"/>
    <n v="0"/>
    <x v="0"/>
    <n v="2"/>
    <n v="9915.9450000000015"/>
  </r>
  <r>
    <n v="45"/>
    <x v="44"/>
    <s v="1k pkg."/>
    <n v="9.5"/>
    <n v="0"/>
    <x v="0"/>
    <n v="8"/>
    <n v="4338.1750000000002"/>
  </r>
  <r>
    <n v="46"/>
    <x v="45"/>
    <s v="4 - 450 g glasses"/>
    <n v="12"/>
    <n v="0"/>
    <x v="0"/>
    <n v="8"/>
    <n v="5882.9999999999991"/>
  </r>
  <r>
    <n v="47"/>
    <x v="46"/>
    <s v="10 - 4 oz boxes"/>
    <n v="9.5"/>
    <n v="0"/>
    <x v="0"/>
    <n v="3"/>
    <n v="3958.08"/>
  </r>
  <r>
    <n v="48"/>
    <x v="47"/>
    <s v="10 pkgs."/>
    <n v="12.75"/>
    <n v="0"/>
    <x v="0"/>
    <n v="3"/>
    <n v="1368.7125000000001"/>
  </r>
  <r>
    <n v="49"/>
    <x v="48"/>
    <s v="24 - 50 g pkgs."/>
    <n v="20"/>
    <n v="0"/>
    <x v="0"/>
    <n v="3"/>
    <n v="9244.6"/>
  </r>
  <r>
    <n v="50"/>
    <x v="49"/>
    <s v="12 - 100 g bars"/>
    <n v="16.25"/>
    <n v="0"/>
    <x v="0"/>
    <n v="3"/>
    <n v="3437.6875"/>
  </r>
  <r>
    <n v="51"/>
    <x v="50"/>
    <s v="50 - 300 g pkgs."/>
    <n v="53"/>
    <n v="0"/>
    <x v="0"/>
    <n v="7"/>
    <n v="41819.65"/>
  </r>
  <r>
    <n v="52"/>
    <x v="51"/>
    <s v="16 - 2 kg boxes"/>
    <n v="7"/>
    <n v="0"/>
    <x v="0"/>
    <n v="5"/>
    <n v="3232.9500000000003"/>
  </r>
  <r>
    <n v="53"/>
    <x v="52"/>
    <s v="48 pieces"/>
    <n v="32.799999999999997"/>
    <n v="1"/>
    <x v="1"/>
    <n v="6"/>
    <n v="20574.170000000006"/>
  </r>
  <r>
    <n v="54"/>
    <x v="53"/>
    <s v="16 pies"/>
    <n v="7.45"/>
    <n v="0"/>
    <x v="0"/>
    <n v="6"/>
    <n v="4728.2375000000002"/>
  </r>
  <r>
    <n v="55"/>
    <x v="54"/>
    <s v="24 boxes x 2 pies"/>
    <n v="24"/>
    <n v="0"/>
    <x v="0"/>
    <n v="6"/>
    <n v="17426.400000000001"/>
  </r>
  <r>
    <n v="56"/>
    <x v="55"/>
    <s v="24 - 250 g pkgs."/>
    <n v="38"/>
    <n v="0"/>
    <x v="0"/>
    <n v="5"/>
    <n v="42593.06"/>
  </r>
  <r>
    <n v="57"/>
    <x v="56"/>
    <s v="24 - 250 g pkgs."/>
    <n v="19.5"/>
    <n v="0"/>
    <x v="0"/>
    <n v="5"/>
    <n v="7661.5499999999993"/>
  </r>
  <r>
    <n v="58"/>
    <x v="57"/>
    <s v="24 pieces"/>
    <n v="13.25"/>
    <n v="0"/>
    <x v="0"/>
    <n v="8"/>
    <n v="5881.6749999999993"/>
  </r>
  <r>
    <n v="59"/>
    <x v="58"/>
    <s v="5 kg pkg."/>
    <n v="55"/>
    <n v="0"/>
    <x v="0"/>
    <n v="4"/>
    <n v="71155.7"/>
  </r>
  <r>
    <n v="60"/>
    <x v="59"/>
    <s v="15 - 300 g rounds"/>
    <n v="34"/>
    <n v="0"/>
    <x v="0"/>
    <n v="4"/>
    <n v="46825.48"/>
  </r>
  <r>
    <n v="61"/>
    <x v="60"/>
    <s v="24 - 500 ml bottles"/>
    <n v="28.5"/>
    <n v="0"/>
    <x v="0"/>
    <n v="2"/>
    <n v="14352.6"/>
  </r>
  <r>
    <n v="62"/>
    <x v="61"/>
    <s v="48 pies"/>
    <n v="49.3"/>
    <n v="0"/>
    <x v="0"/>
    <n v="3"/>
    <n v="47234.97"/>
  </r>
  <r>
    <n v="63"/>
    <x v="62"/>
    <s v="15 - 625 g jars"/>
    <n v="43.9"/>
    <n v="0"/>
    <x v="0"/>
    <n v="2"/>
    <n v="16701.095000000001"/>
  </r>
  <r>
    <n v="64"/>
    <x v="63"/>
    <s v="20 bags x 4 pieces"/>
    <n v="33.25"/>
    <n v="0"/>
    <x v="0"/>
    <n v="5"/>
    <n v="21957.967500000002"/>
  </r>
  <r>
    <n v="65"/>
    <x v="64"/>
    <s v="32 - 8 oz bottles"/>
    <n v="21.05"/>
    <n v="0"/>
    <x v="0"/>
    <n v="2"/>
    <n v="13869.890000000001"/>
  </r>
  <r>
    <n v="66"/>
    <x v="65"/>
    <s v="24 - 8 oz jars"/>
    <n v="17"/>
    <n v="0"/>
    <x v="0"/>
    <n v="2"/>
    <n v="3383"/>
  </r>
  <r>
    <n v="67"/>
    <x v="66"/>
    <s v="24 - 12 oz bottles"/>
    <n v="14"/>
    <n v="0"/>
    <x v="0"/>
    <n v="1"/>
    <n v="2396.8000000000002"/>
  </r>
  <r>
    <n v="68"/>
    <x v="67"/>
    <s v="10 boxes x 8 pieces"/>
    <n v="12.5"/>
    <n v="0"/>
    <x v="0"/>
    <n v="3"/>
    <n v="8714"/>
  </r>
  <r>
    <n v="69"/>
    <x v="68"/>
    <s v="10 kg pkg."/>
    <n v="36"/>
    <n v="0"/>
    <x v="0"/>
    <n v="4"/>
    <n v="21942.36"/>
  </r>
  <r>
    <n v="70"/>
    <x v="69"/>
    <s v="24 - 355 ml bottles"/>
    <n v="15"/>
    <n v="0"/>
    <x v="0"/>
    <n v="1"/>
    <n v="10672.65"/>
  </r>
  <r>
    <n v="71"/>
    <x v="70"/>
    <s v="10 - 500 g pkgs."/>
    <n v="21.5"/>
    <n v="0"/>
    <x v="0"/>
    <n v="4"/>
    <n v="19551.024999999998"/>
  </r>
  <r>
    <n v="72"/>
    <x v="71"/>
    <s v="24 - 200 g pkgs."/>
    <n v="34.799999999999997"/>
    <n v="0"/>
    <x v="0"/>
    <n v="4"/>
    <n v="24900.13"/>
  </r>
  <r>
    <n v="73"/>
    <x v="72"/>
    <s v="24 - 150 g jars"/>
    <n v="15"/>
    <n v="0"/>
    <x v="0"/>
    <n v="8"/>
    <n v="3997.2"/>
  </r>
  <r>
    <n v="74"/>
    <x v="73"/>
    <s v="5 kg pkg."/>
    <n v="10"/>
    <n v="0"/>
    <x v="0"/>
    <n v="7"/>
    <n v="2432.5"/>
  </r>
  <r>
    <n v="75"/>
    <x v="74"/>
    <s v="24 - 0.5 l bottles"/>
    <n v="7.75"/>
    <n v="0"/>
    <x v="0"/>
    <n v="1"/>
    <n v="8177.4899999999989"/>
  </r>
  <r>
    <n v="76"/>
    <x v="75"/>
    <s v="500 ml"/>
    <n v="18"/>
    <n v="0"/>
    <x v="0"/>
    <n v="1"/>
    <n v="15760.44"/>
  </r>
  <r>
    <n v="77"/>
    <x v="76"/>
    <s v="12 boxes"/>
    <n v="13"/>
    <n v="0"/>
    <x v="0"/>
    <n v="2"/>
    <n v="9171.629999999999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0">
  <r>
    <x v="0"/>
    <x v="0"/>
    <n v="5"/>
    <x v="0"/>
    <d v="2013-07-04T00:00:00"/>
    <x v="0"/>
    <x v="0"/>
    <x v="0"/>
    <x v="0"/>
    <x v="0"/>
    <x v="0"/>
    <x v="0"/>
    <x v="0"/>
    <x v="0"/>
    <x v="0"/>
    <x v="0"/>
    <x v="0"/>
    <x v="0"/>
    <x v="0"/>
    <x v="0"/>
    <x v="0"/>
    <x v="0"/>
  </r>
  <r>
    <x v="1"/>
    <x v="1"/>
    <n v="6"/>
    <x v="1"/>
    <d v="2013-07-05T00:00:00"/>
    <x v="1"/>
    <x v="1"/>
    <x v="1"/>
    <x v="1"/>
    <x v="1"/>
    <x v="1"/>
    <x v="0"/>
    <x v="1"/>
    <x v="1"/>
    <x v="1"/>
    <x v="1"/>
    <x v="0"/>
    <x v="0"/>
    <x v="0"/>
    <x v="0"/>
    <x v="0"/>
    <x v="1"/>
  </r>
  <r>
    <x v="2"/>
    <x v="2"/>
    <n v="4"/>
    <x v="2"/>
    <d v="2013-07-08T00:00:00"/>
    <x v="2"/>
    <x v="2"/>
    <x v="2"/>
    <x v="2"/>
    <x v="2"/>
    <x v="2"/>
    <x v="0"/>
    <x v="2"/>
    <x v="2"/>
    <x v="2"/>
    <x v="2"/>
    <x v="0"/>
    <x v="0"/>
    <x v="0"/>
    <x v="0"/>
    <x v="0"/>
    <x v="2"/>
  </r>
  <r>
    <x v="3"/>
    <x v="3"/>
    <n v="3"/>
    <x v="3"/>
    <d v="2013-07-08T00:00:00"/>
    <x v="2"/>
    <x v="3"/>
    <x v="3"/>
    <x v="1"/>
    <x v="3"/>
    <x v="3"/>
    <x v="1"/>
    <x v="3"/>
    <x v="3"/>
    <x v="3"/>
    <x v="1"/>
    <x v="0"/>
    <x v="0"/>
    <x v="0"/>
    <x v="0"/>
    <x v="0"/>
    <x v="3"/>
  </r>
  <r>
    <x v="4"/>
    <x v="4"/>
    <n v="4"/>
    <x v="2"/>
    <d v="2013-07-09T00:00:00"/>
    <x v="3"/>
    <x v="4"/>
    <x v="4"/>
    <x v="2"/>
    <x v="4"/>
    <x v="4"/>
    <x v="1"/>
    <x v="4"/>
    <x v="4"/>
    <x v="4"/>
    <x v="2"/>
    <x v="0"/>
    <x v="0"/>
    <x v="0"/>
    <x v="0"/>
    <x v="0"/>
    <x v="4"/>
  </r>
  <r>
    <x v="5"/>
    <x v="2"/>
    <n v="3"/>
    <x v="3"/>
    <d v="2013-07-10T00:00:00"/>
    <x v="4"/>
    <x v="0"/>
    <x v="5"/>
    <x v="2"/>
    <x v="5"/>
    <x v="5"/>
    <x v="0"/>
    <x v="5"/>
    <x v="5"/>
    <x v="2"/>
    <x v="2"/>
    <x v="0"/>
    <x v="0"/>
    <x v="0"/>
    <x v="0"/>
    <x v="0"/>
    <x v="5"/>
  </r>
  <r>
    <x v="6"/>
    <x v="5"/>
    <n v="5"/>
    <x v="0"/>
    <d v="2013-07-11T00:00:00"/>
    <x v="5"/>
    <x v="5"/>
    <x v="0"/>
    <x v="2"/>
    <x v="6"/>
    <x v="6"/>
    <x v="2"/>
    <x v="6"/>
    <x v="6"/>
    <x v="5"/>
    <x v="2"/>
    <x v="0"/>
    <x v="0"/>
    <x v="0"/>
    <x v="0"/>
    <x v="0"/>
    <x v="6"/>
  </r>
  <r>
    <x v="7"/>
    <x v="6"/>
    <n v="9"/>
    <x v="4"/>
    <d v="2013-07-12T00:00:00"/>
    <x v="6"/>
    <x v="3"/>
    <x v="6"/>
    <x v="0"/>
    <x v="7"/>
    <x v="7"/>
    <x v="0"/>
    <x v="7"/>
    <x v="5"/>
    <x v="6"/>
    <x v="0"/>
    <x v="0"/>
    <x v="0"/>
    <x v="0"/>
    <x v="0"/>
    <x v="0"/>
    <x v="7"/>
  </r>
  <r>
    <x v="8"/>
    <x v="7"/>
    <n v="3"/>
    <x v="3"/>
    <d v="2013-07-15T00:00:00"/>
    <x v="7"/>
    <x v="6"/>
    <x v="4"/>
    <x v="2"/>
    <x v="8"/>
    <x v="8"/>
    <x v="0"/>
    <x v="8"/>
    <x v="6"/>
    <x v="7"/>
    <x v="2"/>
    <x v="0"/>
    <x v="0"/>
    <x v="0"/>
    <x v="0"/>
    <x v="0"/>
    <x v="8"/>
  </r>
  <r>
    <x v="9"/>
    <x v="8"/>
    <n v="4"/>
    <x v="2"/>
    <d v="2013-07-16T00:00:00"/>
    <x v="8"/>
    <x v="7"/>
    <x v="5"/>
    <x v="0"/>
    <x v="9"/>
    <x v="9"/>
    <x v="0"/>
    <x v="9"/>
    <x v="7"/>
    <x v="8"/>
    <x v="0"/>
    <x v="0"/>
    <x v="0"/>
    <x v="0"/>
    <x v="0"/>
    <x v="0"/>
    <x v="9"/>
  </r>
  <r>
    <x v="10"/>
    <x v="9"/>
    <n v="1"/>
    <x v="5"/>
    <d v="2013-07-17T00:00:00"/>
    <x v="9"/>
    <x v="5"/>
    <x v="5"/>
    <x v="1"/>
    <x v="10"/>
    <x v="10"/>
    <x v="3"/>
    <x v="10"/>
    <x v="8"/>
    <x v="9"/>
    <x v="1"/>
    <x v="0"/>
    <x v="0"/>
    <x v="0"/>
    <x v="0"/>
    <x v="0"/>
    <x v="7"/>
  </r>
  <r>
    <x v="11"/>
    <x v="10"/>
    <n v="4"/>
    <x v="2"/>
    <d v="2013-07-18T00:00:00"/>
    <x v="10"/>
    <x v="8"/>
    <x v="3"/>
    <x v="0"/>
    <x v="11"/>
    <x v="11"/>
    <x v="0"/>
    <x v="11"/>
    <x v="2"/>
    <x v="10"/>
    <x v="0"/>
    <x v="0"/>
    <x v="0"/>
    <x v="0"/>
    <x v="0"/>
    <x v="0"/>
    <x v="10"/>
  </r>
  <r>
    <x v="12"/>
    <x v="11"/>
    <n v="4"/>
    <x v="2"/>
    <d v="2013-07-19T00:00:00"/>
    <x v="1"/>
    <x v="9"/>
    <x v="7"/>
    <x v="1"/>
    <x v="12"/>
    <x v="12"/>
    <x v="4"/>
    <x v="12"/>
    <x v="9"/>
    <x v="11"/>
    <x v="1"/>
    <x v="0"/>
    <x v="0"/>
    <x v="0"/>
    <x v="0"/>
    <x v="0"/>
    <x v="2"/>
  </r>
  <r>
    <x v="13"/>
    <x v="12"/>
    <n v="4"/>
    <x v="2"/>
    <d v="2013-07-19T00:00:00"/>
    <x v="1"/>
    <x v="10"/>
    <x v="8"/>
    <x v="2"/>
    <x v="13"/>
    <x v="13"/>
    <x v="0"/>
    <x v="13"/>
    <x v="5"/>
    <x v="12"/>
    <x v="2"/>
    <x v="0"/>
    <x v="0"/>
    <x v="0"/>
    <x v="0"/>
    <x v="0"/>
    <x v="10"/>
  </r>
  <r>
    <x v="14"/>
    <x v="13"/>
    <n v="8"/>
    <x v="6"/>
    <d v="2013-07-22T00:00:00"/>
    <x v="11"/>
    <x v="8"/>
    <x v="6"/>
    <x v="0"/>
    <x v="14"/>
    <x v="14"/>
    <x v="3"/>
    <x v="14"/>
    <x v="0"/>
    <x v="13"/>
    <x v="0"/>
    <x v="0"/>
    <x v="0"/>
    <x v="0"/>
    <x v="0"/>
    <x v="0"/>
    <x v="11"/>
  </r>
  <r>
    <x v="15"/>
    <x v="9"/>
    <n v="9"/>
    <x v="4"/>
    <d v="2013-07-23T00:00:00"/>
    <x v="12"/>
    <x v="11"/>
    <x v="9"/>
    <x v="0"/>
    <x v="15"/>
    <x v="15"/>
    <x v="4"/>
    <x v="15"/>
    <x v="10"/>
    <x v="9"/>
    <x v="0"/>
    <x v="0"/>
    <x v="0"/>
    <x v="0"/>
    <x v="0"/>
    <x v="0"/>
    <x v="12"/>
  </r>
  <r>
    <x v="16"/>
    <x v="14"/>
    <n v="6"/>
    <x v="1"/>
    <d v="2013-07-24T00:00:00"/>
    <x v="13"/>
    <x v="12"/>
    <x v="10"/>
    <x v="0"/>
    <x v="16"/>
    <x v="16"/>
    <x v="0"/>
    <x v="16"/>
    <x v="11"/>
    <x v="14"/>
    <x v="0"/>
    <x v="0"/>
    <x v="0"/>
    <x v="0"/>
    <x v="0"/>
    <x v="0"/>
    <x v="7"/>
  </r>
  <r>
    <x v="17"/>
    <x v="15"/>
    <n v="2"/>
    <x v="7"/>
    <d v="2013-07-25T00:00:00"/>
    <x v="14"/>
    <x v="13"/>
    <x v="11"/>
    <x v="1"/>
    <x v="17"/>
    <x v="17"/>
    <x v="0"/>
    <x v="17"/>
    <x v="12"/>
    <x v="15"/>
    <x v="1"/>
    <x v="0"/>
    <x v="0"/>
    <x v="0"/>
    <x v="0"/>
    <x v="0"/>
    <x v="13"/>
  </r>
  <r>
    <x v="18"/>
    <x v="16"/>
    <n v="3"/>
    <x v="3"/>
    <d v="2013-07-26T00:00:00"/>
    <x v="15"/>
    <x v="11"/>
    <x v="1"/>
    <x v="0"/>
    <x v="18"/>
    <x v="18"/>
    <x v="1"/>
    <x v="18"/>
    <x v="0"/>
    <x v="16"/>
    <x v="0"/>
    <x v="0"/>
    <x v="0"/>
    <x v="0"/>
    <x v="0"/>
    <x v="0"/>
    <x v="14"/>
  </r>
  <r>
    <x v="19"/>
    <x v="17"/>
    <n v="4"/>
    <x v="2"/>
    <d v="2013-07-29T00:00:00"/>
    <x v="16"/>
    <x v="14"/>
    <x v="9"/>
    <x v="1"/>
    <x v="19"/>
    <x v="19"/>
    <x v="0"/>
    <x v="19"/>
    <x v="8"/>
    <x v="17"/>
    <x v="1"/>
    <x v="0"/>
    <x v="0"/>
    <x v="0"/>
    <x v="0"/>
    <x v="0"/>
    <x v="15"/>
  </r>
  <r>
    <x v="20"/>
    <x v="18"/>
    <n v="8"/>
    <x v="6"/>
    <d v="2013-07-30T00:00:00"/>
    <x v="17"/>
    <x v="15"/>
    <x v="6"/>
    <x v="0"/>
    <x v="20"/>
    <x v="20"/>
    <x v="0"/>
    <x v="20"/>
    <x v="2"/>
    <x v="18"/>
    <x v="0"/>
    <x v="0"/>
    <x v="0"/>
    <x v="0"/>
    <x v="0"/>
    <x v="0"/>
    <x v="16"/>
  </r>
  <r>
    <x v="21"/>
    <x v="19"/>
    <n v="5"/>
    <x v="0"/>
    <d v="2013-07-31T00:00:00"/>
    <x v="9"/>
    <x v="16"/>
    <x v="12"/>
    <x v="1"/>
    <x v="21"/>
    <x v="21"/>
    <x v="1"/>
    <x v="21"/>
    <x v="10"/>
    <x v="19"/>
    <x v="1"/>
    <x v="0"/>
    <x v="0"/>
    <x v="0"/>
    <x v="0"/>
    <x v="0"/>
    <x v="17"/>
  </r>
  <r>
    <x v="22"/>
    <x v="16"/>
    <n v="1"/>
    <x v="5"/>
    <d v="2013-08-01T00:00:00"/>
    <x v="18"/>
    <x v="15"/>
    <x v="13"/>
    <x v="1"/>
    <x v="22"/>
    <x v="22"/>
    <x v="0"/>
    <x v="22"/>
    <x v="12"/>
    <x v="16"/>
    <x v="1"/>
    <x v="0"/>
    <x v="1"/>
    <x v="0"/>
    <x v="0"/>
    <x v="0"/>
    <x v="7"/>
  </r>
  <r>
    <x v="23"/>
    <x v="20"/>
    <n v="6"/>
    <x v="1"/>
    <d v="2013-08-01T00:00:00"/>
    <x v="18"/>
    <x v="17"/>
    <x v="14"/>
    <x v="2"/>
    <x v="23"/>
    <x v="23"/>
    <x v="0"/>
    <x v="23"/>
    <x v="13"/>
    <x v="20"/>
    <x v="2"/>
    <x v="0"/>
    <x v="1"/>
    <x v="0"/>
    <x v="0"/>
    <x v="0"/>
    <x v="17"/>
  </r>
  <r>
    <x v="24"/>
    <x v="13"/>
    <n v="6"/>
    <x v="1"/>
    <d v="2013-08-02T00:00:00"/>
    <x v="19"/>
    <x v="14"/>
    <x v="2"/>
    <x v="2"/>
    <x v="24"/>
    <x v="24"/>
    <x v="0"/>
    <x v="24"/>
    <x v="3"/>
    <x v="13"/>
    <x v="2"/>
    <x v="0"/>
    <x v="1"/>
    <x v="0"/>
    <x v="0"/>
    <x v="0"/>
    <x v="4"/>
  </r>
  <r>
    <x v="25"/>
    <x v="21"/>
    <n v="3"/>
    <x v="3"/>
    <d v="2013-08-05T00:00:00"/>
    <x v="20"/>
    <x v="13"/>
    <x v="3"/>
    <x v="0"/>
    <x v="25"/>
    <x v="25"/>
    <x v="1"/>
    <x v="25"/>
    <x v="13"/>
    <x v="21"/>
    <x v="0"/>
    <x v="0"/>
    <x v="1"/>
    <x v="0"/>
    <x v="0"/>
    <x v="0"/>
    <x v="18"/>
  </r>
  <r>
    <x v="26"/>
    <x v="0"/>
    <n v="6"/>
    <x v="1"/>
    <d v="2013-08-06T00:00:00"/>
    <x v="21"/>
    <x v="18"/>
    <x v="7"/>
    <x v="1"/>
    <x v="26"/>
    <x v="26"/>
    <x v="0"/>
    <x v="26"/>
    <x v="5"/>
    <x v="0"/>
    <x v="1"/>
    <x v="0"/>
    <x v="1"/>
    <x v="0"/>
    <x v="0"/>
    <x v="0"/>
    <x v="19"/>
  </r>
  <r>
    <x v="27"/>
    <x v="22"/>
    <n v="1"/>
    <x v="5"/>
    <d v="2013-08-07T00:00:00"/>
    <x v="22"/>
    <x v="16"/>
    <x v="4"/>
    <x v="1"/>
    <x v="27"/>
    <x v="27"/>
    <x v="1"/>
    <x v="27"/>
    <x v="0"/>
    <x v="22"/>
    <x v="1"/>
    <x v="0"/>
    <x v="1"/>
    <x v="0"/>
    <x v="0"/>
    <x v="0"/>
    <x v="6"/>
  </r>
  <r>
    <x v="28"/>
    <x v="23"/>
    <n v="8"/>
    <x v="6"/>
    <d v="2013-08-08T00:00:00"/>
    <x v="14"/>
    <x v="19"/>
    <x v="5"/>
    <x v="0"/>
    <x v="28"/>
    <x v="28"/>
    <x v="0"/>
    <x v="28"/>
    <x v="6"/>
    <x v="23"/>
    <x v="0"/>
    <x v="0"/>
    <x v="1"/>
    <x v="0"/>
    <x v="0"/>
    <x v="0"/>
    <x v="18"/>
  </r>
  <r>
    <x v="29"/>
    <x v="24"/>
    <n v="2"/>
    <x v="7"/>
    <d v="2013-08-09T00:00:00"/>
    <x v="15"/>
    <x v="20"/>
    <x v="2"/>
    <x v="0"/>
    <x v="29"/>
    <x v="29"/>
    <x v="0"/>
    <x v="29"/>
    <x v="5"/>
    <x v="24"/>
    <x v="0"/>
    <x v="0"/>
    <x v="1"/>
    <x v="0"/>
    <x v="0"/>
    <x v="0"/>
    <x v="20"/>
  </r>
  <r>
    <x v="30"/>
    <x v="25"/>
    <n v="8"/>
    <x v="6"/>
    <d v="2013-08-12T00:00:00"/>
    <x v="23"/>
    <x v="18"/>
    <x v="2"/>
    <x v="2"/>
    <x v="30"/>
    <x v="30"/>
    <x v="0"/>
    <x v="30"/>
    <x v="9"/>
    <x v="25"/>
    <x v="2"/>
    <x v="0"/>
    <x v="1"/>
    <x v="0"/>
    <x v="0"/>
    <x v="0"/>
    <x v="21"/>
  </r>
  <r>
    <x v="31"/>
    <x v="26"/>
    <n v="8"/>
    <x v="6"/>
    <d v="2013-08-13T00:00:00"/>
    <x v="24"/>
    <x v="18"/>
    <x v="6"/>
    <x v="2"/>
    <x v="31"/>
    <x v="31"/>
    <x v="4"/>
    <x v="31"/>
    <x v="6"/>
    <x v="26"/>
    <x v="2"/>
    <x v="0"/>
    <x v="1"/>
    <x v="0"/>
    <x v="0"/>
    <x v="0"/>
    <x v="13"/>
  </r>
  <r>
    <x v="32"/>
    <x v="25"/>
    <n v="2"/>
    <x v="7"/>
    <d v="2013-08-14T00:00:00"/>
    <x v="25"/>
    <x v="21"/>
    <x v="14"/>
    <x v="1"/>
    <x v="32"/>
    <x v="32"/>
    <x v="0"/>
    <x v="32"/>
    <x v="0"/>
    <x v="25"/>
    <x v="1"/>
    <x v="0"/>
    <x v="1"/>
    <x v="0"/>
    <x v="0"/>
    <x v="0"/>
    <x v="6"/>
  </r>
  <r>
    <x v="33"/>
    <x v="27"/>
    <n v="4"/>
    <x v="2"/>
    <d v="2013-08-14T00:00:00"/>
    <x v="26"/>
    <x v="22"/>
    <x v="3"/>
    <x v="1"/>
    <x v="33"/>
    <x v="33"/>
    <x v="0"/>
    <x v="33"/>
    <x v="14"/>
    <x v="27"/>
    <x v="1"/>
    <x v="0"/>
    <x v="1"/>
    <x v="0"/>
    <x v="0"/>
    <x v="0"/>
    <x v="22"/>
  </r>
  <r>
    <x v="34"/>
    <x v="27"/>
    <n v="4"/>
    <x v="2"/>
    <d v="2013-08-15T00:00:00"/>
    <x v="27"/>
    <x v="22"/>
    <x v="5"/>
    <x v="1"/>
    <x v="34"/>
    <x v="34"/>
    <x v="0"/>
    <x v="34"/>
    <x v="3"/>
    <x v="27"/>
    <x v="1"/>
    <x v="0"/>
    <x v="1"/>
    <x v="0"/>
    <x v="0"/>
    <x v="0"/>
    <x v="23"/>
  </r>
  <r>
    <x v="35"/>
    <x v="28"/>
    <n v="3"/>
    <x v="3"/>
    <d v="2013-08-16T00:00:00"/>
    <x v="28"/>
    <x v="12"/>
    <x v="3"/>
    <x v="0"/>
    <x v="35"/>
    <x v="35"/>
    <x v="0"/>
    <x v="35"/>
    <x v="5"/>
    <x v="28"/>
    <x v="0"/>
    <x v="0"/>
    <x v="1"/>
    <x v="0"/>
    <x v="0"/>
    <x v="0"/>
    <x v="24"/>
  </r>
  <r>
    <x v="36"/>
    <x v="26"/>
    <n v="4"/>
    <x v="2"/>
    <d v="2013-08-19T00:00:00"/>
    <x v="29"/>
    <x v="23"/>
    <x v="9"/>
    <x v="1"/>
    <x v="36"/>
    <x v="36"/>
    <x v="4"/>
    <x v="36"/>
    <x v="6"/>
    <x v="26"/>
    <x v="1"/>
    <x v="0"/>
    <x v="1"/>
    <x v="0"/>
    <x v="0"/>
    <x v="0"/>
    <x v="9"/>
  </r>
  <r>
    <x v="37"/>
    <x v="21"/>
    <n v="1"/>
    <x v="5"/>
    <d v="2013-08-20T00:00:00"/>
    <x v="30"/>
    <x v="24"/>
    <x v="5"/>
    <x v="2"/>
    <x v="37"/>
    <x v="37"/>
    <x v="3"/>
    <x v="37"/>
    <x v="15"/>
    <x v="21"/>
    <x v="2"/>
    <x v="0"/>
    <x v="1"/>
    <x v="0"/>
    <x v="0"/>
    <x v="0"/>
    <x v="25"/>
  </r>
  <r>
    <x v="38"/>
    <x v="21"/>
    <n v="8"/>
    <x v="6"/>
    <d v="2013-08-21T00:00:00"/>
    <x v="31"/>
    <x v="17"/>
    <x v="12"/>
    <x v="0"/>
    <x v="38"/>
    <x v="38"/>
    <x v="0"/>
    <x v="38"/>
    <x v="16"/>
    <x v="21"/>
    <x v="0"/>
    <x v="0"/>
    <x v="1"/>
    <x v="0"/>
    <x v="0"/>
    <x v="0"/>
    <x v="25"/>
  </r>
  <r>
    <x v="39"/>
    <x v="29"/>
    <n v="8"/>
    <x v="6"/>
    <d v="2013-08-22T00:00:00"/>
    <x v="32"/>
    <x v="25"/>
    <x v="5"/>
    <x v="0"/>
    <x v="39"/>
    <x v="39"/>
    <x v="2"/>
    <x v="39"/>
    <x v="4"/>
    <x v="29"/>
    <x v="0"/>
    <x v="0"/>
    <x v="1"/>
    <x v="0"/>
    <x v="0"/>
    <x v="0"/>
    <x v="12"/>
  </r>
  <r>
    <x v="40"/>
    <x v="30"/>
    <n v="4"/>
    <x v="2"/>
    <d v="2013-08-23T00:00:00"/>
    <x v="33"/>
    <x v="26"/>
    <x v="8"/>
    <x v="1"/>
    <x v="40"/>
    <x v="40"/>
    <x v="5"/>
    <x v="40"/>
    <x v="2"/>
    <x v="30"/>
    <x v="1"/>
    <x v="0"/>
    <x v="1"/>
    <x v="0"/>
    <x v="0"/>
    <x v="0"/>
    <x v="26"/>
  </r>
  <r>
    <x v="41"/>
    <x v="31"/>
    <n v="7"/>
    <x v="8"/>
    <d v="2013-08-26T00:00:00"/>
    <x v="34"/>
    <x v="25"/>
    <x v="4"/>
    <x v="0"/>
    <x v="41"/>
    <x v="41"/>
    <x v="0"/>
    <x v="41"/>
    <x v="12"/>
    <x v="31"/>
    <x v="0"/>
    <x v="0"/>
    <x v="1"/>
    <x v="0"/>
    <x v="0"/>
    <x v="0"/>
    <x v="10"/>
  </r>
  <r>
    <x v="42"/>
    <x v="32"/>
    <n v="8"/>
    <x v="6"/>
    <d v="2013-08-27T00:00:00"/>
    <x v="35"/>
    <x v="26"/>
    <x v="3"/>
    <x v="1"/>
    <x v="42"/>
    <x v="42"/>
    <x v="0"/>
    <x v="42"/>
    <x v="5"/>
    <x v="32"/>
    <x v="1"/>
    <x v="0"/>
    <x v="1"/>
    <x v="0"/>
    <x v="0"/>
    <x v="0"/>
    <x v="11"/>
  </r>
  <r>
    <x v="43"/>
    <x v="12"/>
    <n v="6"/>
    <x v="1"/>
    <d v="2013-08-27T00:00:00"/>
    <x v="35"/>
    <x v="27"/>
    <x v="9"/>
    <x v="2"/>
    <x v="43"/>
    <x v="43"/>
    <x v="5"/>
    <x v="43"/>
    <x v="5"/>
    <x v="12"/>
    <x v="2"/>
    <x v="0"/>
    <x v="1"/>
    <x v="0"/>
    <x v="0"/>
    <x v="0"/>
    <x v="27"/>
  </r>
  <r>
    <x v="44"/>
    <x v="33"/>
    <n v="1"/>
    <x v="5"/>
    <d v="2013-08-28T00:00:00"/>
    <x v="36"/>
    <x v="28"/>
    <x v="1"/>
    <x v="2"/>
    <x v="44"/>
    <x v="44"/>
    <x v="0"/>
    <x v="44"/>
    <x v="5"/>
    <x v="33"/>
    <x v="2"/>
    <x v="0"/>
    <x v="1"/>
    <x v="0"/>
    <x v="0"/>
    <x v="0"/>
    <x v="4"/>
  </r>
  <r>
    <x v="45"/>
    <x v="23"/>
    <n v="1"/>
    <x v="5"/>
    <d v="2013-08-29T00:00:00"/>
    <x v="37"/>
    <x v="29"/>
    <x v="15"/>
    <x v="0"/>
    <x v="45"/>
    <x v="45"/>
    <x v="0"/>
    <x v="45"/>
    <x v="0"/>
    <x v="23"/>
    <x v="0"/>
    <x v="0"/>
    <x v="1"/>
    <x v="0"/>
    <x v="0"/>
    <x v="0"/>
    <x v="28"/>
  </r>
  <r>
    <x v="46"/>
    <x v="13"/>
    <n v="4"/>
    <x v="2"/>
    <d v="2013-08-30T00:00:00"/>
    <x v="38"/>
    <x v="30"/>
    <x v="5"/>
    <x v="2"/>
    <x v="46"/>
    <x v="46"/>
    <x v="0"/>
    <x v="46"/>
    <x v="17"/>
    <x v="13"/>
    <x v="2"/>
    <x v="0"/>
    <x v="1"/>
    <x v="0"/>
    <x v="0"/>
    <x v="0"/>
    <x v="25"/>
  </r>
  <r>
    <x v="47"/>
    <x v="0"/>
    <n v="2"/>
    <x v="7"/>
    <d v="2013-09-02T00:00:00"/>
    <x v="39"/>
    <x v="31"/>
    <x v="9"/>
    <x v="2"/>
    <x v="47"/>
    <x v="47"/>
    <x v="0"/>
    <x v="47"/>
    <x v="18"/>
    <x v="0"/>
    <x v="2"/>
    <x v="0"/>
    <x v="2"/>
    <x v="0"/>
    <x v="0"/>
    <x v="0"/>
    <x v="14"/>
  </r>
  <r>
    <x v="48"/>
    <x v="28"/>
    <n v="6"/>
    <x v="1"/>
    <d v="2013-09-03T00:00:00"/>
    <x v="40"/>
    <x v="29"/>
    <x v="9"/>
    <x v="1"/>
    <x v="48"/>
    <x v="48"/>
    <x v="0"/>
    <x v="48"/>
    <x v="0"/>
    <x v="28"/>
    <x v="1"/>
    <x v="0"/>
    <x v="2"/>
    <x v="0"/>
    <x v="0"/>
    <x v="0"/>
    <x v="3"/>
  </r>
  <r>
    <x v="49"/>
    <x v="15"/>
    <n v="5"/>
    <x v="0"/>
    <d v="2013-09-04T00:00:00"/>
    <x v="41"/>
    <x v="31"/>
    <x v="5"/>
    <x v="2"/>
    <x v="49"/>
    <x v="49"/>
    <x v="0"/>
    <x v="49"/>
    <x v="10"/>
    <x v="15"/>
    <x v="2"/>
    <x v="0"/>
    <x v="2"/>
    <x v="0"/>
    <x v="0"/>
    <x v="0"/>
    <x v="25"/>
  </r>
  <r>
    <x v="50"/>
    <x v="34"/>
    <n v="6"/>
    <x v="1"/>
    <d v="2013-09-05T00:00:00"/>
    <x v="42"/>
    <x v="29"/>
    <x v="5"/>
    <x v="2"/>
    <x v="50"/>
    <x v="50"/>
    <x v="0"/>
    <x v="50"/>
    <x v="4"/>
    <x v="34"/>
    <x v="2"/>
    <x v="0"/>
    <x v="2"/>
    <x v="0"/>
    <x v="0"/>
    <x v="0"/>
    <x v="7"/>
  </r>
  <r>
    <x v="51"/>
    <x v="29"/>
    <n v="4"/>
    <x v="2"/>
    <d v="2013-09-06T00:00:00"/>
    <x v="43"/>
    <x v="32"/>
    <x v="3"/>
    <x v="2"/>
    <x v="51"/>
    <x v="51"/>
    <x v="0"/>
    <x v="51"/>
    <x v="6"/>
    <x v="29"/>
    <x v="2"/>
    <x v="0"/>
    <x v="2"/>
    <x v="0"/>
    <x v="0"/>
    <x v="0"/>
    <x v="22"/>
  </r>
  <r>
    <x v="52"/>
    <x v="22"/>
    <n v="2"/>
    <x v="7"/>
    <d v="2013-09-09T00:00:00"/>
    <x v="44"/>
    <x v="33"/>
    <x v="12"/>
    <x v="2"/>
    <x v="52"/>
    <x v="52"/>
    <x v="0"/>
    <x v="52"/>
    <x v="12"/>
    <x v="22"/>
    <x v="2"/>
    <x v="0"/>
    <x v="2"/>
    <x v="0"/>
    <x v="0"/>
    <x v="0"/>
    <x v="29"/>
  </r>
  <r>
    <x v="53"/>
    <x v="35"/>
    <n v="8"/>
    <x v="6"/>
    <d v="2013-09-09T00:00:00"/>
    <x v="44"/>
    <x v="34"/>
    <x v="9"/>
    <x v="2"/>
    <x v="53"/>
    <x v="53"/>
    <x v="0"/>
    <x v="53"/>
    <x v="2"/>
    <x v="35"/>
    <x v="2"/>
    <x v="0"/>
    <x v="2"/>
    <x v="0"/>
    <x v="0"/>
    <x v="0"/>
    <x v="15"/>
  </r>
  <r>
    <x v="54"/>
    <x v="4"/>
    <n v="4"/>
    <x v="2"/>
    <d v="2013-09-10T00:00:00"/>
    <x v="45"/>
    <x v="35"/>
    <x v="14"/>
    <x v="2"/>
    <x v="54"/>
    <x v="54"/>
    <x v="0"/>
    <x v="54"/>
    <x v="4"/>
    <x v="4"/>
    <x v="2"/>
    <x v="0"/>
    <x v="2"/>
    <x v="0"/>
    <x v="0"/>
    <x v="0"/>
    <x v="13"/>
  </r>
  <r>
    <x v="55"/>
    <x v="36"/>
    <n v="7"/>
    <x v="8"/>
    <d v="2013-09-11T00:00:00"/>
    <x v="46"/>
    <x v="33"/>
    <x v="3"/>
    <x v="2"/>
    <x v="55"/>
    <x v="55"/>
    <x v="5"/>
    <x v="55"/>
    <x v="4"/>
    <x v="36"/>
    <x v="2"/>
    <x v="0"/>
    <x v="2"/>
    <x v="0"/>
    <x v="0"/>
    <x v="0"/>
    <x v="15"/>
  </r>
  <r>
    <x v="56"/>
    <x v="23"/>
    <n v="1"/>
    <x v="5"/>
    <d v="2013-09-12T00:00:00"/>
    <x v="47"/>
    <x v="34"/>
    <x v="1"/>
    <x v="2"/>
    <x v="56"/>
    <x v="56"/>
    <x v="0"/>
    <x v="56"/>
    <x v="12"/>
    <x v="23"/>
    <x v="2"/>
    <x v="0"/>
    <x v="2"/>
    <x v="0"/>
    <x v="0"/>
    <x v="0"/>
    <x v="30"/>
  </r>
  <r>
    <x v="57"/>
    <x v="37"/>
    <n v="8"/>
    <x v="6"/>
    <d v="2013-09-13T00:00:00"/>
    <x v="48"/>
    <x v="35"/>
    <x v="16"/>
    <x v="0"/>
    <x v="57"/>
    <x v="57"/>
    <x v="5"/>
    <x v="57"/>
    <x v="7"/>
    <x v="37"/>
    <x v="0"/>
    <x v="0"/>
    <x v="2"/>
    <x v="0"/>
    <x v="0"/>
    <x v="0"/>
    <x v="28"/>
  </r>
  <r>
    <x v="58"/>
    <x v="27"/>
    <n v="1"/>
    <x v="5"/>
    <d v="2013-09-16T00:00:00"/>
    <x v="49"/>
    <x v="36"/>
    <x v="3"/>
    <x v="0"/>
    <x v="58"/>
    <x v="58"/>
    <x v="0"/>
    <x v="58"/>
    <x v="2"/>
    <x v="27"/>
    <x v="0"/>
    <x v="0"/>
    <x v="2"/>
    <x v="0"/>
    <x v="0"/>
    <x v="0"/>
    <x v="23"/>
  </r>
  <r>
    <x v="59"/>
    <x v="38"/>
    <n v="2"/>
    <x v="7"/>
    <d v="2013-09-17T00:00:00"/>
    <x v="50"/>
    <x v="37"/>
    <x v="9"/>
    <x v="2"/>
    <x v="59"/>
    <x v="59"/>
    <x v="0"/>
    <x v="59"/>
    <x v="2"/>
    <x v="38"/>
    <x v="2"/>
    <x v="0"/>
    <x v="2"/>
    <x v="0"/>
    <x v="0"/>
    <x v="0"/>
    <x v="31"/>
  </r>
  <r>
    <x v="60"/>
    <x v="39"/>
    <n v="7"/>
    <x v="8"/>
    <d v="2013-09-18T00:00:00"/>
    <x v="41"/>
    <x v="38"/>
    <x v="5"/>
    <x v="0"/>
    <x v="60"/>
    <x v="60"/>
    <x v="0"/>
    <x v="60"/>
    <x v="14"/>
    <x v="39"/>
    <x v="0"/>
    <x v="0"/>
    <x v="2"/>
    <x v="0"/>
    <x v="0"/>
    <x v="0"/>
    <x v="32"/>
  </r>
  <r>
    <x v="61"/>
    <x v="34"/>
    <n v="3"/>
    <x v="3"/>
    <d v="2013-09-19T00:00:00"/>
    <x v="51"/>
    <x v="39"/>
    <x v="17"/>
    <x v="1"/>
    <x v="61"/>
    <x v="61"/>
    <x v="0"/>
    <x v="61"/>
    <x v="5"/>
    <x v="34"/>
    <x v="1"/>
    <x v="0"/>
    <x v="2"/>
    <x v="0"/>
    <x v="0"/>
    <x v="0"/>
    <x v="33"/>
  </r>
  <r>
    <x v="62"/>
    <x v="40"/>
    <n v="8"/>
    <x v="6"/>
    <d v="2013-09-20T00:00:00"/>
    <x v="52"/>
    <x v="40"/>
    <x v="3"/>
    <x v="2"/>
    <x v="62"/>
    <x v="62"/>
    <x v="0"/>
    <x v="62"/>
    <x v="2"/>
    <x v="40"/>
    <x v="2"/>
    <x v="0"/>
    <x v="2"/>
    <x v="0"/>
    <x v="0"/>
    <x v="0"/>
    <x v="12"/>
  </r>
  <r>
    <x v="63"/>
    <x v="41"/>
    <n v="1"/>
    <x v="5"/>
    <d v="2013-09-20T00:00:00"/>
    <x v="43"/>
    <x v="41"/>
    <x v="5"/>
    <x v="0"/>
    <x v="63"/>
    <x v="63"/>
    <x v="0"/>
    <x v="63"/>
    <x v="3"/>
    <x v="41"/>
    <x v="0"/>
    <x v="0"/>
    <x v="2"/>
    <x v="0"/>
    <x v="0"/>
    <x v="0"/>
    <x v="34"/>
  </r>
  <r>
    <x v="64"/>
    <x v="35"/>
    <n v="2"/>
    <x v="7"/>
    <d v="2013-09-23T00:00:00"/>
    <x v="53"/>
    <x v="42"/>
    <x v="7"/>
    <x v="2"/>
    <x v="64"/>
    <x v="64"/>
    <x v="0"/>
    <x v="64"/>
    <x v="18"/>
    <x v="35"/>
    <x v="2"/>
    <x v="0"/>
    <x v="2"/>
    <x v="0"/>
    <x v="0"/>
    <x v="0"/>
    <x v="20"/>
  </r>
  <r>
    <x v="65"/>
    <x v="21"/>
    <n v="2"/>
    <x v="7"/>
    <d v="2013-09-24T00:00:00"/>
    <x v="54"/>
    <x v="43"/>
    <x v="7"/>
    <x v="2"/>
    <x v="65"/>
    <x v="65"/>
    <x v="0"/>
    <x v="65"/>
    <x v="0"/>
    <x v="21"/>
    <x v="2"/>
    <x v="0"/>
    <x v="2"/>
    <x v="0"/>
    <x v="0"/>
    <x v="0"/>
    <x v="7"/>
  </r>
  <r>
    <x v="66"/>
    <x v="13"/>
    <n v="1"/>
    <x v="5"/>
    <d v="2013-09-25T00:00:00"/>
    <x v="55"/>
    <x v="43"/>
    <x v="12"/>
    <x v="2"/>
    <x v="66"/>
    <x v="66"/>
    <x v="5"/>
    <x v="66"/>
    <x v="4"/>
    <x v="13"/>
    <x v="2"/>
    <x v="0"/>
    <x v="2"/>
    <x v="0"/>
    <x v="0"/>
    <x v="0"/>
    <x v="35"/>
  </r>
  <r>
    <x v="67"/>
    <x v="42"/>
    <n v="4"/>
    <x v="2"/>
    <d v="2013-09-26T00:00:00"/>
    <x v="56"/>
    <x v="42"/>
    <x v="3"/>
    <x v="2"/>
    <x v="67"/>
    <x v="67"/>
    <x v="0"/>
    <x v="67"/>
    <x v="19"/>
    <x v="42"/>
    <x v="2"/>
    <x v="0"/>
    <x v="2"/>
    <x v="0"/>
    <x v="0"/>
    <x v="0"/>
    <x v="34"/>
  </r>
  <r>
    <x v="68"/>
    <x v="13"/>
    <n v="1"/>
    <x v="5"/>
    <d v="2013-09-27T00:00:00"/>
    <x v="57"/>
    <x v="44"/>
    <x v="8"/>
    <x v="0"/>
    <x v="68"/>
    <x v="68"/>
    <x v="0"/>
    <x v="68"/>
    <x v="2"/>
    <x v="13"/>
    <x v="0"/>
    <x v="0"/>
    <x v="2"/>
    <x v="0"/>
    <x v="0"/>
    <x v="0"/>
    <x v="2"/>
  </r>
  <r>
    <x v="69"/>
    <x v="38"/>
    <n v="6"/>
    <x v="1"/>
    <d v="2013-09-30T00:00:00"/>
    <x v="58"/>
    <x v="45"/>
    <x v="7"/>
    <x v="1"/>
    <x v="34"/>
    <x v="69"/>
    <x v="0"/>
    <x v="69"/>
    <x v="5"/>
    <x v="38"/>
    <x v="1"/>
    <x v="0"/>
    <x v="2"/>
    <x v="0"/>
    <x v="0"/>
    <x v="0"/>
    <x v="25"/>
  </r>
  <r>
    <x v="70"/>
    <x v="42"/>
    <n v="8"/>
    <x v="6"/>
    <d v="2013-10-01T00:00:00"/>
    <x v="59"/>
    <x v="43"/>
    <x v="6"/>
    <x v="2"/>
    <x v="69"/>
    <x v="70"/>
    <x v="0"/>
    <x v="70"/>
    <x v="5"/>
    <x v="42"/>
    <x v="2"/>
    <x v="0"/>
    <x v="3"/>
    <x v="1"/>
    <x v="1"/>
    <x v="0"/>
    <x v="2"/>
  </r>
  <r>
    <x v="71"/>
    <x v="23"/>
    <n v="7"/>
    <x v="8"/>
    <d v="2013-10-02T00:00:00"/>
    <x v="60"/>
    <x v="46"/>
    <x v="12"/>
    <x v="0"/>
    <x v="70"/>
    <x v="71"/>
    <x v="0"/>
    <x v="71"/>
    <x v="20"/>
    <x v="23"/>
    <x v="0"/>
    <x v="0"/>
    <x v="3"/>
    <x v="1"/>
    <x v="1"/>
    <x v="0"/>
    <x v="13"/>
  </r>
  <r>
    <x v="72"/>
    <x v="16"/>
    <n v="5"/>
    <x v="0"/>
    <d v="2013-10-03T00:00:00"/>
    <x v="51"/>
    <x v="47"/>
    <x v="18"/>
    <x v="0"/>
    <x v="71"/>
    <x v="72"/>
    <x v="0"/>
    <x v="72"/>
    <x v="12"/>
    <x v="16"/>
    <x v="0"/>
    <x v="0"/>
    <x v="3"/>
    <x v="1"/>
    <x v="1"/>
    <x v="0"/>
    <x v="19"/>
  </r>
  <r>
    <x v="73"/>
    <x v="42"/>
    <n v="3"/>
    <x v="3"/>
    <d v="2013-10-03T00:00:00"/>
    <x v="61"/>
    <x v="46"/>
    <x v="9"/>
    <x v="2"/>
    <x v="72"/>
    <x v="73"/>
    <x v="0"/>
    <x v="73"/>
    <x v="2"/>
    <x v="42"/>
    <x v="2"/>
    <x v="0"/>
    <x v="3"/>
    <x v="1"/>
    <x v="1"/>
    <x v="0"/>
    <x v="25"/>
  </r>
  <r>
    <x v="74"/>
    <x v="43"/>
    <n v="7"/>
    <x v="8"/>
    <d v="2013-10-04T00:00:00"/>
    <x v="62"/>
    <x v="39"/>
    <x v="19"/>
    <x v="0"/>
    <x v="73"/>
    <x v="74"/>
    <x v="0"/>
    <x v="74"/>
    <x v="5"/>
    <x v="43"/>
    <x v="0"/>
    <x v="0"/>
    <x v="3"/>
    <x v="1"/>
    <x v="1"/>
    <x v="0"/>
    <x v="36"/>
  </r>
  <r>
    <x v="75"/>
    <x v="44"/>
    <n v="4"/>
    <x v="2"/>
    <d v="2013-10-07T00:00:00"/>
    <x v="63"/>
    <x v="48"/>
    <x v="3"/>
    <x v="1"/>
    <x v="74"/>
    <x v="75"/>
    <x v="0"/>
    <x v="75"/>
    <x v="21"/>
    <x v="44"/>
    <x v="1"/>
    <x v="0"/>
    <x v="3"/>
    <x v="1"/>
    <x v="1"/>
    <x v="0"/>
    <x v="24"/>
  </r>
  <r>
    <x v="76"/>
    <x v="45"/>
    <n v="9"/>
    <x v="4"/>
    <d v="2013-10-08T00:00:00"/>
    <x v="64"/>
    <x v="45"/>
    <x v="4"/>
    <x v="1"/>
    <x v="75"/>
    <x v="76"/>
    <x v="2"/>
    <x v="76"/>
    <x v="22"/>
    <x v="45"/>
    <x v="1"/>
    <x v="0"/>
    <x v="3"/>
    <x v="1"/>
    <x v="1"/>
    <x v="0"/>
    <x v="12"/>
  </r>
  <r>
    <x v="77"/>
    <x v="44"/>
    <n v="1"/>
    <x v="5"/>
    <d v="2013-10-09T00:00:00"/>
    <x v="55"/>
    <x v="48"/>
    <x v="1"/>
    <x v="0"/>
    <x v="76"/>
    <x v="77"/>
    <x v="0"/>
    <x v="77"/>
    <x v="3"/>
    <x v="44"/>
    <x v="0"/>
    <x v="0"/>
    <x v="3"/>
    <x v="1"/>
    <x v="1"/>
    <x v="0"/>
    <x v="37"/>
  </r>
  <r>
    <x v="78"/>
    <x v="46"/>
    <n v="4"/>
    <x v="2"/>
    <d v="2013-10-10T00:00:00"/>
    <x v="65"/>
    <x v="48"/>
    <x v="2"/>
    <x v="2"/>
    <x v="77"/>
    <x v="78"/>
    <x v="0"/>
    <x v="78"/>
    <x v="13"/>
    <x v="46"/>
    <x v="2"/>
    <x v="0"/>
    <x v="3"/>
    <x v="1"/>
    <x v="1"/>
    <x v="0"/>
    <x v="33"/>
  </r>
  <r>
    <x v="79"/>
    <x v="14"/>
    <n v="2"/>
    <x v="7"/>
    <d v="2013-10-11T00:00:00"/>
    <x v="66"/>
    <x v="48"/>
    <x v="6"/>
    <x v="1"/>
    <x v="78"/>
    <x v="79"/>
    <x v="3"/>
    <x v="79"/>
    <x v="7"/>
    <x v="14"/>
    <x v="1"/>
    <x v="0"/>
    <x v="3"/>
    <x v="1"/>
    <x v="1"/>
    <x v="0"/>
    <x v="7"/>
  </r>
  <r>
    <x v="80"/>
    <x v="47"/>
    <n v="4"/>
    <x v="2"/>
    <d v="2013-10-14T00:00:00"/>
    <x v="67"/>
    <x v="49"/>
    <x v="6"/>
    <x v="0"/>
    <x v="79"/>
    <x v="80"/>
    <x v="0"/>
    <x v="80"/>
    <x v="1"/>
    <x v="47"/>
    <x v="0"/>
    <x v="0"/>
    <x v="3"/>
    <x v="1"/>
    <x v="1"/>
    <x v="0"/>
    <x v="38"/>
  </r>
  <r>
    <x v="81"/>
    <x v="20"/>
    <n v="4"/>
    <x v="2"/>
    <d v="2013-10-15T00:00:00"/>
    <x v="68"/>
    <x v="39"/>
    <x v="9"/>
    <x v="2"/>
    <x v="80"/>
    <x v="81"/>
    <x v="1"/>
    <x v="81"/>
    <x v="2"/>
    <x v="20"/>
    <x v="2"/>
    <x v="0"/>
    <x v="3"/>
    <x v="1"/>
    <x v="1"/>
    <x v="0"/>
    <x v="22"/>
  </r>
  <r>
    <x v="82"/>
    <x v="28"/>
    <n v="3"/>
    <x v="3"/>
    <d v="2013-10-16T00:00:00"/>
    <x v="69"/>
    <x v="50"/>
    <x v="0"/>
    <x v="1"/>
    <x v="81"/>
    <x v="82"/>
    <x v="2"/>
    <x v="82"/>
    <x v="8"/>
    <x v="28"/>
    <x v="1"/>
    <x v="0"/>
    <x v="3"/>
    <x v="1"/>
    <x v="1"/>
    <x v="0"/>
    <x v="39"/>
  </r>
  <r>
    <x v="83"/>
    <x v="48"/>
    <n v="9"/>
    <x v="4"/>
    <d v="2013-10-16T00:00:00"/>
    <x v="70"/>
    <x v="51"/>
    <x v="1"/>
    <x v="1"/>
    <x v="82"/>
    <x v="83"/>
    <x v="0"/>
    <x v="83"/>
    <x v="6"/>
    <x v="48"/>
    <x v="1"/>
    <x v="0"/>
    <x v="3"/>
    <x v="1"/>
    <x v="1"/>
    <x v="0"/>
    <x v="26"/>
  </r>
  <r>
    <x v="84"/>
    <x v="49"/>
    <n v="3"/>
    <x v="3"/>
    <d v="2013-10-17T00:00:00"/>
    <x v="71"/>
    <x v="51"/>
    <x v="2"/>
    <x v="2"/>
    <x v="83"/>
    <x v="84"/>
    <x v="3"/>
    <x v="84"/>
    <x v="4"/>
    <x v="49"/>
    <x v="2"/>
    <x v="0"/>
    <x v="3"/>
    <x v="1"/>
    <x v="1"/>
    <x v="0"/>
    <x v="28"/>
  </r>
  <r>
    <x v="85"/>
    <x v="16"/>
    <n v="5"/>
    <x v="0"/>
    <d v="2013-10-18T00:00:00"/>
    <x v="72"/>
    <x v="52"/>
    <x v="3"/>
    <x v="0"/>
    <x v="84"/>
    <x v="85"/>
    <x v="0"/>
    <x v="85"/>
    <x v="2"/>
    <x v="16"/>
    <x v="0"/>
    <x v="0"/>
    <x v="3"/>
    <x v="1"/>
    <x v="1"/>
    <x v="0"/>
    <x v="1"/>
  </r>
  <r>
    <x v="86"/>
    <x v="3"/>
    <n v="8"/>
    <x v="6"/>
    <d v="2013-10-21T00:00:00"/>
    <x v="73"/>
    <x v="50"/>
    <x v="3"/>
    <x v="2"/>
    <x v="85"/>
    <x v="86"/>
    <x v="0"/>
    <x v="86"/>
    <x v="20"/>
    <x v="3"/>
    <x v="2"/>
    <x v="0"/>
    <x v="3"/>
    <x v="1"/>
    <x v="1"/>
    <x v="0"/>
    <x v="36"/>
  </r>
  <r>
    <x v="87"/>
    <x v="34"/>
    <n v="7"/>
    <x v="8"/>
    <d v="2013-10-22T00:00:00"/>
    <x v="74"/>
    <x v="53"/>
    <x v="4"/>
    <x v="2"/>
    <x v="86"/>
    <x v="87"/>
    <x v="3"/>
    <x v="87"/>
    <x v="23"/>
    <x v="34"/>
    <x v="2"/>
    <x v="0"/>
    <x v="3"/>
    <x v="1"/>
    <x v="1"/>
    <x v="0"/>
    <x v="7"/>
  </r>
  <r>
    <x v="88"/>
    <x v="50"/>
    <n v="7"/>
    <x v="8"/>
    <d v="2013-10-23T00:00:00"/>
    <x v="75"/>
    <x v="52"/>
    <x v="4"/>
    <x v="2"/>
    <x v="87"/>
    <x v="88"/>
    <x v="5"/>
    <x v="88"/>
    <x v="17"/>
    <x v="50"/>
    <x v="2"/>
    <x v="0"/>
    <x v="3"/>
    <x v="1"/>
    <x v="1"/>
    <x v="0"/>
    <x v="33"/>
  </r>
  <r>
    <x v="89"/>
    <x v="17"/>
    <n v="4"/>
    <x v="2"/>
    <d v="2013-10-24T00:00:00"/>
    <x v="76"/>
    <x v="54"/>
    <x v="1"/>
    <x v="0"/>
    <x v="88"/>
    <x v="89"/>
    <x v="0"/>
    <x v="89"/>
    <x v="4"/>
    <x v="17"/>
    <x v="0"/>
    <x v="0"/>
    <x v="3"/>
    <x v="1"/>
    <x v="1"/>
    <x v="0"/>
    <x v="40"/>
  </r>
  <r>
    <x v="90"/>
    <x v="37"/>
    <n v="4"/>
    <x v="2"/>
    <d v="2013-10-25T00:00:00"/>
    <x v="77"/>
    <x v="54"/>
    <x v="2"/>
    <x v="0"/>
    <x v="89"/>
    <x v="90"/>
    <x v="0"/>
    <x v="90"/>
    <x v="5"/>
    <x v="37"/>
    <x v="0"/>
    <x v="0"/>
    <x v="3"/>
    <x v="1"/>
    <x v="1"/>
    <x v="0"/>
    <x v="13"/>
  </r>
  <r>
    <x v="91"/>
    <x v="49"/>
    <n v="2"/>
    <x v="7"/>
    <d v="2013-10-28T00:00:00"/>
    <x v="78"/>
    <x v="55"/>
    <x v="3"/>
    <x v="2"/>
    <x v="90"/>
    <x v="91"/>
    <x v="0"/>
    <x v="91"/>
    <x v="2"/>
    <x v="49"/>
    <x v="2"/>
    <x v="0"/>
    <x v="3"/>
    <x v="1"/>
    <x v="1"/>
    <x v="0"/>
    <x v="33"/>
  </r>
  <r>
    <x v="92"/>
    <x v="48"/>
    <n v="1"/>
    <x v="5"/>
    <d v="2013-10-29T00:00:00"/>
    <x v="68"/>
    <x v="56"/>
    <x v="7"/>
    <x v="0"/>
    <x v="91"/>
    <x v="92"/>
    <x v="1"/>
    <x v="92"/>
    <x v="5"/>
    <x v="48"/>
    <x v="0"/>
    <x v="0"/>
    <x v="3"/>
    <x v="1"/>
    <x v="1"/>
    <x v="0"/>
    <x v="28"/>
  </r>
  <r>
    <x v="93"/>
    <x v="51"/>
    <n v="7"/>
    <x v="8"/>
    <d v="2013-10-29T00:00:00"/>
    <x v="68"/>
    <x v="57"/>
    <x v="3"/>
    <x v="0"/>
    <x v="92"/>
    <x v="93"/>
    <x v="0"/>
    <x v="93"/>
    <x v="20"/>
    <x v="51"/>
    <x v="0"/>
    <x v="0"/>
    <x v="3"/>
    <x v="1"/>
    <x v="1"/>
    <x v="0"/>
    <x v="17"/>
  </r>
  <r>
    <x v="94"/>
    <x v="17"/>
    <n v="4"/>
    <x v="2"/>
    <d v="2013-10-30T00:00:00"/>
    <x v="69"/>
    <x v="55"/>
    <x v="1"/>
    <x v="2"/>
    <x v="93"/>
    <x v="94"/>
    <x v="3"/>
    <x v="94"/>
    <x v="13"/>
    <x v="17"/>
    <x v="2"/>
    <x v="0"/>
    <x v="3"/>
    <x v="1"/>
    <x v="1"/>
    <x v="0"/>
    <x v="7"/>
  </r>
  <r>
    <x v="95"/>
    <x v="26"/>
    <n v="4"/>
    <x v="2"/>
    <d v="2013-10-31T00:00:00"/>
    <x v="71"/>
    <x v="58"/>
    <x v="5"/>
    <x v="1"/>
    <x v="94"/>
    <x v="95"/>
    <x v="0"/>
    <x v="95"/>
    <x v="8"/>
    <x v="26"/>
    <x v="1"/>
    <x v="0"/>
    <x v="3"/>
    <x v="1"/>
    <x v="1"/>
    <x v="0"/>
    <x v="41"/>
  </r>
  <r>
    <x v="96"/>
    <x v="19"/>
    <n v="4"/>
    <x v="2"/>
    <d v="2013-11-01T00:00:00"/>
    <x v="79"/>
    <x v="57"/>
    <x v="2"/>
    <x v="2"/>
    <x v="95"/>
    <x v="96"/>
    <x v="0"/>
    <x v="96"/>
    <x v="11"/>
    <x v="19"/>
    <x v="2"/>
    <x v="0"/>
    <x v="4"/>
    <x v="1"/>
    <x v="1"/>
    <x v="0"/>
    <x v="33"/>
  </r>
  <r>
    <x v="97"/>
    <x v="21"/>
    <n v="2"/>
    <x v="7"/>
    <d v="2013-11-04T00:00:00"/>
    <x v="80"/>
    <x v="59"/>
    <x v="3"/>
    <x v="2"/>
    <x v="96"/>
    <x v="97"/>
    <x v="0"/>
    <x v="97"/>
    <x v="24"/>
    <x v="21"/>
    <x v="2"/>
    <x v="0"/>
    <x v="4"/>
    <x v="1"/>
    <x v="1"/>
    <x v="0"/>
    <x v="42"/>
  </r>
  <r>
    <x v="98"/>
    <x v="13"/>
    <n v="3"/>
    <x v="3"/>
    <d v="2013-11-05T00:00:00"/>
    <x v="81"/>
    <x v="56"/>
    <x v="6"/>
    <x v="0"/>
    <x v="97"/>
    <x v="98"/>
    <x v="5"/>
    <x v="98"/>
    <x v="25"/>
    <x v="13"/>
    <x v="0"/>
    <x v="0"/>
    <x v="4"/>
    <x v="1"/>
    <x v="1"/>
    <x v="0"/>
    <x v="13"/>
  </r>
  <r>
    <x v="99"/>
    <x v="52"/>
    <n v="4"/>
    <x v="2"/>
    <d v="2013-11-06T00:00:00"/>
    <x v="82"/>
    <x v="56"/>
    <x v="4"/>
    <x v="0"/>
    <x v="98"/>
    <x v="99"/>
    <x v="0"/>
    <x v="99"/>
    <x v="2"/>
    <x v="52"/>
    <x v="0"/>
    <x v="0"/>
    <x v="4"/>
    <x v="1"/>
    <x v="1"/>
    <x v="0"/>
    <x v="34"/>
  </r>
  <r>
    <x v="100"/>
    <x v="35"/>
    <n v="4"/>
    <x v="2"/>
    <d v="2013-11-07T00:00:00"/>
    <x v="83"/>
    <x v="60"/>
    <x v="9"/>
    <x v="2"/>
    <x v="99"/>
    <x v="100"/>
    <x v="2"/>
    <x v="100"/>
    <x v="6"/>
    <x v="35"/>
    <x v="2"/>
    <x v="0"/>
    <x v="4"/>
    <x v="1"/>
    <x v="1"/>
    <x v="0"/>
    <x v="25"/>
  </r>
  <r>
    <x v="101"/>
    <x v="20"/>
    <n v="7"/>
    <x v="8"/>
    <d v="2013-11-08T00:00:00"/>
    <x v="84"/>
    <x v="60"/>
    <x v="3"/>
    <x v="1"/>
    <x v="100"/>
    <x v="101"/>
    <x v="0"/>
    <x v="101"/>
    <x v="13"/>
    <x v="20"/>
    <x v="1"/>
    <x v="0"/>
    <x v="4"/>
    <x v="1"/>
    <x v="1"/>
    <x v="0"/>
    <x v="26"/>
  </r>
  <r>
    <x v="102"/>
    <x v="53"/>
    <n v="6"/>
    <x v="1"/>
    <d v="2013-11-11T00:00:00"/>
    <x v="85"/>
    <x v="61"/>
    <x v="20"/>
    <x v="2"/>
    <x v="101"/>
    <x v="102"/>
    <x v="5"/>
    <x v="102"/>
    <x v="6"/>
    <x v="53"/>
    <x v="2"/>
    <x v="0"/>
    <x v="4"/>
    <x v="1"/>
    <x v="1"/>
    <x v="0"/>
    <x v="43"/>
  </r>
  <r>
    <x v="103"/>
    <x v="9"/>
    <n v="1"/>
    <x v="5"/>
    <d v="2013-11-11T00:00:00"/>
    <x v="85"/>
    <x v="62"/>
    <x v="12"/>
    <x v="1"/>
    <x v="102"/>
    <x v="103"/>
    <x v="1"/>
    <x v="103"/>
    <x v="5"/>
    <x v="9"/>
    <x v="1"/>
    <x v="0"/>
    <x v="4"/>
    <x v="1"/>
    <x v="1"/>
    <x v="0"/>
    <x v="44"/>
  </r>
  <r>
    <x v="104"/>
    <x v="47"/>
    <n v="3"/>
    <x v="3"/>
    <d v="2013-11-12T00:00:00"/>
    <x v="68"/>
    <x v="63"/>
    <x v="5"/>
    <x v="0"/>
    <x v="103"/>
    <x v="104"/>
    <x v="0"/>
    <x v="104"/>
    <x v="2"/>
    <x v="47"/>
    <x v="0"/>
    <x v="0"/>
    <x v="4"/>
    <x v="1"/>
    <x v="1"/>
    <x v="0"/>
    <x v="6"/>
  </r>
  <r>
    <x v="105"/>
    <x v="54"/>
    <n v="7"/>
    <x v="8"/>
    <d v="2013-11-13T00:00:00"/>
    <x v="86"/>
    <x v="64"/>
    <x v="0"/>
    <x v="0"/>
    <x v="104"/>
    <x v="105"/>
    <x v="3"/>
    <x v="105"/>
    <x v="0"/>
    <x v="54"/>
    <x v="0"/>
    <x v="0"/>
    <x v="4"/>
    <x v="1"/>
    <x v="1"/>
    <x v="0"/>
    <x v="3"/>
  </r>
  <r>
    <x v="106"/>
    <x v="43"/>
    <n v="8"/>
    <x v="6"/>
    <d v="2013-11-14T00:00:00"/>
    <x v="87"/>
    <x v="62"/>
    <x v="5"/>
    <x v="0"/>
    <x v="105"/>
    <x v="106"/>
    <x v="0"/>
    <x v="106"/>
    <x v="0"/>
    <x v="43"/>
    <x v="0"/>
    <x v="0"/>
    <x v="4"/>
    <x v="1"/>
    <x v="1"/>
    <x v="0"/>
    <x v="25"/>
  </r>
  <r>
    <x v="107"/>
    <x v="55"/>
    <n v="6"/>
    <x v="1"/>
    <d v="2013-11-15T00:00:00"/>
    <x v="88"/>
    <x v="62"/>
    <x v="1"/>
    <x v="1"/>
    <x v="106"/>
    <x v="107"/>
    <x v="0"/>
    <x v="107"/>
    <x v="7"/>
    <x v="55"/>
    <x v="1"/>
    <x v="0"/>
    <x v="4"/>
    <x v="1"/>
    <x v="1"/>
    <x v="0"/>
    <x v="6"/>
  </r>
  <r>
    <x v="108"/>
    <x v="35"/>
    <n v="6"/>
    <x v="1"/>
    <d v="2013-11-18T00:00:00"/>
    <x v="89"/>
    <x v="65"/>
    <x v="12"/>
    <x v="2"/>
    <x v="107"/>
    <x v="108"/>
    <x v="0"/>
    <x v="108"/>
    <x v="12"/>
    <x v="35"/>
    <x v="2"/>
    <x v="0"/>
    <x v="4"/>
    <x v="1"/>
    <x v="1"/>
    <x v="0"/>
    <x v="5"/>
  </r>
  <r>
    <x v="109"/>
    <x v="28"/>
    <n v="1"/>
    <x v="5"/>
    <d v="2013-11-19T00:00:00"/>
    <x v="81"/>
    <x v="66"/>
    <x v="15"/>
    <x v="0"/>
    <x v="108"/>
    <x v="109"/>
    <x v="3"/>
    <x v="109"/>
    <x v="12"/>
    <x v="28"/>
    <x v="0"/>
    <x v="0"/>
    <x v="4"/>
    <x v="1"/>
    <x v="1"/>
    <x v="0"/>
    <x v="18"/>
  </r>
  <r>
    <x v="110"/>
    <x v="53"/>
    <n v="5"/>
    <x v="0"/>
    <d v="2013-11-20T00:00:00"/>
    <x v="90"/>
    <x v="65"/>
    <x v="3"/>
    <x v="1"/>
    <x v="109"/>
    <x v="110"/>
    <x v="1"/>
    <x v="110"/>
    <x v="2"/>
    <x v="53"/>
    <x v="1"/>
    <x v="0"/>
    <x v="4"/>
    <x v="1"/>
    <x v="1"/>
    <x v="0"/>
    <x v="6"/>
  </r>
  <r>
    <x v="111"/>
    <x v="56"/>
    <n v="5"/>
    <x v="0"/>
    <d v="2013-11-21T00:00:00"/>
    <x v="91"/>
    <x v="67"/>
    <x v="1"/>
    <x v="0"/>
    <x v="110"/>
    <x v="111"/>
    <x v="1"/>
    <x v="111"/>
    <x v="26"/>
    <x v="56"/>
    <x v="0"/>
    <x v="0"/>
    <x v="4"/>
    <x v="1"/>
    <x v="1"/>
    <x v="0"/>
    <x v="12"/>
  </r>
  <r>
    <x v="112"/>
    <x v="15"/>
    <n v="4"/>
    <x v="2"/>
    <d v="2013-11-22T00:00:00"/>
    <x v="92"/>
    <x v="66"/>
    <x v="7"/>
    <x v="0"/>
    <x v="111"/>
    <x v="112"/>
    <x v="0"/>
    <x v="112"/>
    <x v="12"/>
    <x v="15"/>
    <x v="0"/>
    <x v="0"/>
    <x v="4"/>
    <x v="1"/>
    <x v="1"/>
    <x v="0"/>
    <x v="20"/>
  </r>
  <r>
    <x v="113"/>
    <x v="21"/>
    <n v="1"/>
    <x v="5"/>
    <d v="2013-11-22T00:00:00"/>
    <x v="92"/>
    <x v="61"/>
    <x v="8"/>
    <x v="2"/>
    <x v="112"/>
    <x v="113"/>
    <x v="5"/>
    <x v="113"/>
    <x v="27"/>
    <x v="21"/>
    <x v="2"/>
    <x v="0"/>
    <x v="4"/>
    <x v="1"/>
    <x v="1"/>
    <x v="0"/>
    <x v="25"/>
  </r>
  <r>
    <x v="114"/>
    <x v="48"/>
    <n v="3"/>
    <x v="3"/>
    <d v="2013-11-25T00:00:00"/>
    <x v="93"/>
    <x v="68"/>
    <x v="6"/>
    <x v="1"/>
    <x v="113"/>
    <x v="114"/>
    <x v="0"/>
    <x v="114"/>
    <x v="8"/>
    <x v="48"/>
    <x v="1"/>
    <x v="0"/>
    <x v="4"/>
    <x v="1"/>
    <x v="1"/>
    <x v="0"/>
    <x v="34"/>
  </r>
  <r>
    <x v="115"/>
    <x v="57"/>
    <n v="4"/>
    <x v="2"/>
    <d v="2013-11-26T00:00:00"/>
    <x v="94"/>
    <x v="69"/>
    <x v="9"/>
    <x v="0"/>
    <x v="114"/>
    <x v="115"/>
    <x v="0"/>
    <x v="115"/>
    <x v="5"/>
    <x v="57"/>
    <x v="0"/>
    <x v="0"/>
    <x v="4"/>
    <x v="1"/>
    <x v="1"/>
    <x v="0"/>
    <x v="5"/>
  </r>
  <r>
    <x v="116"/>
    <x v="58"/>
    <n v="1"/>
    <x v="5"/>
    <d v="2013-11-26T00:00:00"/>
    <x v="95"/>
    <x v="69"/>
    <x v="9"/>
    <x v="1"/>
    <x v="115"/>
    <x v="116"/>
    <x v="0"/>
    <x v="116"/>
    <x v="12"/>
    <x v="58"/>
    <x v="1"/>
    <x v="0"/>
    <x v="4"/>
    <x v="1"/>
    <x v="1"/>
    <x v="0"/>
    <x v="32"/>
  </r>
  <r>
    <x v="117"/>
    <x v="59"/>
    <n v="3"/>
    <x v="3"/>
    <d v="2013-11-27T00:00:00"/>
    <x v="96"/>
    <x v="66"/>
    <x v="1"/>
    <x v="2"/>
    <x v="116"/>
    <x v="117"/>
    <x v="0"/>
    <x v="117"/>
    <x v="13"/>
    <x v="59"/>
    <x v="2"/>
    <x v="0"/>
    <x v="4"/>
    <x v="1"/>
    <x v="1"/>
    <x v="0"/>
    <x v="3"/>
  </r>
  <r>
    <x v="118"/>
    <x v="60"/>
    <n v="8"/>
    <x v="6"/>
    <d v="2013-11-28T00:00:00"/>
    <x v="97"/>
    <x v="70"/>
    <x v="21"/>
    <x v="2"/>
    <x v="117"/>
    <x v="118"/>
    <x v="0"/>
    <x v="118"/>
    <x v="21"/>
    <x v="60"/>
    <x v="2"/>
    <x v="0"/>
    <x v="4"/>
    <x v="1"/>
    <x v="1"/>
    <x v="0"/>
    <x v="3"/>
  </r>
  <r>
    <x v="119"/>
    <x v="61"/>
    <n v="7"/>
    <x v="8"/>
    <d v="2013-11-28T00:00:00"/>
    <x v="98"/>
    <x v="66"/>
    <x v="2"/>
    <x v="0"/>
    <x v="118"/>
    <x v="119"/>
    <x v="0"/>
    <x v="119"/>
    <x v="25"/>
    <x v="61"/>
    <x v="0"/>
    <x v="0"/>
    <x v="4"/>
    <x v="1"/>
    <x v="1"/>
    <x v="0"/>
    <x v="34"/>
  </r>
  <r>
    <x v="120"/>
    <x v="9"/>
    <n v="2"/>
    <x v="7"/>
    <d v="2013-11-29T00:00:00"/>
    <x v="99"/>
    <x v="66"/>
    <x v="6"/>
    <x v="2"/>
    <x v="119"/>
    <x v="120"/>
    <x v="5"/>
    <x v="120"/>
    <x v="21"/>
    <x v="9"/>
    <x v="2"/>
    <x v="0"/>
    <x v="4"/>
    <x v="1"/>
    <x v="1"/>
    <x v="0"/>
    <x v="10"/>
  </r>
  <r>
    <x v="121"/>
    <x v="20"/>
    <n v="8"/>
    <x v="6"/>
    <d v="2013-12-02T00:00:00"/>
    <x v="100"/>
    <x v="71"/>
    <x v="3"/>
    <x v="2"/>
    <x v="120"/>
    <x v="121"/>
    <x v="0"/>
    <x v="121"/>
    <x v="5"/>
    <x v="20"/>
    <x v="2"/>
    <x v="0"/>
    <x v="5"/>
    <x v="1"/>
    <x v="1"/>
    <x v="0"/>
    <x v="16"/>
  </r>
  <r>
    <x v="122"/>
    <x v="5"/>
    <n v="6"/>
    <x v="1"/>
    <d v="2013-12-03T00:00:00"/>
    <x v="101"/>
    <x v="72"/>
    <x v="22"/>
    <x v="2"/>
    <x v="121"/>
    <x v="122"/>
    <x v="2"/>
    <x v="122"/>
    <x v="6"/>
    <x v="5"/>
    <x v="2"/>
    <x v="0"/>
    <x v="5"/>
    <x v="1"/>
    <x v="1"/>
    <x v="0"/>
    <x v="25"/>
  </r>
  <r>
    <x v="123"/>
    <x v="53"/>
    <n v="1"/>
    <x v="5"/>
    <d v="2013-12-03T00:00:00"/>
    <x v="101"/>
    <x v="73"/>
    <x v="23"/>
    <x v="1"/>
    <x v="122"/>
    <x v="123"/>
    <x v="3"/>
    <x v="123"/>
    <x v="3"/>
    <x v="53"/>
    <x v="1"/>
    <x v="0"/>
    <x v="5"/>
    <x v="1"/>
    <x v="1"/>
    <x v="0"/>
    <x v="7"/>
  </r>
  <r>
    <x v="124"/>
    <x v="62"/>
    <n v="5"/>
    <x v="0"/>
    <d v="2013-12-04T00:00:00"/>
    <x v="102"/>
    <x v="71"/>
    <x v="1"/>
    <x v="2"/>
    <x v="123"/>
    <x v="124"/>
    <x v="4"/>
    <x v="124"/>
    <x v="0"/>
    <x v="62"/>
    <x v="2"/>
    <x v="0"/>
    <x v="5"/>
    <x v="1"/>
    <x v="1"/>
    <x v="0"/>
    <x v="4"/>
  </r>
  <r>
    <x v="125"/>
    <x v="34"/>
    <n v="4"/>
    <x v="2"/>
    <d v="2013-12-05T00:00:00"/>
    <x v="103"/>
    <x v="74"/>
    <x v="5"/>
    <x v="0"/>
    <x v="124"/>
    <x v="125"/>
    <x v="3"/>
    <x v="125"/>
    <x v="28"/>
    <x v="34"/>
    <x v="0"/>
    <x v="0"/>
    <x v="5"/>
    <x v="1"/>
    <x v="1"/>
    <x v="0"/>
    <x v="45"/>
  </r>
  <r>
    <x v="126"/>
    <x v="63"/>
    <n v="1"/>
    <x v="5"/>
    <d v="2013-12-05T00:00:00"/>
    <x v="103"/>
    <x v="71"/>
    <x v="2"/>
    <x v="0"/>
    <x v="125"/>
    <x v="126"/>
    <x v="0"/>
    <x v="126"/>
    <x v="12"/>
    <x v="63"/>
    <x v="0"/>
    <x v="0"/>
    <x v="5"/>
    <x v="1"/>
    <x v="1"/>
    <x v="0"/>
    <x v="5"/>
  </r>
  <r>
    <x v="127"/>
    <x v="64"/>
    <n v="3"/>
    <x v="3"/>
    <d v="2013-12-06T00:00:00"/>
    <x v="104"/>
    <x v="71"/>
    <x v="6"/>
    <x v="2"/>
    <x v="126"/>
    <x v="127"/>
    <x v="0"/>
    <x v="127"/>
    <x v="6"/>
    <x v="64"/>
    <x v="2"/>
    <x v="0"/>
    <x v="5"/>
    <x v="1"/>
    <x v="1"/>
    <x v="0"/>
    <x v="1"/>
  </r>
  <r>
    <x v="128"/>
    <x v="49"/>
    <n v="1"/>
    <x v="5"/>
    <d v="2013-12-09T00:00:00"/>
    <x v="105"/>
    <x v="75"/>
    <x v="2"/>
    <x v="2"/>
    <x v="127"/>
    <x v="128"/>
    <x v="1"/>
    <x v="128"/>
    <x v="29"/>
    <x v="49"/>
    <x v="2"/>
    <x v="0"/>
    <x v="5"/>
    <x v="1"/>
    <x v="1"/>
    <x v="0"/>
    <x v="5"/>
  </r>
  <r>
    <x v="129"/>
    <x v="56"/>
    <n v="1"/>
    <x v="5"/>
    <d v="2013-12-09T00:00:00"/>
    <x v="105"/>
    <x v="75"/>
    <x v="2"/>
    <x v="0"/>
    <x v="128"/>
    <x v="129"/>
    <x v="2"/>
    <x v="129"/>
    <x v="5"/>
    <x v="56"/>
    <x v="0"/>
    <x v="0"/>
    <x v="5"/>
    <x v="1"/>
    <x v="1"/>
    <x v="0"/>
    <x v="20"/>
  </r>
  <r>
    <x v="130"/>
    <x v="14"/>
    <n v="5"/>
    <x v="0"/>
    <d v="2013-12-10T00:00:00"/>
    <x v="95"/>
    <x v="76"/>
    <x v="12"/>
    <x v="0"/>
    <x v="129"/>
    <x v="130"/>
    <x v="0"/>
    <x v="130"/>
    <x v="3"/>
    <x v="14"/>
    <x v="0"/>
    <x v="0"/>
    <x v="5"/>
    <x v="1"/>
    <x v="1"/>
    <x v="0"/>
    <x v="19"/>
  </r>
  <r>
    <x v="131"/>
    <x v="12"/>
    <n v="2"/>
    <x v="7"/>
    <d v="2013-12-11T00:00:00"/>
    <x v="106"/>
    <x v="75"/>
    <x v="4"/>
    <x v="1"/>
    <x v="130"/>
    <x v="131"/>
    <x v="5"/>
    <x v="131"/>
    <x v="20"/>
    <x v="12"/>
    <x v="1"/>
    <x v="0"/>
    <x v="5"/>
    <x v="1"/>
    <x v="1"/>
    <x v="0"/>
    <x v="2"/>
  </r>
  <r>
    <x v="132"/>
    <x v="34"/>
    <n v="8"/>
    <x v="6"/>
    <d v="2013-12-12T00:00:00"/>
    <x v="97"/>
    <x v="77"/>
    <x v="24"/>
    <x v="0"/>
    <x v="131"/>
    <x v="132"/>
    <x v="5"/>
    <x v="132"/>
    <x v="17"/>
    <x v="34"/>
    <x v="0"/>
    <x v="0"/>
    <x v="5"/>
    <x v="1"/>
    <x v="1"/>
    <x v="0"/>
    <x v="23"/>
  </r>
  <r>
    <x v="133"/>
    <x v="28"/>
    <n v="3"/>
    <x v="3"/>
    <d v="2013-12-12T00:00:00"/>
    <x v="97"/>
    <x v="75"/>
    <x v="13"/>
    <x v="0"/>
    <x v="132"/>
    <x v="74"/>
    <x v="0"/>
    <x v="133"/>
    <x v="19"/>
    <x v="28"/>
    <x v="0"/>
    <x v="0"/>
    <x v="5"/>
    <x v="1"/>
    <x v="1"/>
    <x v="0"/>
    <x v="10"/>
  </r>
  <r>
    <x v="134"/>
    <x v="9"/>
    <n v="4"/>
    <x v="2"/>
    <d v="2013-12-13T00:00:00"/>
    <x v="107"/>
    <x v="78"/>
    <x v="6"/>
    <x v="1"/>
    <x v="133"/>
    <x v="133"/>
    <x v="0"/>
    <x v="134"/>
    <x v="30"/>
    <x v="9"/>
    <x v="1"/>
    <x v="0"/>
    <x v="5"/>
    <x v="1"/>
    <x v="1"/>
    <x v="0"/>
    <x v="11"/>
  </r>
  <r>
    <x v="135"/>
    <x v="55"/>
    <n v="8"/>
    <x v="6"/>
    <d v="2013-12-16T00:00:00"/>
    <x v="108"/>
    <x v="79"/>
    <x v="4"/>
    <x v="0"/>
    <x v="134"/>
    <x v="134"/>
    <x v="0"/>
    <x v="135"/>
    <x v="5"/>
    <x v="55"/>
    <x v="0"/>
    <x v="0"/>
    <x v="5"/>
    <x v="1"/>
    <x v="1"/>
    <x v="0"/>
    <x v="27"/>
  </r>
  <r>
    <x v="136"/>
    <x v="25"/>
    <n v="3"/>
    <x v="3"/>
    <d v="2013-12-16T00:00:00"/>
    <x v="108"/>
    <x v="80"/>
    <x v="2"/>
    <x v="0"/>
    <x v="135"/>
    <x v="135"/>
    <x v="0"/>
    <x v="136"/>
    <x v="31"/>
    <x v="25"/>
    <x v="0"/>
    <x v="0"/>
    <x v="5"/>
    <x v="1"/>
    <x v="1"/>
    <x v="0"/>
    <x v="4"/>
  </r>
  <r>
    <x v="137"/>
    <x v="20"/>
    <n v="1"/>
    <x v="5"/>
    <d v="2013-12-17T00:00:00"/>
    <x v="109"/>
    <x v="81"/>
    <x v="5"/>
    <x v="2"/>
    <x v="136"/>
    <x v="136"/>
    <x v="3"/>
    <x v="137"/>
    <x v="2"/>
    <x v="20"/>
    <x v="2"/>
    <x v="0"/>
    <x v="5"/>
    <x v="1"/>
    <x v="1"/>
    <x v="0"/>
    <x v="46"/>
  </r>
  <r>
    <x v="138"/>
    <x v="52"/>
    <n v="9"/>
    <x v="4"/>
    <d v="2013-12-18T00:00:00"/>
    <x v="102"/>
    <x v="82"/>
    <x v="3"/>
    <x v="0"/>
    <x v="137"/>
    <x v="137"/>
    <x v="0"/>
    <x v="138"/>
    <x v="6"/>
    <x v="52"/>
    <x v="0"/>
    <x v="0"/>
    <x v="5"/>
    <x v="1"/>
    <x v="1"/>
    <x v="0"/>
    <x v="6"/>
  </r>
  <r>
    <x v="139"/>
    <x v="65"/>
    <n v="1"/>
    <x v="5"/>
    <d v="2013-12-18T00:00:00"/>
    <x v="110"/>
    <x v="80"/>
    <x v="4"/>
    <x v="2"/>
    <x v="138"/>
    <x v="138"/>
    <x v="0"/>
    <x v="139"/>
    <x v="6"/>
    <x v="65"/>
    <x v="2"/>
    <x v="0"/>
    <x v="5"/>
    <x v="1"/>
    <x v="1"/>
    <x v="0"/>
    <x v="6"/>
  </r>
  <r>
    <x v="140"/>
    <x v="56"/>
    <n v="2"/>
    <x v="7"/>
    <d v="2013-12-19T00:00:00"/>
    <x v="111"/>
    <x v="80"/>
    <x v="13"/>
    <x v="1"/>
    <x v="139"/>
    <x v="139"/>
    <x v="3"/>
    <x v="140"/>
    <x v="6"/>
    <x v="56"/>
    <x v="1"/>
    <x v="0"/>
    <x v="5"/>
    <x v="1"/>
    <x v="1"/>
    <x v="0"/>
    <x v="47"/>
  </r>
  <r>
    <x v="141"/>
    <x v="66"/>
    <n v="4"/>
    <x v="2"/>
    <d v="2013-12-20T00:00:00"/>
    <x v="112"/>
    <x v="73"/>
    <x v="2"/>
    <x v="2"/>
    <x v="140"/>
    <x v="140"/>
    <x v="0"/>
    <x v="141"/>
    <x v="9"/>
    <x v="66"/>
    <x v="2"/>
    <x v="0"/>
    <x v="5"/>
    <x v="1"/>
    <x v="1"/>
    <x v="0"/>
    <x v="18"/>
  </r>
  <r>
    <x v="142"/>
    <x v="9"/>
    <n v="6"/>
    <x v="1"/>
    <d v="2013-12-23T00:00:00"/>
    <x v="113"/>
    <x v="83"/>
    <x v="6"/>
    <x v="1"/>
    <x v="141"/>
    <x v="141"/>
    <x v="5"/>
    <x v="142"/>
    <x v="10"/>
    <x v="9"/>
    <x v="1"/>
    <x v="0"/>
    <x v="5"/>
    <x v="1"/>
    <x v="1"/>
    <x v="0"/>
    <x v="5"/>
  </r>
  <r>
    <x v="143"/>
    <x v="57"/>
    <n v="3"/>
    <x v="3"/>
    <d v="2013-12-23T00:00:00"/>
    <x v="113"/>
    <x v="84"/>
    <x v="9"/>
    <x v="0"/>
    <x v="142"/>
    <x v="142"/>
    <x v="0"/>
    <x v="143"/>
    <x v="17"/>
    <x v="57"/>
    <x v="0"/>
    <x v="0"/>
    <x v="5"/>
    <x v="1"/>
    <x v="1"/>
    <x v="0"/>
    <x v="27"/>
  </r>
  <r>
    <x v="144"/>
    <x v="54"/>
    <n v="2"/>
    <x v="7"/>
    <d v="2013-12-24T00:00:00"/>
    <x v="114"/>
    <x v="85"/>
    <x v="9"/>
    <x v="0"/>
    <x v="143"/>
    <x v="143"/>
    <x v="0"/>
    <x v="144"/>
    <x v="8"/>
    <x v="54"/>
    <x v="0"/>
    <x v="0"/>
    <x v="5"/>
    <x v="1"/>
    <x v="1"/>
    <x v="0"/>
    <x v="32"/>
  </r>
  <r>
    <x v="145"/>
    <x v="45"/>
    <n v="1"/>
    <x v="5"/>
    <d v="2013-12-25T00:00:00"/>
    <x v="115"/>
    <x v="86"/>
    <x v="12"/>
    <x v="0"/>
    <x v="144"/>
    <x v="144"/>
    <x v="4"/>
    <x v="145"/>
    <x v="7"/>
    <x v="45"/>
    <x v="0"/>
    <x v="0"/>
    <x v="5"/>
    <x v="1"/>
    <x v="1"/>
    <x v="0"/>
    <x v="7"/>
  </r>
  <r>
    <x v="146"/>
    <x v="64"/>
    <n v="1"/>
    <x v="5"/>
    <d v="2013-12-25T00:00:00"/>
    <x v="115"/>
    <x v="86"/>
    <x v="12"/>
    <x v="0"/>
    <x v="145"/>
    <x v="145"/>
    <x v="0"/>
    <x v="146"/>
    <x v="2"/>
    <x v="64"/>
    <x v="0"/>
    <x v="0"/>
    <x v="5"/>
    <x v="1"/>
    <x v="1"/>
    <x v="0"/>
    <x v="27"/>
  </r>
  <r>
    <x v="147"/>
    <x v="8"/>
    <n v="6"/>
    <x v="1"/>
    <d v="2013-12-26T00:00:00"/>
    <x v="116"/>
    <x v="86"/>
    <x v="9"/>
    <x v="1"/>
    <x v="146"/>
    <x v="146"/>
    <x v="5"/>
    <x v="147"/>
    <x v="31"/>
    <x v="8"/>
    <x v="1"/>
    <x v="0"/>
    <x v="5"/>
    <x v="1"/>
    <x v="1"/>
    <x v="0"/>
    <x v="48"/>
  </r>
  <r>
    <x v="148"/>
    <x v="17"/>
    <n v="1"/>
    <x v="5"/>
    <d v="2013-12-27T00:00:00"/>
    <x v="107"/>
    <x v="87"/>
    <x v="7"/>
    <x v="0"/>
    <x v="147"/>
    <x v="147"/>
    <x v="0"/>
    <x v="148"/>
    <x v="4"/>
    <x v="17"/>
    <x v="0"/>
    <x v="0"/>
    <x v="5"/>
    <x v="1"/>
    <x v="1"/>
    <x v="0"/>
    <x v="40"/>
  </r>
  <r>
    <x v="149"/>
    <x v="50"/>
    <n v="5"/>
    <x v="0"/>
    <d v="2013-12-27T00:00:00"/>
    <x v="117"/>
    <x v="88"/>
    <x v="5"/>
    <x v="1"/>
    <x v="148"/>
    <x v="148"/>
    <x v="2"/>
    <x v="149"/>
    <x v="2"/>
    <x v="50"/>
    <x v="1"/>
    <x v="0"/>
    <x v="5"/>
    <x v="1"/>
    <x v="1"/>
    <x v="0"/>
    <x v="10"/>
  </r>
  <r>
    <x v="150"/>
    <x v="45"/>
    <n v="2"/>
    <x v="7"/>
    <d v="2013-12-30T00:00:00"/>
    <x v="118"/>
    <x v="89"/>
    <x v="7"/>
    <x v="0"/>
    <x v="149"/>
    <x v="149"/>
    <x v="0"/>
    <x v="150"/>
    <x v="12"/>
    <x v="45"/>
    <x v="0"/>
    <x v="0"/>
    <x v="5"/>
    <x v="1"/>
    <x v="1"/>
    <x v="0"/>
    <x v="25"/>
  </r>
  <r>
    <x v="151"/>
    <x v="61"/>
    <n v="8"/>
    <x v="6"/>
    <d v="2013-12-31T00:00:00"/>
    <x v="109"/>
    <x v="90"/>
    <x v="9"/>
    <x v="0"/>
    <x v="150"/>
    <x v="150"/>
    <x v="0"/>
    <x v="151"/>
    <x v="10"/>
    <x v="61"/>
    <x v="0"/>
    <x v="0"/>
    <x v="5"/>
    <x v="1"/>
    <x v="1"/>
    <x v="0"/>
    <x v="5"/>
  </r>
  <r>
    <x v="152"/>
    <x v="58"/>
    <n v="1"/>
    <x v="5"/>
    <d v="2014-01-01T00:00:00"/>
    <x v="119"/>
    <x v="77"/>
    <x v="18"/>
    <x v="0"/>
    <x v="151"/>
    <x v="151"/>
    <x v="0"/>
    <x v="152"/>
    <x v="22"/>
    <x v="58"/>
    <x v="0"/>
    <x v="1"/>
    <x v="6"/>
    <x v="2"/>
    <x v="2"/>
    <x v="0"/>
    <x v="16"/>
  </r>
  <r>
    <x v="153"/>
    <x v="13"/>
    <n v="1"/>
    <x v="5"/>
    <d v="2014-01-01T00:00:00"/>
    <x v="119"/>
    <x v="91"/>
    <x v="12"/>
    <x v="1"/>
    <x v="152"/>
    <x v="152"/>
    <x v="0"/>
    <x v="153"/>
    <x v="17"/>
    <x v="13"/>
    <x v="1"/>
    <x v="1"/>
    <x v="6"/>
    <x v="2"/>
    <x v="2"/>
    <x v="0"/>
    <x v="23"/>
  </r>
  <r>
    <x v="154"/>
    <x v="9"/>
    <n v="8"/>
    <x v="6"/>
    <d v="2014-01-02T00:00:00"/>
    <x v="120"/>
    <x v="91"/>
    <x v="9"/>
    <x v="2"/>
    <x v="153"/>
    <x v="153"/>
    <x v="0"/>
    <x v="154"/>
    <x v="10"/>
    <x v="9"/>
    <x v="2"/>
    <x v="1"/>
    <x v="6"/>
    <x v="2"/>
    <x v="2"/>
    <x v="0"/>
    <x v="40"/>
  </r>
  <r>
    <x v="155"/>
    <x v="9"/>
    <n v="4"/>
    <x v="2"/>
    <d v="2014-01-03T00:00:00"/>
    <x v="121"/>
    <x v="89"/>
    <x v="5"/>
    <x v="0"/>
    <x v="154"/>
    <x v="154"/>
    <x v="2"/>
    <x v="155"/>
    <x v="22"/>
    <x v="9"/>
    <x v="0"/>
    <x v="1"/>
    <x v="6"/>
    <x v="2"/>
    <x v="2"/>
    <x v="0"/>
    <x v="12"/>
  </r>
  <r>
    <x v="156"/>
    <x v="22"/>
    <n v="2"/>
    <x v="7"/>
    <d v="2014-01-03T00:00:00"/>
    <x v="121"/>
    <x v="90"/>
    <x v="1"/>
    <x v="1"/>
    <x v="155"/>
    <x v="155"/>
    <x v="1"/>
    <x v="156"/>
    <x v="12"/>
    <x v="22"/>
    <x v="1"/>
    <x v="1"/>
    <x v="6"/>
    <x v="2"/>
    <x v="2"/>
    <x v="0"/>
    <x v="39"/>
  </r>
  <r>
    <x v="157"/>
    <x v="67"/>
    <n v="1"/>
    <x v="5"/>
    <d v="2014-01-06T00:00:00"/>
    <x v="122"/>
    <x v="92"/>
    <x v="25"/>
    <x v="1"/>
    <x v="156"/>
    <x v="156"/>
    <x v="0"/>
    <x v="157"/>
    <x v="8"/>
    <x v="67"/>
    <x v="1"/>
    <x v="1"/>
    <x v="6"/>
    <x v="2"/>
    <x v="2"/>
    <x v="0"/>
    <x v="10"/>
  </r>
  <r>
    <x v="158"/>
    <x v="62"/>
    <n v="7"/>
    <x v="8"/>
    <d v="2014-01-07T00:00:00"/>
    <x v="123"/>
    <x v="93"/>
    <x v="5"/>
    <x v="1"/>
    <x v="157"/>
    <x v="157"/>
    <x v="0"/>
    <x v="158"/>
    <x v="2"/>
    <x v="62"/>
    <x v="1"/>
    <x v="1"/>
    <x v="6"/>
    <x v="2"/>
    <x v="2"/>
    <x v="0"/>
    <x v="25"/>
  </r>
  <r>
    <x v="159"/>
    <x v="11"/>
    <n v="2"/>
    <x v="7"/>
    <d v="2014-01-07T00:00:00"/>
    <x v="124"/>
    <x v="94"/>
    <x v="26"/>
    <x v="2"/>
    <x v="158"/>
    <x v="158"/>
    <x v="0"/>
    <x v="159"/>
    <x v="12"/>
    <x v="11"/>
    <x v="2"/>
    <x v="1"/>
    <x v="6"/>
    <x v="2"/>
    <x v="2"/>
    <x v="0"/>
    <x v="3"/>
  </r>
  <r>
    <x v="160"/>
    <x v="68"/>
    <n v="8"/>
    <x v="6"/>
    <d v="2014-01-08T00:00:00"/>
    <x v="125"/>
    <x v="95"/>
    <x v="5"/>
    <x v="1"/>
    <x v="159"/>
    <x v="159"/>
    <x v="0"/>
    <x v="160"/>
    <x v="2"/>
    <x v="68"/>
    <x v="1"/>
    <x v="1"/>
    <x v="6"/>
    <x v="2"/>
    <x v="2"/>
    <x v="0"/>
    <x v="49"/>
  </r>
  <r>
    <x v="161"/>
    <x v="69"/>
    <n v="3"/>
    <x v="3"/>
    <d v="2014-01-09T00:00:00"/>
    <x v="126"/>
    <x v="95"/>
    <x v="1"/>
    <x v="1"/>
    <x v="160"/>
    <x v="160"/>
    <x v="0"/>
    <x v="161"/>
    <x v="0"/>
    <x v="69"/>
    <x v="1"/>
    <x v="1"/>
    <x v="6"/>
    <x v="2"/>
    <x v="2"/>
    <x v="0"/>
    <x v="1"/>
  </r>
  <r>
    <x v="162"/>
    <x v="66"/>
    <n v="3"/>
    <x v="3"/>
    <d v="2014-01-10T00:00:00"/>
    <x v="127"/>
    <x v="96"/>
    <x v="1"/>
    <x v="0"/>
    <x v="161"/>
    <x v="161"/>
    <x v="0"/>
    <x v="162"/>
    <x v="32"/>
    <x v="66"/>
    <x v="0"/>
    <x v="1"/>
    <x v="6"/>
    <x v="2"/>
    <x v="2"/>
    <x v="0"/>
    <x v="17"/>
  </r>
  <r>
    <x v="163"/>
    <x v="66"/>
    <n v="9"/>
    <x v="4"/>
    <d v="2014-01-10T00:00:00"/>
    <x v="127"/>
    <x v="97"/>
    <x v="8"/>
    <x v="0"/>
    <x v="162"/>
    <x v="162"/>
    <x v="3"/>
    <x v="163"/>
    <x v="7"/>
    <x v="66"/>
    <x v="0"/>
    <x v="1"/>
    <x v="6"/>
    <x v="2"/>
    <x v="2"/>
    <x v="0"/>
    <x v="2"/>
  </r>
  <r>
    <x v="164"/>
    <x v="16"/>
    <n v="8"/>
    <x v="6"/>
    <d v="2014-01-13T00:00:00"/>
    <x v="128"/>
    <x v="96"/>
    <x v="4"/>
    <x v="2"/>
    <x v="163"/>
    <x v="163"/>
    <x v="5"/>
    <x v="164"/>
    <x v="5"/>
    <x v="16"/>
    <x v="2"/>
    <x v="1"/>
    <x v="6"/>
    <x v="2"/>
    <x v="2"/>
    <x v="0"/>
    <x v="1"/>
  </r>
  <r>
    <x v="165"/>
    <x v="53"/>
    <n v="3"/>
    <x v="3"/>
    <d v="2014-01-14T00:00:00"/>
    <x v="129"/>
    <x v="77"/>
    <x v="4"/>
    <x v="2"/>
    <x v="164"/>
    <x v="164"/>
    <x v="0"/>
    <x v="165"/>
    <x v="13"/>
    <x v="53"/>
    <x v="2"/>
    <x v="1"/>
    <x v="6"/>
    <x v="2"/>
    <x v="2"/>
    <x v="0"/>
    <x v="25"/>
  </r>
  <r>
    <x v="166"/>
    <x v="52"/>
    <n v="2"/>
    <x v="7"/>
    <d v="2014-01-14T00:00:00"/>
    <x v="129"/>
    <x v="98"/>
    <x v="6"/>
    <x v="0"/>
    <x v="165"/>
    <x v="165"/>
    <x v="1"/>
    <x v="166"/>
    <x v="17"/>
    <x v="52"/>
    <x v="0"/>
    <x v="1"/>
    <x v="6"/>
    <x v="2"/>
    <x v="2"/>
    <x v="0"/>
    <x v="22"/>
  </r>
  <r>
    <x v="167"/>
    <x v="64"/>
    <n v="3"/>
    <x v="3"/>
    <d v="2014-01-15T00:00:00"/>
    <x v="130"/>
    <x v="99"/>
    <x v="12"/>
    <x v="1"/>
    <x v="166"/>
    <x v="166"/>
    <x v="0"/>
    <x v="167"/>
    <x v="33"/>
    <x v="64"/>
    <x v="1"/>
    <x v="1"/>
    <x v="6"/>
    <x v="2"/>
    <x v="2"/>
    <x v="0"/>
    <x v="13"/>
  </r>
  <r>
    <x v="168"/>
    <x v="16"/>
    <n v="8"/>
    <x v="6"/>
    <d v="2014-01-16T00:00:00"/>
    <x v="120"/>
    <x v="100"/>
    <x v="8"/>
    <x v="0"/>
    <x v="167"/>
    <x v="167"/>
    <x v="0"/>
    <x v="168"/>
    <x v="5"/>
    <x v="16"/>
    <x v="0"/>
    <x v="1"/>
    <x v="6"/>
    <x v="2"/>
    <x v="2"/>
    <x v="0"/>
    <x v="22"/>
  </r>
  <r>
    <x v="169"/>
    <x v="51"/>
    <n v="4"/>
    <x v="2"/>
    <d v="2014-01-16T00:00:00"/>
    <x v="120"/>
    <x v="101"/>
    <x v="0"/>
    <x v="0"/>
    <x v="168"/>
    <x v="168"/>
    <x v="0"/>
    <x v="169"/>
    <x v="8"/>
    <x v="51"/>
    <x v="0"/>
    <x v="1"/>
    <x v="6"/>
    <x v="2"/>
    <x v="2"/>
    <x v="0"/>
    <x v="44"/>
  </r>
  <r>
    <x v="170"/>
    <x v="21"/>
    <n v="4"/>
    <x v="2"/>
    <d v="2014-01-17T00:00:00"/>
    <x v="131"/>
    <x v="99"/>
    <x v="3"/>
    <x v="1"/>
    <x v="169"/>
    <x v="169"/>
    <x v="0"/>
    <x v="170"/>
    <x v="10"/>
    <x v="21"/>
    <x v="1"/>
    <x v="1"/>
    <x v="6"/>
    <x v="2"/>
    <x v="2"/>
    <x v="0"/>
    <x v="7"/>
  </r>
  <r>
    <x v="171"/>
    <x v="6"/>
    <n v="4"/>
    <x v="2"/>
    <d v="2014-01-20T00:00:00"/>
    <x v="132"/>
    <x v="94"/>
    <x v="7"/>
    <x v="2"/>
    <x v="170"/>
    <x v="170"/>
    <x v="1"/>
    <x v="171"/>
    <x v="10"/>
    <x v="6"/>
    <x v="2"/>
    <x v="1"/>
    <x v="6"/>
    <x v="2"/>
    <x v="2"/>
    <x v="0"/>
    <x v="50"/>
  </r>
  <r>
    <x v="172"/>
    <x v="7"/>
    <n v="3"/>
    <x v="3"/>
    <d v="2014-01-21T00:00:00"/>
    <x v="123"/>
    <x v="100"/>
    <x v="5"/>
    <x v="1"/>
    <x v="171"/>
    <x v="171"/>
    <x v="5"/>
    <x v="172"/>
    <x v="5"/>
    <x v="7"/>
    <x v="1"/>
    <x v="1"/>
    <x v="6"/>
    <x v="2"/>
    <x v="2"/>
    <x v="0"/>
    <x v="51"/>
  </r>
  <r>
    <x v="173"/>
    <x v="12"/>
    <n v="8"/>
    <x v="6"/>
    <d v="2014-01-21T00:00:00"/>
    <x v="133"/>
    <x v="100"/>
    <x v="5"/>
    <x v="1"/>
    <x v="172"/>
    <x v="172"/>
    <x v="2"/>
    <x v="173"/>
    <x v="18"/>
    <x v="12"/>
    <x v="1"/>
    <x v="1"/>
    <x v="6"/>
    <x v="2"/>
    <x v="2"/>
    <x v="0"/>
    <x v="22"/>
  </r>
  <r>
    <x v="174"/>
    <x v="70"/>
    <n v="2"/>
    <x v="7"/>
    <d v="2014-01-22T00:00:00"/>
    <x v="134"/>
    <x v="102"/>
    <x v="12"/>
    <x v="1"/>
    <x v="173"/>
    <x v="173"/>
    <x v="0"/>
    <x v="174"/>
    <x v="33"/>
    <x v="70"/>
    <x v="1"/>
    <x v="1"/>
    <x v="6"/>
    <x v="2"/>
    <x v="2"/>
    <x v="0"/>
    <x v="39"/>
  </r>
  <r>
    <x v="175"/>
    <x v="71"/>
    <n v="6"/>
    <x v="1"/>
    <d v="2014-01-23T00:00:00"/>
    <x v="126"/>
    <x v="103"/>
    <x v="21"/>
    <x v="0"/>
    <x v="174"/>
    <x v="174"/>
    <x v="0"/>
    <x v="175"/>
    <x v="19"/>
    <x v="71"/>
    <x v="0"/>
    <x v="1"/>
    <x v="6"/>
    <x v="2"/>
    <x v="2"/>
    <x v="0"/>
    <x v="5"/>
  </r>
  <r>
    <x v="176"/>
    <x v="49"/>
    <n v="7"/>
    <x v="8"/>
    <d v="2014-01-23T00:00:00"/>
    <x v="135"/>
    <x v="100"/>
    <x v="2"/>
    <x v="2"/>
    <x v="175"/>
    <x v="175"/>
    <x v="3"/>
    <x v="176"/>
    <x v="10"/>
    <x v="49"/>
    <x v="2"/>
    <x v="1"/>
    <x v="6"/>
    <x v="2"/>
    <x v="2"/>
    <x v="0"/>
    <x v="25"/>
  </r>
  <r>
    <x v="177"/>
    <x v="53"/>
    <n v="6"/>
    <x v="1"/>
    <d v="2014-01-24T00:00:00"/>
    <x v="136"/>
    <x v="104"/>
    <x v="23"/>
    <x v="2"/>
    <x v="176"/>
    <x v="176"/>
    <x v="4"/>
    <x v="177"/>
    <x v="2"/>
    <x v="53"/>
    <x v="2"/>
    <x v="1"/>
    <x v="6"/>
    <x v="2"/>
    <x v="2"/>
    <x v="0"/>
    <x v="52"/>
  </r>
  <r>
    <x v="178"/>
    <x v="60"/>
    <n v="4"/>
    <x v="2"/>
    <d v="2014-01-27T00:00:00"/>
    <x v="137"/>
    <x v="105"/>
    <x v="7"/>
    <x v="1"/>
    <x v="177"/>
    <x v="177"/>
    <x v="0"/>
    <x v="178"/>
    <x v="21"/>
    <x v="60"/>
    <x v="1"/>
    <x v="1"/>
    <x v="6"/>
    <x v="2"/>
    <x v="2"/>
    <x v="0"/>
    <x v="14"/>
  </r>
  <r>
    <x v="179"/>
    <x v="54"/>
    <n v="4"/>
    <x v="2"/>
    <d v="2014-01-27T00:00:00"/>
    <x v="137"/>
    <x v="106"/>
    <x v="24"/>
    <x v="2"/>
    <x v="178"/>
    <x v="178"/>
    <x v="0"/>
    <x v="179"/>
    <x v="11"/>
    <x v="54"/>
    <x v="2"/>
    <x v="1"/>
    <x v="6"/>
    <x v="2"/>
    <x v="2"/>
    <x v="0"/>
    <x v="1"/>
  </r>
  <r>
    <x v="180"/>
    <x v="30"/>
    <n v="7"/>
    <x v="8"/>
    <d v="2014-01-28T00:00:00"/>
    <x v="138"/>
    <x v="107"/>
    <x v="3"/>
    <x v="1"/>
    <x v="179"/>
    <x v="179"/>
    <x v="0"/>
    <x v="180"/>
    <x v="5"/>
    <x v="30"/>
    <x v="1"/>
    <x v="1"/>
    <x v="6"/>
    <x v="2"/>
    <x v="2"/>
    <x v="0"/>
    <x v="48"/>
  </r>
  <r>
    <x v="181"/>
    <x v="34"/>
    <n v="3"/>
    <x v="3"/>
    <d v="2014-01-29T00:00:00"/>
    <x v="139"/>
    <x v="108"/>
    <x v="12"/>
    <x v="2"/>
    <x v="180"/>
    <x v="180"/>
    <x v="0"/>
    <x v="181"/>
    <x v="4"/>
    <x v="34"/>
    <x v="2"/>
    <x v="1"/>
    <x v="6"/>
    <x v="2"/>
    <x v="2"/>
    <x v="0"/>
    <x v="43"/>
  </r>
  <r>
    <x v="182"/>
    <x v="9"/>
    <n v="4"/>
    <x v="2"/>
    <d v="2014-01-30T00:00:00"/>
    <x v="120"/>
    <x v="109"/>
    <x v="2"/>
    <x v="1"/>
    <x v="181"/>
    <x v="181"/>
    <x v="3"/>
    <x v="182"/>
    <x v="15"/>
    <x v="9"/>
    <x v="1"/>
    <x v="1"/>
    <x v="6"/>
    <x v="2"/>
    <x v="2"/>
    <x v="0"/>
    <x v="13"/>
  </r>
  <r>
    <x v="183"/>
    <x v="66"/>
    <n v="4"/>
    <x v="2"/>
    <d v="2014-01-30T00:00:00"/>
    <x v="120"/>
    <x v="108"/>
    <x v="9"/>
    <x v="2"/>
    <x v="182"/>
    <x v="182"/>
    <x v="4"/>
    <x v="183"/>
    <x v="8"/>
    <x v="66"/>
    <x v="2"/>
    <x v="1"/>
    <x v="6"/>
    <x v="2"/>
    <x v="2"/>
    <x v="0"/>
    <x v="13"/>
  </r>
  <r>
    <x v="184"/>
    <x v="20"/>
    <n v="3"/>
    <x v="3"/>
    <d v="2014-01-31T00:00:00"/>
    <x v="131"/>
    <x v="108"/>
    <x v="3"/>
    <x v="2"/>
    <x v="183"/>
    <x v="183"/>
    <x v="0"/>
    <x v="184"/>
    <x v="2"/>
    <x v="20"/>
    <x v="2"/>
    <x v="1"/>
    <x v="6"/>
    <x v="2"/>
    <x v="2"/>
    <x v="0"/>
    <x v="39"/>
  </r>
  <r>
    <x v="185"/>
    <x v="50"/>
    <n v="3"/>
    <x v="3"/>
    <d v="2014-02-03T00:00:00"/>
    <x v="140"/>
    <x v="110"/>
    <x v="14"/>
    <x v="0"/>
    <x v="184"/>
    <x v="184"/>
    <x v="0"/>
    <x v="185"/>
    <x v="31"/>
    <x v="50"/>
    <x v="0"/>
    <x v="1"/>
    <x v="7"/>
    <x v="2"/>
    <x v="2"/>
    <x v="0"/>
    <x v="14"/>
  </r>
  <r>
    <x v="186"/>
    <x v="14"/>
    <n v="3"/>
    <x v="3"/>
    <d v="2014-02-03T00:00:00"/>
    <x v="140"/>
    <x v="111"/>
    <x v="7"/>
    <x v="2"/>
    <x v="185"/>
    <x v="185"/>
    <x v="0"/>
    <x v="186"/>
    <x v="3"/>
    <x v="14"/>
    <x v="2"/>
    <x v="1"/>
    <x v="7"/>
    <x v="2"/>
    <x v="2"/>
    <x v="0"/>
    <x v="3"/>
  </r>
  <r>
    <x v="187"/>
    <x v="72"/>
    <n v="8"/>
    <x v="6"/>
    <d v="2014-02-04T00:00:00"/>
    <x v="141"/>
    <x v="108"/>
    <x v="6"/>
    <x v="2"/>
    <x v="186"/>
    <x v="186"/>
    <x v="0"/>
    <x v="187"/>
    <x v="2"/>
    <x v="72"/>
    <x v="2"/>
    <x v="1"/>
    <x v="7"/>
    <x v="2"/>
    <x v="2"/>
    <x v="0"/>
    <x v="7"/>
  </r>
  <r>
    <x v="188"/>
    <x v="15"/>
    <n v="3"/>
    <x v="3"/>
    <d v="2014-02-05T00:00:00"/>
    <x v="142"/>
    <x v="112"/>
    <x v="5"/>
    <x v="2"/>
    <x v="187"/>
    <x v="187"/>
    <x v="0"/>
    <x v="188"/>
    <x v="21"/>
    <x v="15"/>
    <x v="2"/>
    <x v="1"/>
    <x v="7"/>
    <x v="2"/>
    <x v="2"/>
    <x v="0"/>
    <x v="48"/>
  </r>
  <r>
    <x v="189"/>
    <x v="16"/>
    <n v="8"/>
    <x v="6"/>
    <d v="2014-02-05T00:00:00"/>
    <x v="142"/>
    <x v="113"/>
    <x v="3"/>
    <x v="1"/>
    <x v="188"/>
    <x v="188"/>
    <x v="0"/>
    <x v="189"/>
    <x v="6"/>
    <x v="16"/>
    <x v="1"/>
    <x v="1"/>
    <x v="7"/>
    <x v="2"/>
    <x v="2"/>
    <x v="0"/>
    <x v="8"/>
  </r>
  <r>
    <x v="190"/>
    <x v="1"/>
    <n v="3"/>
    <x v="3"/>
    <d v="2014-02-06T00:00:00"/>
    <x v="143"/>
    <x v="104"/>
    <x v="9"/>
    <x v="2"/>
    <x v="189"/>
    <x v="189"/>
    <x v="3"/>
    <x v="190"/>
    <x v="6"/>
    <x v="1"/>
    <x v="2"/>
    <x v="1"/>
    <x v="7"/>
    <x v="2"/>
    <x v="2"/>
    <x v="0"/>
    <x v="22"/>
  </r>
  <r>
    <x v="191"/>
    <x v="49"/>
    <n v="6"/>
    <x v="1"/>
    <d v="2014-02-07T00:00:00"/>
    <x v="144"/>
    <x v="114"/>
    <x v="6"/>
    <x v="0"/>
    <x v="190"/>
    <x v="190"/>
    <x v="0"/>
    <x v="191"/>
    <x v="6"/>
    <x v="49"/>
    <x v="0"/>
    <x v="1"/>
    <x v="7"/>
    <x v="2"/>
    <x v="2"/>
    <x v="0"/>
    <x v="14"/>
  </r>
  <r>
    <x v="192"/>
    <x v="45"/>
    <n v="4"/>
    <x v="2"/>
    <d v="2014-02-10T00:00:00"/>
    <x v="145"/>
    <x v="115"/>
    <x v="11"/>
    <x v="2"/>
    <x v="191"/>
    <x v="191"/>
    <x v="2"/>
    <x v="192"/>
    <x v="15"/>
    <x v="45"/>
    <x v="2"/>
    <x v="1"/>
    <x v="7"/>
    <x v="2"/>
    <x v="2"/>
    <x v="0"/>
    <x v="7"/>
  </r>
  <r>
    <x v="193"/>
    <x v="37"/>
    <n v="3"/>
    <x v="3"/>
    <d v="2014-02-10T00:00:00"/>
    <x v="146"/>
    <x v="116"/>
    <x v="21"/>
    <x v="2"/>
    <x v="192"/>
    <x v="192"/>
    <x v="0"/>
    <x v="193"/>
    <x v="8"/>
    <x v="37"/>
    <x v="2"/>
    <x v="1"/>
    <x v="7"/>
    <x v="2"/>
    <x v="2"/>
    <x v="0"/>
    <x v="9"/>
  </r>
  <r>
    <x v="194"/>
    <x v="9"/>
    <n v="3"/>
    <x v="3"/>
    <d v="2014-02-11T00:00:00"/>
    <x v="147"/>
    <x v="117"/>
    <x v="3"/>
    <x v="2"/>
    <x v="193"/>
    <x v="193"/>
    <x v="0"/>
    <x v="194"/>
    <x v="12"/>
    <x v="9"/>
    <x v="2"/>
    <x v="1"/>
    <x v="7"/>
    <x v="2"/>
    <x v="2"/>
    <x v="0"/>
    <x v="3"/>
  </r>
  <r>
    <x v="195"/>
    <x v="30"/>
    <n v="8"/>
    <x v="6"/>
    <d v="2014-02-12T00:00:00"/>
    <x v="139"/>
    <x v="104"/>
    <x v="4"/>
    <x v="1"/>
    <x v="194"/>
    <x v="194"/>
    <x v="3"/>
    <x v="195"/>
    <x v="3"/>
    <x v="30"/>
    <x v="1"/>
    <x v="1"/>
    <x v="7"/>
    <x v="2"/>
    <x v="2"/>
    <x v="0"/>
    <x v="3"/>
  </r>
  <r>
    <x v="196"/>
    <x v="25"/>
    <n v="3"/>
    <x v="3"/>
    <d v="2014-02-12T00:00:00"/>
    <x v="139"/>
    <x v="118"/>
    <x v="12"/>
    <x v="0"/>
    <x v="195"/>
    <x v="195"/>
    <x v="0"/>
    <x v="196"/>
    <x v="2"/>
    <x v="25"/>
    <x v="0"/>
    <x v="1"/>
    <x v="7"/>
    <x v="2"/>
    <x v="2"/>
    <x v="0"/>
    <x v="13"/>
  </r>
  <r>
    <x v="197"/>
    <x v="25"/>
    <n v="3"/>
    <x v="3"/>
    <d v="2014-02-13T00:00:00"/>
    <x v="148"/>
    <x v="119"/>
    <x v="3"/>
    <x v="1"/>
    <x v="196"/>
    <x v="196"/>
    <x v="0"/>
    <x v="197"/>
    <x v="3"/>
    <x v="25"/>
    <x v="1"/>
    <x v="1"/>
    <x v="7"/>
    <x v="2"/>
    <x v="2"/>
    <x v="0"/>
    <x v="25"/>
  </r>
  <r>
    <x v="198"/>
    <x v="1"/>
    <n v="6"/>
    <x v="1"/>
    <d v="2014-02-14T00:00:00"/>
    <x v="149"/>
    <x v="120"/>
    <x v="1"/>
    <x v="1"/>
    <x v="197"/>
    <x v="197"/>
    <x v="5"/>
    <x v="198"/>
    <x v="0"/>
    <x v="1"/>
    <x v="1"/>
    <x v="1"/>
    <x v="7"/>
    <x v="2"/>
    <x v="2"/>
    <x v="0"/>
    <x v="22"/>
  </r>
  <r>
    <x v="199"/>
    <x v="29"/>
    <n v="4"/>
    <x v="2"/>
    <d v="2014-02-14T00:00:00"/>
    <x v="149"/>
    <x v="121"/>
    <x v="23"/>
    <x v="2"/>
    <x v="198"/>
    <x v="198"/>
    <x v="0"/>
    <x v="199"/>
    <x v="4"/>
    <x v="29"/>
    <x v="2"/>
    <x v="1"/>
    <x v="7"/>
    <x v="2"/>
    <x v="2"/>
    <x v="0"/>
    <x v="22"/>
  </r>
  <r>
    <x v="200"/>
    <x v="73"/>
    <n v="4"/>
    <x v="2"/>
    <d v="2014-02-17T00:00:00"/>
    <x v="150"/>
    <x v="103"/>
    <x v="3"/>
    <x v="2"/>
    <x v="199"/>
    <x v="199"/>
    <x v="0"/>
    <x v="200"/>
    <x v="3"/>
    <x v="73"/>
    <x v="2"/>
    <x v="1"/>
    <x v="7"/>
    <x v="2"/>
    <x v="2"/>
    <x v="0"/>
    <x v="39"/>
  </r>
  <r>
    <x v="201"/>
    <x v="15"/>
    <n v="3"/>
    <x v="3"/>
    <d v="2014-02-18T00:00:00"/>
    <x v="141"/>
    <x v="122"/>
    <x v="12"/>
    <x v="2"/>
    <x v="200"/>
    <x v="200"/>
    <x v="0"/>
    <x v="201"/>
    <x v="19"/>
    <x v="15"/>
    <x v="2"/>
    <x v="1"/>
    <x v="7"/>
    <x v="2"/>
    <x v="2"/>
    <x v="0"/>
    <x v="18"/>
  </r>
  <r>
    <x v="202"/>
    <x v="3"/>
    <n v="8"/>
    <x v="6"/>
    <d v="2014-02-19T00:00:00"/>
    <x v="151"/>
    <x v="123"/>
    <x v="27"/>
    <x v="2"/>
    <x v="201"/>
    <x v="201"/>
    <x v="3"/>
    <x v="202"/>
    <x v="5"/>
    <x v="3"/>
    <x v="2"/>
    <x v="1"/>
    <x v="7"/>
    <x v="2"/>
    <x v="2"/>
    <x v="0"/>
    <x v="18"/>
  </r>
  <r>
    <x v="203"/>
    <x v="21"/>
    <n v="4"/>
    <x v="2"/>
    <d v="2014-02-19T00:00:00"/>
    <x v="142"/>
    <x v="124"/>
    <x v="23"/>
    <x v="0"/>
    <x v="202"/>
    <x v="202"/>
    <x v="5"/>
    <x v="203"/>
    <x v="34"/>
    <x v="21"/>
    <x v="0"/>
    <x v="1"/>
    <x v="7"/>
    <x v="2"/>
    <x v="2"/>
    <x v="0"/>
    <x v="52"/>
  </r>
  <r>
    <x v="204"/>
    <x v="45"/>
    <n v="8"/>
    <x v="6"/>
    <d v="2014-02-20T00:00:00"/>
    <x v="152"/>
    <x v="125"/>
    <x v="5"/>
    <x v="1"/>
    <x v="203"/>
    <x v="203"/>
    <x v="0"/>
    <x v="204"/>
    <x v="6"/>
    <x v="45"/>
    <x v="1"/>
    <x v="1"/>
    <x v="7"/>
    <x v="2"/>
    <x v="2"/>
    <x v="0"/>
    <x v="20"/>
  </r>
  <r>
    <x v="205"/>
    <x v="55"/>
    <n v="1"/>
    <x v="5"/>
    <d v="2014-02-21T00:00:00"/>
    <x v="153"/>
    <x v="125"/>
    <x v="1"/>
    <x v="2"/>
    <x v="204"/>
    <x v="204"/>
    <x v="5"/>
    <x v="205"/>
    <x v="6"/>
    <x v="55"/>
    <x v="2"/>
    <x v="1"/>
    <x v="7"/>
    <x v="2"/>
    <x v="2"/>
    <x v="0"/>
    <x v="53"/>
  </r>
  <r>
    <x v="206"/>
    <x v="53"/>
    <n v="4"/>
    <x v="2"/>
    <d v="2014-02-21T00:00:00"/>
    <x v="153"/>
    <x v="126"/>
    <x v="2"/>
    <x v="0"/>
    <x v="205"/>
    <x v="205"/>
    <x v="3"/>
    <x v="206"/>
    <x v="5"/>
    <x v="53"/>
    <x v="0"/>
    <x v="1"/>
    <x v="7"/>
    <x v="2"/>
    <x v="2"/>
    <x v="0"/>
    <x v="12"/>
  </r>
  <r>
    <x v="207"/>
    <x v="16"/>
    <n v="8"/>
    <x v="6"/>
    <d v="2014-02-24T00:00:00"/>
    <x v="154"/>
    <x v="106"/>
    <x v="3"/>
    <x v="2"/>
    <x v="206"/>
    <x v="206"/>
    <x v="0"/>
    <x v="207"/>
    <x v="5"/>
    <x v="16"/>
    <x v="2"/>
    <x v="1"/>
    <x v="7"/>
    <x v="2"/>
    <x v="2"/>
    <x v="0"/>
    <x v="25"/>
  </r>
  <r>
    <x v="208"/>
    <x v="44"/>
    <n v="8"/>
    <x v="6"/>
    <d v="2014-02-25T00:00:00"/>
    <x v="155"/>
    <x v="115"/>
    <x v="6"/>
    <x v="2"/>
    <x v="207"/>
    <x v="207"/>
    <x v="2"/>
    <x v="208"/>
    <x v="4"/>
    <x v="44"/>
    <x v="2"/>
    <x v="1"/>
    <x v="7"/>
    <x v="2"/>
    <x v="2"/>
    <x v="0"/>
    <x v="10"/>
  </r>
  <r>
    <x v="209"/>
    <x v="44"/>
    <n v="2"/>
    <x v="7"/>
    <d v="2014-02-25T00:00:00"/>
    <x v="156"/>
    <x v="106"/>
    <x v="5"/>
    <x v="1"/>
    <x v="208"/>
    <x v="95"/>
    <x v="0"/>
    <x v="209"/>
    <x v="25"/>
    <x v="44"/>
    <x v="1"/>
    <x v="1"/>
    <x v="7"/>
    <x v="2"/>
    <x v="2"/>
    <x v="0"/>
    <x v="38"/>
  </r>
  <r>
    <x v="210"/>
    <x v="4"/>
    <n v="7"/>
    <x v="8"/>
    <d v="2014-02-26T00:00:00"/>
    <x v="157"/>
    <x v="110"/>
    <x v="5"/>
    <x v="0"/>
    <x v="209"/>
    <x v="208"/>
    <x v="0"/>
    <x v="210"/>
    <x v="12"/>
    <x v="4"/>
    <x v="0"/>
    <x v="1"/>
    <x v="7"/>
    <x v="2"/>
    <x v="2"/>
    <x v="0"/>
    <x v="39"/>
  </r>
  <r>
    <x v="211"/>
    <x v="3"/>
    <n v="4"/>
    <x v="2"/>
    <d v="2014-02-27T00:00:00"/>
    <x v="158"/>
    <x v="115"/>
    <x v="13"/>
    <x v="2"/>
    <x v="210"/>
    <x v="209"/>
    <x v="1"/>
    <x v="211"/>
    <x v="9"/>
    <x v="3"/>
    <x v="2"/>
    <x v="1"/>
    <x v="7"/>
    <x v="2"/>
    <x v="2"/>
    <x v="0"/>
    <x v="46"/>
  </r>
  <r>
    <x v="212"/>
    <x v="14"/>
    <n v="8"/>
    <x v="6"/>
    <d v="2014-02-28T00:00:00"/>
    <x v="159"/>
    <x v="106"/>
    <x v="6"/>
    <x v="1"/>
    <x v="211"/>
    <x v="210"/>
    <x v="4"/>
    <x v="212"/>
    <x v="22"/>
    <x v="14"/>
    <x v="1"/>
    <x v="1"/>
    <x v="7"/>
    <x v="2"/>
    <x v="2"/>
    <x v="0"/>
    <x v="5"/>
  </r>
  <r>
    <x v="213"/>
    <x v="28"/>
    <n v="1"/>
    <x v="5"/>
    <d v="2014-02-28T00:00:00"/>
    <x v="159"/>
    <x v="127"/>
    <x v="1"/>
    <x v="0"/>
    <x v="212"/>
    <x v="211"/>
    <x v="4"/>
    <x v="213"/>
    <x v="4"/>
    <x v="28"/>
    <x v="0"/>
    <x v="1"/>
    <x v="7"/>
    <x v="2"/>
    <x v="2"/>
    <x v="0"/>
    <x v="10"/>
  </r>
  <r>
    <x v="214"/>
    <x v="72"/>
    <n v="2"/>
    <x v="7"/>
    <d v="2014-03-03T00:00:00"/>
    <x v="160"/>
    <x v="128"/>
    <x v="18"/>
    <x v="1"/>
    <x v="213"/>
    <x v="212"/>
    <x v="0"/>
    <x v="214"/>
    <x v="14"/>
    <x v="72"/>
    <x v="1"/>
    <x v="1"/>
    <x v="8"/>
    <x v="2"/>
    <x v="2"/>
    <x v="0"/>
    <x v="27"/>
  </r>
  <r>
    <x v="215"/>
    <x v="4"/>
    <n v="5"/>
    <x v="0"/>
    <d v="2014-03-04T00:00:00"/>
    <x v="161"/>
    <x v="129"/>
    <x v="4"/>
    <x v="0"/>
    <x v="214"/>
    <x v="213"/>
    <x v="0"/>
    <x v="215"/>
    <x v="22"/>
    <x v="4"/>
    <x v="0"/>
    <x v="1"/>
    <x v="8"/>
    <x v="2"/>
    <x v="2"/>
    <x v="0"/>
    <x v="22"/>
  </r>
  <r>
    <x v="216"/>
    <x v="47"/>
    <n v="4"/>
    <x v="2"/>
    <d v="2014-03-04T00:00:00"/>
    <x v="161"/>
    <x v="116"/>
    <x v="7"/>
    <x v="2"/>
    <x v="215"/>
    <x v="214"/>
    <x v="3"/>
    <x v="216"/>
    <x v="9"/>
    <x v="47"/>
    <x v="2"/>
    <x v="1"/>
    <x v="8"/>
    <x v="2"/>
    <x v="2"/>
    <x v="0"/>
    <x v="33"/>
  </r>
  <r>
    <x v="217"/>
    <x v="61"/>
    <n v="1"/>
    <x v="5"/>
    <d v="2014-03-05T00:00:00"/>
    <x v="162"/>
    <x v="116"/>
    <x v="12"/>
    <x v="0"/>
    <x v="216"/>
    <x v="215"/>
    <x v="0"/>
    <x v="217"/>
    <x v="7"/>
    <x v="61"/>
    <x v="0"/>
    <x v="1"/>
    <x v="8"/>
    <x v="2"/>
    <x v="2"/>
    <x v="0"/>
    <x v="6"/>
  </r>
  <r>
    <x v="218"/>
    <x v="32"/>
    <n v="4"/>
    <x v="2"/>
    <d v="2014-03-06T00:00:00"/>
    <x v="163"/>
    <x v="130"/>
    <x v="3"/>
    <x v="1"/>
    <x v="217"/>
    <x v="216"/>
    <x v="0"/>
    <x v="218"/>
    <x v="2"/>
    <x v="32"/>
    <x v="1"/>
    <x v="1"/>
    <x v="8"/>
    <x v="2"/>
    <x v="2"/>
    <x v="0"/>
    <x v="3"/>
  </r>
  <r>
    <x v="219"/>
    <x v="22"/>
    <n v="8"/>
    <x v="6"/>
    <d v="2014-03-06T00:00:00"/>
    <x v="163"/>
    <x v="123"/>
    <x v="1"/>
    <x v="2"/>
    <x v="218"/>
    <x v="217"/>
    <x v="0"/>
    <x v="219"/>
    <x v="31"/>
    <x v="22"/>
    <x v="2"/>
    <x v="1"/>
    <x v="8"/>
    <x v="2"/>
    <x v="2"/>
    <x v="0"/>
    <x v="6"/>
  </r>
  <r>
    <x v="220"/>
    <x v="44"/>
    <n v="3"/>
    <x v="3"/>
    <d v="2014-03-07T00:00:00"/>
    <x v="164"/>
    <x v="124"/>
    <x v="1"/>
    <x v="0"/>
    <x v="171"/>
    <x v="218"/>
    <x v="0"/>
    <x v="220"/>
    <x v="20"/>
    <x v="44"/>
    <x v="0"/>
    <x v="1"/>
    <x v="8"/>
    <x v="2"/>
    <x v="2"/>
    <x v="0"/>
    <x v="23"/>
  </r>
  <r>
    <x v="221"/>
    <x v="19"/>
    <n v="1"/>
    <x v="5"/>
    <d v="2014-03-10T00:00:00"/>
    <x v="154"/>
    <x v="116"/>
    <x v="2"/>
    <x v="1"/>
    <x v="219"/>
    <x v="219"/>
    <x v="2"/>
    <x v="221"/>
    <x v="4"/>
    <x v="19"/>
    <x v="1"/>
    <x v="1"/>
    <x v="8"/>
    <x v="2"/>
    <x v="2"/>
    <x v="0"/>
    <x v="7"/>
  </r>
  <r>
    <x v="222"/>
    <x v="48"/>
    <n v="4"/>
    <x v="2"/>
    <d v="2014-03-11T00:00:00"/>
    <x v="155"/>
    <x v="116"/>
    <x v="6"/>
    <x v="2"/>
    <x v="220"/>
    <x v="220"/>
    <x v="0"/>
    <x v="222"/>
    <x v="12"/>
    <x v="48"/>
    <x v="2"/>
    <x v="1"/>
    <x v="8"/>
    <x v="2"/>
    <x v="2"/>
    <x v="0"/>
    <x v="28"/>
  </r>
  <r>
    <x v="223"/>
    <x v="31"/>
    <n v="2"/>
    <x v="7"/>
    <d v="2014-03-11T00:00:00"/>
    <x v="155"/>
    <x v="128"/>
    <x v="3"/>
    <x v="0"/>
    <x v="221"/>
    <x v="221"/>
    <x v="0"/>
    <x v="223"/>
    <x v="12"/>
    <x v="31"/>
    <x v="0"/>
    <x v="1"/>
    <x v="8"/>
    <x v="2"/>
    <x v="2"/>
    <x v="0"/>
    <x v="46"/>
  </r>
  <r>
    <x v="224"/>
    <x v="56"/>
    <n v="8"/>
    <x v="6"/>
    <d v="2014-03-12T00:00:00"/>
    <x v="165"/>
    <x v="131"/>
    <x v="3"/>
    <x v="1"/>
    <x v="222"/>
    <x v="222"/>
    <x v="1"/>
    <x v="224"/>
    <x v="28"/>
    <x v="56"/>
    <x v="1"/>
    <x v="1"/>
    <x v="8"/>
    <x v="2"/>
    <x v="2"/>
    <x v="0"/>
    <x v="6"/>
  </r>
  <r>
    <x v="225"/>
    <x v="42"/>
    <n v="1"/>
    <x v="5"/>
    <d v="2014-03-13T00:00:00"/>
    <x v="158"/>
    <x v="132"/>
    <x v="9"/>
    <x v="0"/>
    <x v="223"/>
    <x v="223"/>
    <x v="0"/>
    <x v="225"/>
    <x v="0"/>
    <x v="42"/>
    <x v="0"/>
    <x v="1"/>
    <x v="8"/>
    <x v="2"/>
    <x v="2"/>
    <x v="0"/>
    <x v="17"/>
  </r>
  <r>
    <x v="226"/>
    <x v="43"/>
    <n v="5"/>
    <x v="0"/>
    <d v="2014-03-13T00:00:00"/>
    <x v="166"/>
    <x v="132"/>
    <x v="9"/>
    <x v="2"/>
    <x v="224"/>
    <x v="224"/>
    <x v="0"/>
    <x v="226"/>
    <x v="0"/>
    <x v="43"/>
    <x v="2"/>
    <x v="1"/>
    <x v="8"/>
    <x v="2"/>
    <x v="2"/>
    <x v="0"/>
    <x v="1"/>
  </r>
  <r>
    <x v="227"/>
    <x v="4"/>
    <n v="9"/>
    <x v="4"/>
    <d v="2014-03-14T00:00:00"/>
    <x v="167"/>
    <x v="133"/>
    <x v="23"/>
    <x v="1"/>
    <x v="225"/>
    <x v="225"/>
    <x v="2"/>
    <x v="227"/>
    <x v="11"/>
    <x v="4"/>
    <x v="1"/>
    <x v="1"/>
    <x v="8"/>
    <x v="2"/>
    <x v="2"/>
    <x v="0"/>
    <x v="5"/>
  </r>
  <r>
    <x v="228"/>
    <x v="8"/>
    <n v="8"/>
    <x v="6"/>
    <d v="2014-03-17T00:00:00"/>
    <x v="168"/>
    <x v="134"/>
    <x v="3"/>
    <x v="0"/>
    <x v="226"/>
    <x v="226"/>
    <x v="1"/>
    <x v="228"/>
    <x v="33"/>
    <x v="8"/>
    <x v="0"/>
    <x v="1"/>
    <x v="8"/>
    <x v="2"/>
    <x v="2"/>
    <x v="0"/>
    <x v="52"/>
  </r>
  <r>
    <x v="229"/>
    <x v="50"/>
    <n v="5"/>
    <x v="0"/>
    <d v="2014-03-17T00:00:00"/>
    <x v="168"/>
    <x v="135"/>
    <x v="9"/>
    <x v="2"/>
    <x v="227"/>
    <x v="227"/>
    <x v="0"/>
    <x v="229"/>
    <x v="6"/>
    <x v="50"/>
    <x v="2"/>
    <x v="1"/>
    <x v="8"/>
    <x v="2"/>
    <x v="2"/>
    <x v="0"/>
    <x v="25"/>
  </r>
  <r>
    <x v="230"/>
    <x v="3"/>
    <n v="2"/>
    <x v="7"/>
    <d v="2014-03-18T00:00:00"/>
    <x v="161"/>
    <x v="136"/>
    <x v="9"/>
    <x v="0"/>
    <x v="228"/>
    <x v="228"/>
    <x v="1"/>
    <x v="230"/>
    <x v="5"/>
    <x v="3"/>
    <x v="0"/>
    <x v="1"/>
    <x v="8"/>
    <x v="2"/>
    <x v="2"/>
    <x v="0"/>
    <x v="18"/>
  </r>
  <r>
    <x v="231"/>
    <x v="13"/>
    <n v="3"/>
    <x v="3"/>
    <d v="2014-03-19T00:00:00"/>
    <x v="169"/>
    <x v="132"/>
    <x v="4"/>
    <x v="0"/>
    <x v="229"/>
    <x v="229"/>
    <x v="0"/>
    <x v="231"/>
    <x v="12"/>
    <x v="13"/>
    <x v="0"/>
    <x v="1"/>
    <x v="8"/>
    <x v="2"/>
    <x v="2"/>
    <x v="0"/>
    <x v="44"/>
  </r>
  <r>
    <x v="232"/>
    <x v="68"/>
    <n v="6"/>
    <x v="1"/>
    <d v="2014-03-20T00:00:00"/>
    <x v="170"/>
    <x v="134"/>
    <x v="2"/>
    <x v="2"/>
    <x v="44"/>
    <x v="230"/>
    <x v="0"/>
    <x v="232"/>
    <x v="12"/>
    <x v="68"/>
    <x v="2"/>
    <x v="1"/>
    <x v="8"/>
    <x v="2"/>
    <x v="2"/>
    <x v="0"/>
    <x v="47"/>
  </r>
  <r>
    <x v="233"/>
    <x v="29"/>
    <n v="8"/>
    <x v="6"/>
    <d v="2014-03-20T00:00:00"/>
    <x v="170"/>
    <x v="135"/>
    <x v="1"/>
    <x v="2"/>
    <x v="230"/>
    <x v="231"/>
    <x v="0"/>
    <x v="233"/>
    <x v="13"/>
    <x v="29"/>
    <x v="2"/>
    <x v="1"/>
    <x v="8"/>
    <x v="2"/>
    <x v="2"/>
    <x v="0"/>
    <x v="30"/>
  </r>
  <r>
    <x v="234"/>
    <x v="74"/>
    <n v="1"/>
    <x v="5"/>
    <d v="2014-03-21T00:00:00"/>
    <x v="171"/>
    <x v="137"/>
    <x v="27"/>
    <x v="0"/>
    <x v="231"/>
    <x v="232"/>
    <x v="0"/>
    <x v="234"/>
    <x v="2"/>
    <x v="74"/>
    <x v="0"/>
    <x v="1"/>
    <x v="8"/>
    <x v="2"/>
    <x v="2"/>
    <x v="0"/>
    <x v="15"/>
  </r>
  <r>
    <x v="235"/>
    <x v="19"/>
    <n v="7"/>
    <x v="8"/>
    <d v="2014-03-24T00:00:00"/>
    <x v="172"/>
    <x v="138"/>
    <x v="21"/>
    <x v="2"/>
    <x v="232"/>
    <x v="233"/>
    <x v="1"/>
    <x v="235"/>
    <x v="11"/>
    <x v="19"/>
    <x v="2"/>
    <x v="1"/>
    <x v="8"/>
    <x v="2"/>
    <x v="2"/>
    <x v="0"/>
    <x v="34"/>
  </r>
  <r>
    <x v="236"/>
    <x v="31"/>
    <n v="3"/>
    <x v="3"/>
    <d v="2014-03-24T00:00:00"/>
    <x v="172"/>
    <x v="139"/>
    <x v="9"/>
    <x v="0"/>
    <x v="233"/>
    <x v="234"/>
    <x v="0"/>
    <x v="236"/>
    <x v="19"/>
    <x v="31"/>
    <x v="0"/>
    <x v="1"/>
    <x v="8"/>
    <x v="2"/>
    <x v="2"/>
    <x v="0"/>
    <x v="10"/>
  </r>
  <r>
    <x v="237"/>
    <x v="67"/>
    <n v="4"/>
    <x v="2"/>
    <d v="2014-03-25T00:00:00"/>
    <x v="155"/>
    <x v="140"/>
    <x v="5"/>
    <x v="2"/>
    <x v="234"/>
    <x v="95"/>
    <x v="5"/>
    <x v="237"/>
    <x v="5"/>
    <x v="67"/>
    <x v="2"/>
    <x v="1"/>
    <x v="8"/>
    <x v="2"/>
    <x v="2"/>
    <x v="0"/>
    <x v="7"/>
  </r>
  <r>
    <x v="238"/>
    <x v="8"/>
    <n v="1"/>
    <x v="5"/>
    <d v="2014-03-26T00:00:00"/>
    <x v="173"/>
    <x v="141"/>
    <x v="3"/>
    <x v="2"/>
    <x v="235"/>
    <x v="235"/>
    <x v="0"/>
    <x v="238"/>
    <x v="21"/>
    <x v="8"/>
    <x v="2"/>
    <x v="1"/>
    <x v="8"/>
    <x v="2"/>
    <x v="2"/>
    <x v="0"/>
    <x v="3"/>
  </r>
  <r>
    <x v="239"/>
    <x v="62"/>
    <n v="2"/>
    <x v="7"/>
    <d v="2014-03-26T00:00:00"/>
    <x v="173"/>
    <x v="142"/>
    <x v="4"/>
    <x v="2"/>
    <x v="236"/>
    <x v="236"/>
    <x v="0"/>
    <x v="239"/>
    <x v="21"/>
    <x v="62"/>
    <x v="2"/>
    <x v="1"/>
    <x v="8"/>
    <x v="2"/>
    <x v="2"/>
    <x v="0"/>
    <x v="22"/>
  </r>
  <r>
    <x v="240"/>
    <x v="17"/>
    <n v="8"/>
    <x v="6"/>
    <d v="2014-03-27T00:00:00"/>
    <x v="174"/>
    <x v="141"/>
    <x v="5"/>
    <x v="2"/>
    <x v="218"/>
    <x v="237"/>
    <x v="0"/>
    <x v="240"/>
    <x v="12"/>
    <x v="17"/>
    <x v="2"/>
    <x v="1"/>
    <x v="8"/>
    <x v="2"/>
    <x v="2"/>
    <x v="0"/>
    <x v="38"/>
  </r>
  <r>
    <x v="241"/>
    <x v="54"/>
    <n v="6"/>
    <x v="1"/>
    <d v="2014-03-28T00:00:00"/>
    <x v="175"/>
    <x v="143"/>
    <x v="0"/>
    <x v="2"/>
    <x v="237"/>
    <x v="238"/>
    <x v="4"/>
    <x v="241"/>
    <x v="6"/>
    <x v="54"/>
    <x v="2"/>
    <x v="1"/>
    <x v="8"/>
    <x v="2"/>
    <x v="2"/>
    <x v="0"/>
    <x v="3"/>
  </r>
  <r>
    <x v="242"/>
    <x v="8"/>
    <n v="7"/>
    <x v="8"/>
    <d v="2014-03-31T00:00:00"/>
    <x v="176"/>
    <x v="144"/>
    <x v="6"/>
    <x v="2"/>
    <x v="238"/>
    <x v="239"/>
    <x v="0"/>
    <x v="242"/>
    <x v="10"/>
    <x v="8"/>
    <x v="2"/>
    <x v="1"/>
    <x v="8"/>
    <x v="2"/>
    <x v="2"/>
    <x v="0"/>
    <x v="38"/>
  </r>
  <r>
    <x v="243"/>
    <x v="47"/>
    <n v="8"/>
    <x v="6"/>
    <d v="2014-03-31T00:00:00"/>
    <x v="176"/>
    <x v="145"/>
    <x v="9"/>
    <x v="0"/>
    <x v="239"/>
    <x v="240"/>
    <x v="2"/>
    <x v="243"/>
    <x v="6"/>
    <x v="47"/>
    <x v="0"/>
    <x v="1"/>
    <x v="8"/>
    <x v="2"/>
    <x v="2"/>
    <x v="0"/>
    <x v="21"/>
  </r>
  <r>
    <x v="244"/>
    <x v="66"/>
    <n v="3"/>
    <x v="3"/>
    <d v="2014-04-01T00:00:00"/>
    <x v="177"/>
    <x v="146"/>
    <x v="7"/>
    <x v="1"/>
    <x v="240"/>
    <x v="184"/>
    <x v="1"/>
    <x v="244"/>
    <x v="10"/>
    <x v="66"/>
    <x v="1"/>
    <x v="1"/>
    <x v="9"/>
    <x v="3"/>
    <x v="3"/>
    <x v="0"/>
    <x v="34"/>
  </r>
  <r>
    <x v="245"/>
    <x v="53"/>
    <n v="4"/>
    <x v="2"/>
    <d v="2014-04-02T00:00:00"/>
    <x v="178"/>
    <x v="137"/>
    <x v="9"/>
    <x v="0"/>
    <x v="241"/>
    <x v="241"/>
    <x v="5"/>
    <x v="245"/>
    <x v="6"/>
    <x v="53"/>
    <x v="0"/>
    <x v="1"/>
    <x v="9"/>
    <x v="3"/>
    <x v="3"/>
    <x v="0"/>
    <x v="3"/>
  </r>
  <r>
    <x v="246"/>
    <x v="32"/>
    <n v="4"/>
    <x v="2"/>
    <d v="2014-04-02T00:00:00"/>
    <x v="178"/>
    <x v="143"/>
    <x v="3"/>
    <x v="2"/>
    <x v="242"/>
    <x v="242"/>
    <x v="0"/>
    <x v="246"/>
    <x v="12"/>
    <x v="32"/>
    <x v="2"/>
    <x v="1"/>
    <x v="9"/>
    <x v="3"/>
    <x v="3"/>
    <x v="0"/>
    <x v="14"/>
  </r>
  <r>
    <x v="247"/>
    <x v="75"/>
    <n v="3"/>
    <x v="3"/>
    <d v="2014-04-03T00:00:00"/>
    <x v="179"/>
    <x v="146"/>
    <x v="9"/>
    <x v="0"/>
    <x v="243"/>
    <x v="243"/>
    <x v="0"/>
    <x v="247"/>
    <x v="2"/>
    <x v="75"/>
    <x v="0"/>
    <x v="1"/>
    <x v="9"/>
    <x v="3"/>
    <x v="3"/>
    <x v="0"/>
    <x v="40"/>
  </r>
  <r>
    <x v="248"/>
    <x v="33"/>
    <n v="7"/>
    <x v="8"/>
    <d v="2014-04-04T00:00:00"/>
    <x v="180"/>
    <x v="147"/>
    <x v="6"/>
    <x v="2"/>
    <x v="244"/>
    <x v="244"/>
    <x v="1"/>
    <x v="248"/>
    <x v="5"/>
    <x v="33"/>
    <x v="2"/>
    <x v="1"/>
    <x v="9"/>
    <x v="3"/>
    <x v="3"/>
    <x v="0"/>
    <x v="5"/>
  </r>
  <r>
    <x v="249"/>
    <x v="26"/>
    <n v="7"/>
    <x v="8"/>
    <d v="2014-04-04T00:00:00"/>
    <x v="180"/>
    <x v="147"/>
    <x v="6"/>
    <x v="1"/>
    <x v="245"/>
    <x v="245"/>
    <x v="0"/>
    <x v="249"/>
    <x v="19"/>
    <x v="26"/>
    <x v="1"/>
    <x v="1"/>
    <x v="9"/>
    <x v="3"/>
    <x v="3"/>
    <x v="0"/>
    <x v="14"/>
  </r>
  <r>
    <x v="250"/>
    <x v="8"/>
    <n v="8"/>
    <x v="6"/>
    <d v="2014-04-07T00:00:00"/>
    <x v="181"/>
    <x v="146"/>
    <x v="2"/>
    <x v="2"/>
    <x v="246"/>
    <x v="246"/>
    <x v="0"/>
    <x v="250"/>
    <x v="19"/>
    <x v="8"/>
    <x v="2"/>
    <x v="1"/>
    <x v="9"/>
    <x v="3"/>
    <x v="3"/>
    <x v="0"/>
    <x v="54"/>
  </r>
  <r>
    <x v="251"/>
    <x v="28"/>
    <n v="4"/>
    <x v="2"/>
    <d v="2014-04-08T00:00:00"/>
    <x v="182"/>
    <x v="148"/>
    <x v="9"/>
    <x v="2"/>
    <x v="247"/>
    <x v="247"/>
    <x v="0"/>
    <x v="251"/>
    <x v="5"/>
    <x v="28"/>
    <x v="2"/>
    <x v="1"/>
    <x v="9"/>
    <x v="3"/>
    <x v="3"/>
    <x v="0"/>
    <x v="55"/>
  </r>
  <r>
    <x v="252"/>
    <x v="53"/>
    <n v="6"/>
    <x v="1"/>
    <d v="2014-04-09T00:00:00"/>
    <x v="183"/>
    <x v="149"/>
    <x v="9"/>
    <x v="1"/>
    <x v="248"/>
    <x v="248"/>
    <x v="1"/>
    <x v="252"/>
    <x v="0"/>
    <x v="53"/>
    <x v="1"/>
    <x v="1"/>
    <x v="9"/>
    <x v="3"/>
    <x v="3"/>
    <x v="0"/>
    <x v="21"/>
  </r>
  <r>
    <x v="253"/>
    <x v="76"/>
    <n v="9"/>
    <x v="4"/>
    <d v="2014-04-09T00:00:00"/>
    <x v="183"/>
    <x v="148"/>
    <x v="3"/>
    <x v="0"/>
    <x v="249"/>
    <x v="249"/>
    <x v="0"/>
    <x v="253"/>
    <x v="5"/>
    <x v="76"/>
    <x v="0"/>
    <x v="1"/>
    <x v="9"/>
    <x v="3"/>
    <x v="3"/>
    <x v="0"/>
    <x v="56"/>
  </r>
  <r>
    <x v="254"/>
    <x v="43"/>
    <n v="2"/>
    <x v="7"/>
    <d v="2014-04-10T00:00:00"/>
    <x v="184"/>
    <x v="150"/>
    <x v="19"/>
    <x v="1"/>
    <x v="250"/>
    <x v="250"/>
    <x v="0"/>
    <x v="254"/>
    <x v="22"/>
    <x v="43"/>
    <x v="1"/>
    <x v="1"/>
    <x v="9"/>
    <x v="3"/>
    <x v="3"/>
    <x v="0"/>
    <x v="57"/>
  </r>
  <r>
    <x v="255"/>
    <x v="34"/>
    <n v="6"/>
    <x v="1"/>
    <d v="2014-04-11T00:00:00"/>
    <x v="185"/>
    <x v="148"/>
    <x v="1"/>
    <x v="2"/>
    <x v="251"/>
    <x v="251"/>
    <x v="0"/>
    <x v="255"/>
    <x v="24"/>
    <x v="34"/>
    <x v="2"/>
    <x v="1"/>
    <x v="9"/>
    <x v="3"/>
    <x v="3"/>
    <x v="0"/>
    <x v="58"/>
  </r>
  <r>
    <x v="256"/>
    <x v="19"/>
    <n v="4"/>
    <x v="2"/>
    <d v="2014-04-11T00:00:00"/>
    <x v="185"/>
    <x v="151"/>
    <x v="3"/>
    <x v="0"/>
    <x v="252"/>
    <x v="252"/>
    <x v="0"/>
    <x v="256"/>
    <x v="0"/>
    <x v="19"/>
    <x v="0"/>
    <x v="1"/>
    <x v="9"/>
    <x v="3"/>
    <x v="3"/>
    <x v="0"/>
    <x v="59"/>
  </r>
  <r>
    <x v="257"/>
    <x v="49"/>
    <n v="3"/>
    <x v="3"/>
    <d v="2014-04-14T00:00:00"/>
    <x v="186"/>
    <x v="152"/>
    <x v="3"/>
    <x v="0"/>
    <x v="253"/>
    <x v="253"/>
    <x v="0"/>
    <x v="257"/>
    <x v="35"/>
    <x v="49"/>
    <x v="0"/>
    <x v="1"/>
    <x v="9"/>
    <x v="3"/>
    <x v="3"/>
    <x v="0"/>
    <x v="60"/>
  </r>
  <r>
    <x v="258"/>
    <x v="44"/>
    <n v="9"/>
    <x v="4"/>
    <d v="2014-04-15T00:00:00"/>
    <x v="187"/>
    <x v="153"/>
    <x v="28"/>
    <x v="2"/>
    <x v="254"/>
    <x v="254"/>
    <x v="5"/>
    <x v="258"/>
    <x v="17"/>
    <x v="44"/>
    <x v="2"/>
    <x v="1"/>
    <x v="9"/>
    <x v="3"/>
    <x v="3"/>
    <x v="0"/>
    <x v="0"/>
  </r>
  <r>
    <x v="259"/>
    <x v="59"/>
    <n v="7"/>
    <x v="8"/>
    <d v="2014-04-15T00:00:00"/>
    <x v="187"/>
    <x v="154"/>
    <x v="3"/>
    <x v="1"/>
    <x v="255"/>
    <x v="255"/>
    <x v="2"/>
    <x v="259"/>
    <x v="6"/>
    <x v="59"/>
    <x v="1"/>
    <x v="1"/>
    <x v="9"/>
    <x v="3"/>
    <x v="3"/>
    <x v="0"/>
    <x v="61"/>
  </r>
  <r>
    <x v="260"/>
    <x v="11"/>
    <n v="1"/>
    <x v="5"/>
    <d v="2014-04-16T00:00:00"/>
    <x v="188"/>
    <x v="155"/>
    <x v="29"/>
    <x v="2"/>
    <x v="256"/>
    <x v="256"/>
    <x v="0"/>
    <x v="260"/>
    <x v="2"/>
    <x v="11"/>
    <x v="2"/>
    <x v="1"/>
    <x v="9"/>
    <x v="3"/>
    <x v="3"/>
    <x v="0"/>
    <x v="62"/>
  </r>
  <r>
    <x v="261"/>
    <x v="76"/>
    <n v="4"/>
    <x v="2"/>
    <d v="2014-04-17T00:00:00"/>
    <x v="189"/>
    <x v="150"/>
    <x v="0"/>
    <x v="1"/>
    <x v="257"/>
    <x v="257"/>
    <x v="0"/>
    <x v="261"/>
    <x v="35"/>
    <x v="76"/>
    <x v="1"/>
    <x v="1"/>
    <x v="9"/>
    <x v="3"/>
    <x v="3"/>
    <x v="0"/>
    <x v="55"/>
  </r>
  <r>
    <x v="262"/>
    <x v="45"/>
    <n v="6"/>
    <x v="1"/>
    <d v="2014-04-18T00:00:00"/>
    <x v="190"/>
    <x v="156"/>
    <x v="7"/>
    <x v="0"/>
    <x v="258"/>
    <x v="258"/>
    <x v="0"/>
    <x v="262"/>
    <x v="25"/>
    <x v="45"/>
    <x v="0"/>
    <x v="1"/>
    <x v="9"/>
    <x v="3"/>
    <x v="3"/>
    <x v="0"/>
    <x v="63"/>
  </r>
  <r>
    <x v="263"/>
    <x v="48"/>
    <n v="4"/>
    <x v="2"/>
    <d v="2014-04-18T00:00:00"/>
    <x v="190"/>
    <x v="152"/>
    <x v="6"/>
    <x v="0"/>
    <x v="259"/>
    <x v="259"/>
    <x v="2"/>
    <x v="263"/>
    <x v="8"/>
    <x v="48"/>
    <x v="0"/>
    <x v="1"/>
    <x v="9"/>
    <x v="3"/>
    <x v="3"/>
    <x v="0"/>
    <x v="64"/>
  </r>
  <r>
    <x v="264"/>
    <x v="52"/>
    <n v="7"/>
    <x v="8"/>
    <d v="2014-04-21T00:00:00"/>
    <x v="191"/>
    <x v="157"/>
    <x v="6"/>
    <x v="2"/>
    <x v="260"/>
    <x v="260"/>
    <x v="2"/>
    <x v="264"/>
    <x v="2"/>
    <x v="52"/>
    <x v="2"/>
    <x v="1"/>
    <x v="9"/>
    <x v="3"/>
    <x v="3"/>
    <x v="0"/>
    <x v="54"/>
  </r>
  <r>
    <x v="265"/>
    <x v="35"/>
    <n v="7"/>
    <x v="8"/>
    <d v="2014-04-22T00:00:00"/>
    <x v="192"/>
    <x v="156"/>
    <x v="5"/>
    <x v="1"/>
    <x v="261"/>
    <x v="261"/>
    <x v="3"/>
    <x v="265"/>
    <x v="4"/>
    <x v="35"/>
    <x v="1"/>
    <x v="1"/>
    <x v="9"/>
    <x v="3"/>
    <x v="3"/>
    <x v="0"/>
    <x v="5"/>
  </r>
  <r>
    <x v="266"/>
    <x v="9"/>
    <n v="3"/>
    <x v="3"/>
    <d v="2014-04-22T00:00:00"/>
    <x v="193"/>
    <x v="158"/>
    <x v="22"/>
    <x v="2"/>
    <x v="262"/>
    <x v="262"/>
    <x v="0"/>
    <x v="266"/>
    <x v="36"/>
    <x v="9"/>
    <x v="2"/>
    <x v="1"/>
    <x v="9"/>
    <x v="3"/>
    <x v="3"/>
    <x v="0"/>
    <x v="65"/>
  </r>
  <r>
    <x v="267"/>
    <x v="21"/>
    <n v="2"/>
    <x v="7"/>
    <d v="2014-04-23T00:00:00"/>
    <x v="183"/>
    <x v="159"/>
    <x v="10"/>
    <x v="1"/>
    <x v="263"/>
    <x v="263"/>
    <x v="2"/>
    <x v="267"/>
    <x v="9"/>
    <x v="21"/>
    <x v="1"/>
    <x v="1"/>
    <x v="9"/>
    <x v="3"/>
    <x v="3"/>
    <x v="0"/>
    <x v="66"/>
  </r>
  <r>
    <x v="268"/>
    <x v="34"/>
    <n v="2"/>
    <x v="7"/>
    <d v="2014-04-24T00:00:00"/>
    <x v="194"/>
    <x v="160"/>
    <x v="3"/>
    <x v="0"/>
    <x v="264"/>
    <x v="264"/>
    <x v="5"/>
    <x v="268"/>
    <x v="7"/>
    <x v="34"/>
    <x v="0"/>
    <x v="1"/>
    <x v="9"/>
    <x v="3"/>
    <x v="3"/>
    <x v="0"/>
    <x v="67"/>
  </r>
  <r>
    <x v="269"/>
    <x v="77"/>
    <n v="3"/>
    <x v="3"/>
    <d v="2014-04-24T00:00:00"/>
    <x v="194"/>
    <x v="150"/>
    <x v="1"/>
    <x v="0"/>
    <x v="265"/>
    <x v="265"/>
    <x v="0"/>
    <x v="269"/>
    <x v="3"/>
    <x v="77"/>
    <x v="0"/>
    <x v="1"/>
    <x v="9"/>
    <x v="3"/>
    <x v="3"/>
    <x v="0"/>
    <x v="68"/>
  </r>
  <r>
    <x v="270"/>
    <x v="23"/>
    <n v="4"/>
    <x v="2"/>
    <d v="2014-04-25T00:00:00"/>
    <x v="185"/>
    <x v="161"/>
    <x v="7"/>
    <x v="2"/>
    <x v="266"/>
    <x v="266"/>
    <x v="0"/>
    <x v="270"/>
    <x v="21"/>
    <x v="23"/>
    <x v="2"/>
    <x v="1"/>
    <x v="9"/>
    <x v="3"/>
    <x v="3"/>
    <x v="0"/>
    <x v="54"/>
  </r>
  <r>
    <x v="271"/>
    <x v="5"/>
    <n v="6"/>
    <x v="1"/>
    <d v="2014-04-28T00:00:00"/>
    <x v="195"/>
    <x v="160"/>
    <x v="6"/>
    <x v="0"/>
    <x v="267"/>
    <x v="267"/>
    <x v="1"/>
    <x v="271"/>
    <x v="9"/>
    <x v="5"/>
    <x v="0"/>
    <x v="1"/>
    <x v="9"/>
    <x v="3"/>
    <x v="3"/>
    <x v="0"/>
    <x v="69"/>
  </r>
  <r>
    <x v="272"/>
    <x v="65"/>
    <n v="7"/>
    <x v="8"/>
    <d v="2014-04-29T00:00:00"/>
    <x v="196"/>
    <x v="160"/>
    <x v="4"/>
    <x v="1"/>
    <x v="268"/>
    <x v="268"/>
    <x v="0"/>
    <x v="272"/>
    <x v="20"/>
    <x v="65"/>
    <x v="1"/>
    <x v="1"/>
    <x v="9"/>
    <x v="3"/>
    <x v="3"/>
    <x v="0"/>
    <x v="54"/>
  </r>
  <r>
    <x v="273"/>
    <x v="78"/>
    <n v="8"/>
    <x v="6"/>
    <d v="2014-04-29T00:00:00"/>
    <x v="196"/>
    <x v="153"/>
    <x v="6"/>
    <x v="2"/>
    <x v="269"/>
    <x v="269"/>
    <x v="0"/>
    <x v="273"/>
    <x v="35"/>
    <x v="78"/>
    <x v="2"/>
    <x v="1"/>
    <x v="9"/>
    <x v="3"/>
    <x v="3"/>
    <x v="0"/>
    <x v="70"/>
  </r>
  <r>
    <x v="274"/>
    <x v="26"/>
    <n v="4"/>
    <x v="2"/>
    <d v="2014-04-30T00:00:00"/>
    <x v="197"/>
    <x v="162"/>
    <x v="5"/>
    <x v="1"/>
    <x v="270"/>
    <x v="270"/>
    <x v="3"/>
    <x v="274"/>
    <x v="4"/>
    <x v="26"/>
    <x v="1"/>
    <x v="1"/>
    <x v="9"/>
    <x v="3"/>
    <x v="3"/>
    <x v="0"/>
    <x v="70"/>
  </r>
  <r>
    <x v="275"/>
    <x v="56"/>
    <n v="7"/>
    <x v="8"/>
    <d v="2014-05-01T00:00:00"/>
    <x v="198"/>
    <x v="163"/>
    <x v="14"/>
    <x v="2"/>
    <x v="271"/>
    <x v="271"/>
    <x v="5"/>
    <x v="275"/>
    <x v="7"/>
    <x v="56"/>
    <x v="2"/>
    <x v="1"/>
    <x v="10"/>
    <x v="3"/>
    <x v="3"/>
    <x v="0"/>
    <x v="71"/>
  </r>
  <r>
    <x v="276"/>
    <x v="25"/>
    <n v="1"/>
    <x v="5"/>
    <d v="2014-05-01T00:00:00"/>
    <x v="198"/>
    <x v="164"/>
    <x v="5"/>
    <x v="2"/>
    <x v="272"/>
    <x v="272"/>
    <x v="0"/>
    <x v="276"/>
    <x v="33"/>
    <x v="25"/>
    <x v="2"/>
    <x v="1"/>
    <x v="10"/>
    <x v="3"/>
    <x v="3"/>
    <x v="0"/>
    <x v="69"/>
  </r>
  <r>
    <x v="277"/>
    <x v="48"/>
    <n v="1"/>
    <x v="5"/>
    <d v="2014-05-02T00:00:00"/>
    <x v="199"/>
    <x v="159"/>
    <x v="23"/>
    <x v="2"/>
    <x v="273"/>
    <x v="273"/>
    <x v="0"/>
    <x v="277"/>
    <x v="12"/>
    <x v="48"/>
    <x v="2"/>
    <x v="1"/>
    <x v="10"/>
    <x v="3"/>
    <x v="3"/>
    <x v="0"/>
    <x v="59"/>
  </r>
  <r>
    <x v="278"/>
    <x v="16"/>
    <n v="4"/>
    <x v="2"/>
    <d v="2014-05-05T00:00:00"/>
    <x v="200"/>
    <x v="165"/>
    <x v="7"/>
    <x v="2"/>
    <x v="274"/>
    <x v="274"/>
    <x v="2"/>
    <x v="278"/>
    <x v="20"/>
    <x v="16"/>
    <x v="2"/>
    <x v="1"/>
    <x v="10"/>
    <x v="3"/>
    <x v="3"/>
    <x v="0"/>
    <x v="70"/>
  </r>
  <r>
    <x v="279"/>
    <x v="21"/>
    <n v="7"/>
    <x v="8"/>
    <d v="2014-05-05T00:00:00"/>
    <x v="200"/>
    <x v="164"/>
    <x v="4"/>
    <x v="1"/>
    <x v="275"/>
    <x v="275"/>
    <x v="5"/>
    <x v="279"/>
    <x v="8"/>
    <x v="21"/>
    <x v="1"/>
    <x v="1"/>
    <x v="10"/>
    <x v="3"/>
    <x v="3"/>
    <x v="0"/>
    <x v="64"/>
  </r>
  <r>
    <x v="280"/>
    <x v="79"/>
    <n v="6"/>
    <x v="1"/>
    <d v="2014-05-06T00:00:00"/>
    <x v="193"/>
    <x v="166"/>
    <x v="6"/>
    <x v="2"/>
    <x v="276"/>
    <x v="276"/>
    <x v="0"/>
    <x v="280"/>
    <x v="35"/>
    <x v="79"/>
    <x v="2"/>
    <x v="1"/>
    <x v="10"/>
    <x v="3"/>
    <x v="3"/>
    <x v="0"/>
    <x v="72"/>
  </r>
  <r>
    <x v="281"/>
    <x v="80"/>
    <n v="5"/>
    <x v="0"/>
    <d v="2014-05-07T00:00:00"/>
    <x v="201"/>
    <x v="166"/>
    <x v="4"/>
    <x v="2"/>
    <x v="277"/>
    <x v="277"/>
    <x v="0"/>
    <x v="281"/>
    <x v="19"/>
    <x v="80"/>
    <x v="2"/>
    <x v="1"/>
    <x v="10"/>
    <x v="3"/>
    <x v="3"/>
    <x v="0"/>
    <x v="46"/>
  </r>
  <r>
    <x v="282"/>
    <x v="54"/>
    <n v="3"/>
    <x v="3"/>
    <d v="2014-05-08T00:00:00"/>
    <x v="202"/>
    <x v="167"/>
    <x v="2"/>
    <x v="2"/>
    <x v="278"/>
    <x v="278"/>
    <x v="0"/>
    <x v="282"/>
    <x v="4"/>
    <x v="54"/>
    <x v="2"/>
    <x v="1"/>
    <x v="10"/>
    <x v="3"/>
    <x v="3"/>
    <x v="0"/>
    <x v="71"/>
  </r>
  <r>
    <x v="283"/>
    <x v="69"/>
    <n v="7"/>
    <x v="8"/>
    <d v="2014-05-08T00:00:00"/>
    <x v="202"/>
    <x v="168"/>
    <x v="8"/>
    <x v="1"/>
    <x v="207"/>
    <x v="279"/>
    <x v="0"/>
    <x v="283"/>
    <x v="33"/>
    <x v="69"/>
    <x v="1"/>
    <x v="1"/>
    <x v="10"/>
    <x v="3"/>
    <x v="3"/>
    <x v="0"/>
    <x v="73"/>
  </r>
  <r>
    <x v="284"/>
    <x v="58"/>
    <n v="7"/>
    <x v="8"/>
    <d v="2014-05-09T00:00:00"/>
    <x v="203"/>
    <x v="167"/>
    <x v="6"/>
    <x v="0"/>
    <x v="279"/>
    <x v="280"/>
    <x v="0"/>
    <x v="284"/>
    <x v="6"/>
    <x v="58"/>
    <x v="0"/>
    <x v="1"/>
    <x v="10"/>
    <x v="3"/>
    <x v="3"/>
    <x v="0"/>
    <x v="74"/>
  </r>
  <r>
    <x v="285"/>
    <x v="14"/>
    <n v="8"/>
    <x v="6"/>
    <d v="2014-05-12T00:00:00"/>
    <x v="204"/>
    <x v="169"/>
    <x v="7"/>
    <x v="1"/>
    <x v="280"/>
    <x v="281"/>
    <x v="1"/>
    <x v="285"/>
    <x v="8"/>
    <x v="14"/>
    <x v="1"/>
    <x v="1"/>
    <x v="10"/>
    <x v="3"/>
    <x v="3"/>
    <x v="0"/>
    <x v="64"/>
  </r>
  <r>
    <x v="286"/>
    <x v="26"/>
    <n v="8"/>
    <x v="6"/>
    <d v="2014-05-12T00:00:00"/>
    <x v="204"/>
    <x v="170"/>
    <x v="4"/>
    <x v="2"/>
    <x v="281"/>
    <x v="282"/>
    <x v="0"/>
    <x v="286"/>
    <x v="2"/>
    <x v="26"/>
    <x v="2"/>
    <x v="1"/>
    <x v="10"/>
    <x v="3"/>
    <x v="3"/>
    <x v="0"/>
    <x v="74"/>
  </r>
  <r>
    <x v="287"/>
    <x v="59"/>
    <n v="4"/>
    <x v="2"/>
    <d v="2014-05-13T00:00:00"/>
    <x v="205"/>
    <x v="171"/>
    <x v="9"/>
    <x v="1"/>
    <x v="282"/>
    <x v="283"/>
    <x v="5"/>
    <x v="287"/>
    <x v="8"/>
    <x v="59"/>
    <x v="1"/>
    <x v="1"/>
    <x v="10"/>
    <x v="3"/>
    <x v="3"/>
    <x v="0"/>
    <x v="72"/>
  </r>
  <r>
    <x v="288"/>
    <x v="26"/>
    <n v="3"/>
    <x v="3"/>
    <d v="2014-05-14T00:00:00"/>
    <x v="206"/>
    <x v="172"/>
    <x v="26"/>
    <x v="2"/>
    <x v="283"/>
    <x v="284"/>
    <x v="4"/>
    <x v="288"/>
    <x v="6"/>
    <x v="26"/>
    <x v="2"/>
    <x v="1"/>
    <x v="10"/>
    <x v="3"/>
    <x v="3"/>
    <x v="0"/>
    <x v="75"/>
  </r>
  <r>
    <x v="289"/>
    <x v="6"/>
    <n v="1"/>
    <x v="5"/>
    <d v="2014-05-14T00:00:00"/>
    <x v="197"/>
    <x v="168"/>
    <x v="1"/>
    <x v="1"/>
    <x v="284"/>
    <x v="285"/>
    <x v="0"/>
    <x v="289"/>
    <x v="12"/>
    <x v="6"/>
    <x v="1"/>
    <x v="1"/>
    <x v="10"/>
    <x v="3"/>
    <x v="3"/>
    <x v="0"/>
    <x v="76"/>
  </r>
  <r>
    <x v="290"/>
    <x v="31"/>
    <n v="9"/>
    <x v="4"/>
    <d v="2014-05-15T00:00:00"/>
    <x v="207"/>
    <x v="158"/>
    <x v="13"/>
    <x v="0"/>
    <x v="285"/>
    <x v="286"/>
    <x v="0"/>
    <x v="290"/>
    <x v="23"/>
    <x v="31"/>
    <x v="0"/>
    <x v="1"/>
    <x v="10"/>
    <x v="3"/>
    <x v="3"/>
    <x v="0"/>
    <x v="77"/>
  </r>
  <r>
    <x v="291"/>
    <x v="31"/>
    <n v="6"/>
    <x v="1"/>
    <d v="2014-05-16T00:00:00"/>
    <x v="208"/>
    <x v="159"/>
    <x v="3"/>
    <x v="0"/>
    <x v="286"/>
    <x v="287"/>
    <x v="0"/>
    <x v="291"/>
    <x v="20"/>
    <x v="31"/>
    <x v="0"/>
    <x v="1"/>
    <x v="10"/>
    <x v="3"/>
    <x v="3"/>
    <x v="0"/>
    <x v="62"/>
  </r>
  <r>
    <x v="292"/>
    <x v="21"/>
    <n v="3"/>
    <x v="3"/>
    <d v="2014-05-19T00:00:00"/>
    <x v="209"/>
    <x v="173"/>
    <x v="30"/>
    <x v="0"/>
    <x v="287"/>
    <x v="288"/>
    <x v="0"/>
    <x v="292"/>
    <x v="10"/>
    <x v="21"/>
    <x v="0"/>
    <x v="1"/>
    <x v="10"/>
    <x v="3"/>
    <x v="3"/>
    <x v="0"/>
    <x v="5"/>
  </r>
  <r>
    <x v="293"/>
    <x v="2"/>
    <n v="2"/>
    <x v="7"/>
    <d v="2014-05-19T00:00:00"/>
    <x v="209"/>
    <x v="174"/>
    <x v="7"/>
    <x v="1"/>
    <x v="288"/>
    <x v="289"/>
    <x v="5"/>
    <x v="293"/>
    <x v="11"/>
    <x v="2"/>
    <x v="1"/>
    <x v="1"/>
    <x v="10"/>
    <x v="3"/>
    <x v="3"/>
    <x v="0"/>
    <x v="54"/>
  </r>
  <r>
    <x v="294"/>
    <x v="44"/>
    <n v="1"/>
    <x v="5"/>
    <d v="2014-05-20T00:00:00"/>
    <x v="210"/>
    <x v="175"/>
    <x v="5"/>
    <x v="0"/>
    <x v="289"/>
    <x v="290"/>
    <x v="1"/>
    <x v="294"/>
    <x v="6"/>
    <x v="44"/>
    <x v="0"/>
    <x v="1"/>
    <x v="10"/>
    <x v="3"/>
    <x v="3"/>
    <x v="0"/>
    <x v="72"/>
  </r>
  <r>
    <x v="295"/>
    <x v="28"/>
    <n v="8"/>
    <x v="6"/>
    <d v="2014-05-21T00:00:00"/>
    <x v="211"/>
    <x v="159"/>
    <x v="4"/>
    <x v="2"/>
    <x v="290"/>
    <x v="291"/>
    <x v="2"/>
    <x v="295"/>
    <x v="12"/>
    <x v="28"/>
    <x v="2"/>
    <x v="1"/>
    <x v="10"/>
    <x v="3"/>
    <x v="3"/>
    <x v="0"/>
    <x v="75"/>
  </r>
  <r>
    <x v="296"/>
    <x v="38"/>
    <n v="4"/>
    <x v="2"/>
    <d v="2014-05-21T00:00:00"/>
    <x v="211"/>
    <x v="163"/>
    <x v="12"/>
    <x v="1"/>
    <x v="291"/>
    <x v="292"/>
    <x v="0"/>
    <x v="296"/>
    <x v="23"/>
    <x v="38"/>
    <x v="1"/>
    <x v="1"/>
    <x v="10"/>
    <x v="3"/>
    <x v="3"/>
    <x v="0"/>
    <x v="55"/>
  </r>
  <r>
    <x v="297"/>
    <x v="74"/>
    <n v="8"/>
    <x v="6"/>
    <d v="2014-05-22T00:00:00"/>
    <x v="212"/>
    <x v="176"/>
    <x v="24"/>
    <x v="2"/>
    <x v="292"/>
    <x v="293"/>
    <x v="0"/>
    <x v="297"/>
    <x v="2"/>
    <x v="74"/>
    <x v="2"/>
    <x v="1"/>
    <x v="10"/>
    <x v="3"/>
    <x v="3"/>
    <x v="0"/>
    <x v="72"/>
  </r>
  <r>
    <x v="298"/>
    <x v="3"/>
    <n v="1"/>
    <x v="5"/>
    <d v="2014-05-23T00:00:00"/>
    <x v="213"/>
    <x v="177"/>
    <x v="2"/>
    <x v="0"/>
    <x v="293"/>
    <x v="294"/>
    <x v="0"/>
    <x v="298"/>
    <x v="2"/>
    <x v="3"/>
    <x v="0"/>
    <x v="1"/>
    <x v="10"/>
    <x v="3"/>
    <x v="3"/>
    <x v="0"/>
    <x v="78"/>
  </r>
  <r>
    <x v="299"/>
    <x v="56"/>
    <n v="3"/>
    <x v="3"/>
    <d v="2014-05-23T00:00:00"/>
    <x v="213"/>
    <x v="178"/>
    <x v="7"/>
    <x v="2"/>
    <x v="294"/>
    <x v="295"/>
    <x v="2"/>
    <x v="299"/>
    <x v="13"/>
    <x v="56"/>
    <x v="2"/>
    <x v="1"/>
    <x v="10"/>
    <x v="3"/>
    <x v="3"/>
    <x v="0"/>
    <x v="42"/>
  </r>
  <r>
    <x v="300"/>
    <x v="1"/>
    <n v="3"/>
    <x v="3"/>
    <d v="2014-05-26T00:00:00"/>
    <x v="214"/>
    <x v="178"/>
    <x v="3"/>
    <x v="2"/>
    <x v="295"/>
    <x v="296"/>
    <x v="4"/>
    <x v="300"/>
    <x v="2"/>
    <x v="1"/>
    <x v="2"/>
    <x v="1"/>
    <x v="10"/>
    <x v="3"/>
    <x v="3"/>
    <x v="0"/>
    <x v="0"/>
  </r>
  <r>
    <x v="301"/>
    <x v="21"/>
    <n v="5"/>
    <x v="0"/>
    <d v="2014-05-27T00:00:00"/>
    <x v="205"/>
    <x v="163"/>
    <x v="6"/>
    <x v="1"/>
    <x v="296"/>
    <x v="297"/>
    <x v="2"/>
    <x v="301"/>
    <x v="37"/>
    <x v="21"/>
    <x v="1"/>
    <x v="1"/>
    <x v="10"/>
    <x v="3"/>
    <x v="3"/>
    <x v="0"/>
    <x v="76"/>
  </r>
  <r>
    <x v="302"/>
    <x v="36"/>
    <n v="7"/>
    <x v="8"/>
    <d v="2014-05-28T00:00:00"/>
    <x v="215"/>
    <x v="172"/>
    <x v="12"/>
    <x v="0"/>
    <x v="297"/>
    <x v="298"/>
    <x v="5"/>
    <x v="302"/>
    <x v="20"/>
    <x v="36"/>
    <x v="0"/>
    <x v="1"/>
    <x v="10"/>
    <x v="3"/>
    <x v="3"/>
    <x v="0"/>
    <x v="71"/>
  </r>
  <r>
    <x v="303"/>
    <x v="47"/>
    <n v="4"/>
    <x v="2"/>
    <d v="2014-05-28T00:00:00"/>
    <x v="216"/>
    <x v="172"/>
    <x v="12"/>
    <x v="0"/>
    <x v="298"/>
    <x v="299"/>
    <x v="2"/>
    <x v="303"/>
    <x v="4"/>
    <x v="47"/>
    <x v="0"/>
    <x v="1"/>
    <x v="10"/>
    <x v="3"/>
    <x v="3"/>
    <x v="0"/>
    <x v="79"/>
  </r>
  <r>
    <x v="304"/>
    <x v="8"/>
    <n v="2"/>
    <x v="7"/>
    <d v="2014-05-29T00:00:00"/>
    <x v="217"/>
    <x v="179"/>
    <x v="3"/>
    <x v="1"/>
    <x v="299"/>
    <x v="300"/>
    <x v="0"/>
    <x v="304"/>
    <x v="17"/>
    <x v="8"/>
    <x v="1"/>
    <x v="1"/>
    <x v="10"/>
    <x v="3"/>
    <x v="3"/>
    <x v="0"/>
    <x v="80"/>
  </r>
  <r>
    <x v="305"/>
    <x v="16"/>
    <n v="2"/>
    <x v="7"/>
    <d v="2014-05-30T00:00:00"/>
    <x v="218"/>
    <x v="180"/>
    <x v="2"/>
    <x v="2"/>
    <x v="300"/>
    <x v="301"/>
    <x v="0"/>
    <x v="305"/>
    <x v="6"/>
    <x v="16"/>
    <x v="2"/>
    <x v="1"/>
    <x v="10"/>
    <x v="3"/>
    <x v="3"/>
    <x v="0"/>
    <x v="72"/>
  </r>
  <r>
    <x v="306"/>
    <x v="11"/>
    <n v="4"/>
    <x v="2"/>
    <d v="2014-05-30T00:00:00"/>
    <x v="218"/>
    <x v="179"/>
    <x v="5"/>
    <x v="0"/>
    <x v="301"/>
    <x v="302"/>
    <x v="1"/>
    <x v="306"/>
    <x v="12"/>
    <x v="11"/>
    <x v="0"/>
    <x v="1"/>
    <x v="10"/>
    <x v="3"/>
    <x v="3"/>
    <x v="0"/>
    <x v="79"/>
  </r>
  <r>
    <x v="307"/>
    <x v="45"/>
    <n v="6"/>
    <x v="1"/>
    <d v="2014-06-02T00:00:00"/>
    <x v="219"/>
    <x v="181"/>
    <x v="4"/>
    <x v="0"/>
    <x v="302"/>
    <x v="303"/>
    <x v="3"/>
    <x v="307"/>
    <x v="12"/>
    <x v="45"/>
    <x v="0"/>
    <x v="1"/>
    <x v="11"/>
    <x v="3"/>
    <x v="3"/>
    <x v="0"/>
    <x v="58"/>
  </r>
  <r>
    <x v="308"/>
    <x v="51"/>
    <n v="2"/>
    <x v="7"/>
    <d v="2014-06-03T00:00:00"/>
    <x v="220"/>
    <x v="173"/>
    <x v="7"/>
    <x v="1"/>
    <x v="303"/>
    <x v="304"/>
    <x v="0"/>
    <x v="308"/>
    <x v="13"/>
    <x v="51"/>
    <x v="1"/>
    <x v="1"/>
    <x v="11"/>
    <x v="3"/>
    <x v="3"/>
    <x v="0"/>
    <x v="81"/>
  </r>
  <r>
    <x v="309"/>
    <x v="26"/>
    <n v="9"/>
    <x v="4"/>
    <d v="2014-06-03T00:00:00"/>
    <x v="210"/>
    <x v="172"/>
    <x v="6"/>
    <x v="2"/>
    <x v="304"/>
    <x v="305"/>
    <x v="0"/>
    <x v="309"/>
    <x v="12"/>
    <x v="26"/>
    <x v="2"/>
    <x v="1"/>
    <x v="11"/>
    <x v="3"/>
    <x v="3"/>
    <x v="0"/>
    <x v="82"/>
  </r>
  <r>
    <x v="310"/>
    <x v="55"/>
    <n v="1"/>
    <x v="5"/>
    <d v="2014-06-04T00:00:00"/>
    <x v="221"/>
    <x v="182"/>
    <x v="5"/>
    <x v="2"/>
    <x v="305"/>
    <x v="306"/>
    <x v="0"/>
    <x v="310"/>
    <x v="7"/>
    <x v="55"/>
    <x v="2"/>
    <x v="1"/>
    <x v="11"/>
    <x v="3"/>
    <x v="3"/>
    <x v="0"/>
    <x v="57"/>
  </r>
  <r>
    <x v="311"/>
    <x v="15"/>
    <n v="6"/>
    <x v="1"/>
    <d v="2014-06-05T00:00:00"/>
    <x v="222"/>
    <x v="173"/>
    <x v="9"/>
    <x v="1"/>
    <x v="306"/>
    <x v="307"/>
    <x v="1"/>
    <x v="311"/>
    <x v="0"/>
    <x v="15"/>
    <x v="1"/>
    <x v="1"/>
    <x v="11"/>
    <x v="3"/>
    <x v="3"/>
    <x v="0"/>
    <x v="83"/>
  </r>
  <r>
    <x v="312"/>
    <x v="17"/>
    <n v="8"/>
    <x v="6"/>
    <d v="2014-06-06T00:00:00"/>
    <x v="223"/>
    <x v="183"/>
    <x v="6"/>
    <x v="1"/>
    <x v="307"/>
    <x v="308"/>
    <x v="0"/>
    <x v="312"/>
    <x v="5"/>
    <x v="17"/>
    <x v="1"/>
    <x v="1"/>
    <x v="11"/>
    <x v="3"/>
    <x v="3"/>
    <x v="0"/>
    <x v="74"/>
  </r>
  <r>
    <x v="313"/>
    <x v="14"/>
    <n v="2"/>
    <x v="7"/>
    <d v="2014-06-06T00:00:00"/>
    <x v="223"/>
    <x v="183"/>
    <x v="6"/>
    <x v="2"/>
    <x v="308"/>
    <x v="309"/>
    <x v="0"/>
    <x v="313"/>
    <x v="2"/>
    <x v="14"/>
    <x v="2"/>
    <x v="1"/>
    <x v="11"/>
    <x v="3"/>
    <x v="3"/>
    <x v="0"/>
    <x v="84"/>
  </r>
  <r>
    <x v="314"/>
    <x v="30"/>
    <n v="1"/>
    <x v="5"/>
    <d v="2014-06-09T00:00:00"/>
    <x v="224"/>
    <x v="184"/>
    <x v="6"/>
    <x v="1"/>
    <x v="309"/>
    <x v="310"/>
    <x v="5"/>
    <x v="314"/>
    <x v="5"/>
    <x v="30"/>
    <x v="1"/>
    <x v="1"/>
    <x v="11"/>
    <x v="3"/>
    <x v="3"/>
    <x v="0"/>
    <x v="85"/>
  </r>
  <r>
    <x v="315"/>
    <x v="29"/>
    <n v="2"/>
    <x v="7"/>
    <d v="2014-06-10T00:00:00"/>
    <x v="225"/>
    <x v="185"/>
    <x v="31"/>
    <x v="2"/>
    <x v="310"/>
    <x v="311"/>
    <x v="0"/>
    <x v="315"/>
    <x v="7"/>
    <x v="29"/>
    <x v="2"/>
    <x v="1"/>
    <x v="11"/>
    <x v="3"/>
    <x v="3"/>
    <x v="0"/>
    <x v="59"/>
  </r>
  <r>
    <x v="316"/>
    <x v="13"/>
    <n v="4"/>
    <x v="2"/>
    <d v="2014-06-10T00:00:00"/>
    <x v="226"/>
    <x v="186"/>
    <x v="5"/>
    <x v="0"/>
    <x v="311"/>
    <x v="312"/>
    <x v="1"/>
    <x v="316"/>
    <x v="9"/>
    <x v="13"/>
    <x v="0"/>
    <x v="1"/>
    <x v="11"/>
    <x v="3"/>
    <x v="3"/>
    <x v="0"/>
    <x v="71"/>
  </r>
  <r>
    <x v="317"/>
    <x v="49"/>
    <n v="8"/>
    <x v="6"/>
    <d v="2014-06-11T00:00:00"/>
    <x v="216"/>
    <x v="187"/>
    <x v="3"/>
    <x v="2"/>
    <x v="312"/>
    <x v="313"/>
    <x v="5"/>
    <x v="317"/>
    <x v="7"/>
    <x v="49"/>
    <x v="2"/>
    <x v="1"/>
    <x v="11"/>
    <x v="3"/>
    <x v="3"/>
    <x v="0"/>
    <x v="54"/>
  </r>
  <r>
    <x v="318"/>
    <x v="15"/>
    <n v="9"/>
    <x v="4"/>
    <d v="2014-06-12T00:00:00"/>
    <x v="227"/>
    <x v="187"/>
    <x v="5"/>
    <x v="1"/>
    <x v="313"/>
    <x v="314"/>
    <x v="2"/>
    <x v="318"/>
    <x v="11"/>
    <x v="15"/>
    <x v="1"/>
    <x v="1"/>
    <x v="11"/>
    <x v="3"/>
    <x v="3"/>
    <x v="0"/>
    <x v="72"/>
  </r>
  <r>
    <x v="319"/>
    <x v="34"/>
    <n v="1"/>
    <x v="5"/>
    <d v="2014-06-12T00:00:00"/>
    <x v="227"/>
    <x v="188"/>
    <x v="1"/>
    <x v="1"/>
    <x v="314"/>
    <x v="315"/>
    <x v="3"/>
    <x v="319"/>
    <x v="10"/>
    <x v="34"/>
    <x v="1"/>
    <x v="1"/>
    <x v="11"/>
    <x v="3"/>
    <x v="3"/>
    <x v="0"/>
    <x v="76"/>
  </r>
  <r>
    <x v="320"/>
    <x v="60"/>
    <n v="3"/>
    <x v="3"/>
    <d v="2014-06-13T00:00:00"/>
    <x v="228"/>
    <x v="189"/>
    <x v="16"/>
    <x v="0"/>
    <x v="315"/>
    <x v="316"/>
    <x v="0"/>
    <x v="320"/>
    <x v="21"/>
    <x v="60"/>
    <x v="0"/>
    <x v="1"/>
    <x v="11"/>
    <x v="3"/>
    <x v="3"/>
    <x v="0"/>
    <x v="69"/>
  </r>
  <r>
    <x v="321"/>
    <x v="13"/>
    <n v="5"/>
    <x v="0"/>
    <d v="2014-06-16T00:00:00"/>
    <x v="229"/>
    <x v="190"/>
    <x v="30"/>
    <x v="1"/>
    <x v="316"/>
    <x v="317"/>
    <x v="3"/>
    <x v="321"/>
    <x v="11"/>
    <x v="13"/>
    <x v="1"/>
    <x v="1"/>
    <x v="11"/>
    <x v="3"/>
    <x v="3"/>
    <x v="0"/>
    <x v="76"/>
  </r>
  <r>
    <x v="322"/>
    <x v="49"/>
    <n v="3"/>
    <x v="3"/>
    <d v="2014-06-17T00:00:00"/>
    <x v="220"/>
    <x v="191"/>
    <x v="4"/>
    <x v="0"/>
    <x v="317"/>
    <x v="318"/>
    <x v="1"/>
    <x v="322"/>
    <x v="6"/>
    <x v="49"/>
    <x v="0"/>
    <x v="1"/>
    <x v="11"/>
    <x v="3"/>
    <x v="3"/>
    <x v="0"/>
    <x v="72"/>
  </r>
  <r>
    <x v="323"/>
    <x v="9"/>
    <n v="8"/>
    <x v="6"/>
    <d v="2014-06-17T00:00:00"/>
    <x v="230"/>
    <x v="192"/>
    <x v="28"/>
    <x v="0"/>
    <x v="318"/>
    <x v="319"/>
    <x v="2"/>
    <x v="323"/>
    <x v="38"/>
    <x v="9"/>
    <x v="0"/>
    <x v="1"/>
    <x v="11"/>
    <x v="3"/>
    <x v="3"/>
    <x v="0"/>
    <x v="58"/>
  </r>
  <r>
    <x v="324"/>
    <x v="25"/>
    <n v="3"/>
    <x v="3"/>
    <d v="2014-06-18T00:00:00"/>
    <x v="231"/>
    <x v="193"/>
    <x v="3"/>
    <x v="2"/>
    <x v="319"/>
    <x v="320"/>
    <x v="5"/>
    <x v="324"/>
    <x v="0"/>
    <x v="25"/>
    <x v="2"/>
    <x v="1"/>
    <x v="11"/>
    <x v="3"/>
    <x v="3"/>
    <x v="0"/>
    <x v="79"/>
  </r>
  <r>
    <x v="325"/>
    <x v="59"/>
    <n v="7"/>
    <x v="8"/>
    <d v="2014-06-19T00:00:00"/>
    <x v="232"/>
    <x v="194"/>
    <x v="13"/>
    <x v="0"/>
    <x v="320"/>
    <x v="321"/>
    <x v="0"/>
    <x v="325"/>
    <x v="17"/>
    <x v="59"/>
    <x v="0"/>
    <x v="1"/>
    <x v="11"/>
    <x v="3"/>
    <x v="3"/>
    <x v="0"/>
    <x v="71"/>
  </r>
  <r>
    <x v="326"/>
    <x v="81"/>
    <n v="4"/>
    <x v="2"/>
    <d v="2014-06-19T00:00:00"/>
    <x v="232"/>
    <x v="195"/>
    <x v="8"/>
    <x v="2"/>
    <x v="321"/>
    <x v="322"/>
    <x v="0"/>
    <x v="326"/>
    <x v="19"/>
    <x v="81"/>
    <x v="2"/>
    <x v="1"/>
    <x v="11"/>
    <x v="3"/>
    <x v="3"/>
    <x v="0"/>
    <x v="85"/>
  </r>
  <r>
    <x v="327"/>
    <x v="24"/>
    <n v="5"/>
    <x v="0"/>
    <d v="2014-06-20T00:00:00"/>
    <x v="223"/>
    <x v="195"/>
    <x v="7"/>
    <x v="1"/>
    <x v="322"/>
    <x v="323"/>
    <x v="0"/>
    <x v="327"/>
    <x v="0"/>
    <x v="24"/>
    <x v="1"/>
    <x v="1"/>
    <x v="11"/>
    <x v="3"/>
    <x v="3"/>
    <x v="0"/>
    <x v="73"/>
  </r>
  <r>
    <x v="328"/>
    <x v="23"/>
    <n v="3"/>
    <x v="3"/>
    <d v="2014-06-23T00:00:00"/>
    <x v="224"/>
    <x v="195"/>
    <x v="3"/>
    <x v="0"/>
    <x v="323"/>
    <x v="324"/>
    <x v="0"/>
    <x v="328"/>
    <x v="2"/>
    <x v="23"/>
    <x v="0"/>
    <x v="1"/>
    <x v="11"/>
    <x v="3"/>
    <x v="3"/>
    <x v="0"/>
    <x v="70"/>
  </r>
  <r>
    <x v="329"/>
    <x v="81"/>
    <n v="9"/>
    <x v="4"/>
    <d v="2014-06-23T00:00:00"/>
    <x v="233"/>
    <x v="195"/>
    <x v="3"/>
    <x v="2"/>
    <x v="324"/>
    <x v="325"/>
    <x v="0"/>
    <x v="329"/>
    <x v="2"/>
    <x v="81"/>
    <x v="2"/>
    <x v="1"/>
    <x v="11"/>
    <x v="3"/>
    <x v="3"/>
    <x v="0"/>
    <x v="70"/>
  </r>
  <r>
    <x v="330"/>
    <x v="31"/>
    <n v="4"/>
    <x v="2"/>
    <d v="2014-06-24T00:00:00"/>
    <x v="225"/>
    <x v="196"/>
    <x v="32"/>
    <x v="0"/>
    <x v="325"/>
    <x v="326"/>
    <x v="0"/>
    <x v="330"/>
    <x v="5"/>
    <x v="31"/>
    <x v="0"/>
    <x v="1"/>
    <x v="11"/>
    <x v="3"/>
    <x v="3"/>
    <x v="0"/>
    <x v="70"/>
  </r>
  <r>
    <x v="331"/>
    <x v="82"/>
    <n v="1"/>
    <x v="5"/>
    <d v="2014-06-25T00:00:00"/>
    <x v="234"/>
    <x v="192"/>
    <x v="12"/>
    <x v="2"/>
    <x v="326"/>
    <x v="327"/>
    <x v="0"/>
    <x v="331"/>
    <x v="2"/>
    <x v="82"/>
    <x v="2"/>
    <x v="1"/>
    <x v="11"/>
    <x v="3"/>
    <x v="3"/>
    <x v="0"/>
    <x v="21"/>
  </r>
  <r>
    <x v="332"/>
    <x v="11"/>
    <n v="4"/>
    <x v="2"/>
    <d v="2014-06-26T00:00:00"/>
    <x v="235"/>
    <x v="197"/>
    <x v="1"/>
    <x v="0"/>
    <x v="327"/>
    <x v="328"/>
    <x v="1"/>
    <x v="332"/>
    <x v="6"/>
    <x v="11"/>
    <x v="0"/>
    <x v="1"/>
    <x v="11"/>
    <x v="3"/>
    <x v="3"/>
    <x v="0"/>
    <x v="58"/>
  </r>
  <r>
    <x v="333"/>
    <x v="52"/>
    <n v="3"/>
    <x v="3"/>
    <d v="2014-06-26T00:00:00"/>
    <x v="235"/>
    <x v="198"/>
    <x v="5"/>
    <x v="1"/>
    <x v="328"/>
    <x v="329"/>
    <x v="3"/>
    <x v="333"/>
    <x v="8"/>
    <x v="52"/>
    <x v="1"/>
    <x v="1"/>
    <x v="11"/>
    <x v="3"/>
    <x v="3"/>
    <x v="0"/>
    <x v="86"/>
  </r>
  <r>
    <x v="334"/>
    <x v="76"/>
    <n v="3"/>
    <x v="3"/>
    <d v="2014-06-27T00:00:00"/>
    <x v="236"/>
    <x v="199"/>
    <x v="28"/>
    <x v="2"/>
    <x v="329"/>
    <x v="330"/>
    <x v="0"/>
    <x v="334"/>
    <x v="18"/>
    <x v="76"/>
    <x v="2"/>
    <x v="1"/>
    <x v="11"/>
    <x v="3"/>
    <x v="3"/>
    <x v="0"/>
    <x v="87"/>
  </r>
  <r>
    <x v="335"/>
    <x v="16"/>
    <n v="2"/>
    <x v="7"/>
    <d v="2014-06-30T00:00:00"/>
    <x v="237"/>
    <x v="192"/>
    <x v="2"/>
    <x v="2"/>
    <x v="330"/>
    <x v="331"/>
    <x v="0"/>
    <x v="335"/>
    <x v="2"/>
    <x v="16"/>
    <x v="2"/>
    <x v="1"/>
    <x v="11"/>
    <x v="3"/>
    <x v="3"/>
    <x v="0"/>
    <x v="63"/>
  </r>
  <r>
    <x v="336"/>
    <x v="15"/>
    <n v="4"/>
    <x v="2"/>
    <d v="2014-06-30T00:00:00"/>
    <x v="237"/>
    <x v="192"/>
    <x v="2"/>
    <x v="1"/>
    <x v="331"/>
    <x v="332"/>
    <x v="1"/>
    <x v="336"/>
    <x v="8"/>
    <x v="15"/>
    <x v="1"/>
    <x v="1"/>
    <x v="11"/>
    <x v="3"/>
    <x v="3"/>
    <x v="0"/>
    <x v="76"/>
  </r>
  <r>
    <x v="337"/>
    <x v="7"/>
    <n v="7"/>
    <x v="8"/>
    <d v="2014-07-01T00:00:00"/>
    <x v="230"/>
    <x v="200"/>
    <x v="12"/>
    <x v="1"/>
    <x v="332"/>
    <x v="333"/>
    <x v="0"/>
    <x v="337"/>
    <x v="6"/>
    <x v="7"/>
    <x v="1"/>
    <x v="1"/>
    <x v="0"/>
    <x v="0"/>
    <x v="4"/>
    <x v="0"/>
    <x v="57"/>
  </r>
  <r>
    <x v="338"/>
    <x v="30"/>
    <n v="9"/>
    <x v="4"/>
    <d v="2014-07-02T00:00:00"/>
    <x v="238"/>
    <x v="189"/>
    <x v="3"/>
    <x v="1"/>
    <x v="333"/>
    <x v="334"/>
    <x v="2"/>
    <x v="338"/>
    <x v="18"/>
    <x v="30"/>
    <x v="1"/>
    <x v="1"/>
    <x v="0"/>
    <x v="0"/>
    <x v="4"/>
    <x v="0"/>
    <x v="68"/>
  </r>
  <r>
    <x v="339"/>
    <x v="12"/>
    <n v="1"/>
    <x v="5"/>
    <d v="2014-07-02T00:00:00"/>
    <x v="238"/>
    <x v="189"/>
    <x v="3"/>
    <x v="1"/>
    <x v="334"/>
    <x v="335"/>
    <x v="0"/>
    <x v="339"/>
    <x v="3"/>
    <x v="12"/>
    <x v="1"/>
    <x v="1"/>
    <x v="0"/>
    <x v="0"/>
    <x v="4"/>
    <x v="0"/>
    <x v="88"/>
  </r>
  <r>
    <x v="340"/>
    <x v="21"/>
    <n v="2"/>
    <x v="7"/>
    <d v="2014-07-03T00:00:00"/>
    <x v="239"/>
    <x v="200"/>
    <x v="3"/>
    <x v="0"/>
    <x v="335"/>
    <x v="336"/>
    <x v="3"/>
    <x v="340"/>
    <x v="4"/>
    <x v="21"/>
    <x v="0"/>
    <x v="1"/>
    <x v="0"/>
    <x v="0"/>
    <x v="4"/>
    <x v="0"/>
    <x v="67"/>
  </r>
  <r>
    <x v="341"/>
    <x v="79"/>
    <n v="8"/>
    <x v="6"/>
    <d v="2014-07-04T00:00:00"/>
    <x v="240"/>
    <x v="199"/>
    <x v="7"/>
    <x v="2"/>
    <x v="336"/>
    <x v="337"/>
    <x v="0"/>
    <x v="341"/>
    <x v="18"/>
    <x v="79"/>
    <x v="2"/>
    <x v="1"/>
    <x v="0"/>
    <x v="0"/>
    <x v="4"/>
    <x v="0"/>
    <x v="70"/>
  </r>
  <r>
    <x v="342"/>
    <x v="49"/>
    <n v="4"/>
    <x v="2"/>
    <d v="2014-07-07T00:00:00"/>
    <x v="233"/>
    <x v="199"/>
    <x v="3"/>
    <x v="0"/>
    <x v="337"/>
    <x v="338"/>
    <x v="0"/>
    <x v="342"/>
    <x v="5"/>
    <x v="49"/>
    <x v="0"/>
    <x v="1"/>
    <x v="0"/>
    <x v="0"/>
    <x v="4"/>
    <x v="0"/>
    <x v="70"/>
  </r>
  <r>
    <x v="343"/>
    <x v="61"/>
    <n v="1"/>
    <x v="5"/>
    <d v="2014-07-07T00:00:00"/>
    <x v="241"/>
    <x v="201"/>
    <x v="12"/>
    <x v="1"/>
    <x v="338"/>
    <x v="339"/>
    <x v="0"/>
    <x v="343"/>
    <x v="19"/>
    <x v="61"/>
    <x v="1"/>
    <x v="1"/>
    <x v="0"/>
    <x v="0"/>
    <x v="4"/>
    <x v="0"/>
    <x v="5"/>
  </r>
  <r>
    <x v="344"/>
    <x v="26"/>
    <n v="3"/>
    <x v="3"/>
    <d v="2014-07-08T00:00:00"/>
    <x v="242"/>
    <x v="201"/>
    <x v="9"/>
    <x v="1"/>
    <x v="339"/>
    <x v="340"/>
    <x v="1"/>
    <x v="344"/>
    <x v="7"/>
    <x v="26"/>
    <x v="1"/>
    <x v="1"/>
    <x v="0"/>
    <x v="0"/>
    <x v="4"/>
    <x v="0"/>
    <x v="21"/>
  </r>
  <r>
    <x v="345"/>
    <x v="26"/>
    <n v="7"/>
    <x v="8"/>
    <d v="2014-07-09T00:00:00"/>
    <x v="243"/>
    <x v="202"/>
    <x v="24"/>
    <x v="2"/>
    <x v="340"/>
    <x v="341"/>
    <x v="3"/>
    <x v="345"/>
    <x v="22"/>
    <x v="26"/>
    <x v="2"/>
    <x v="1"/>
    <x v="0"/>
    <x v="0"/>
    <x v="4"/>
    <x v="0"/>
    <x v="65"/>
  </r>
  <r>
    <x v="346"/>
    <x v="37"/>
    <n v="3"/>
    <x v="3"/>
    <d v="2014-07-09T00:00:00"/>
    <x v="243"/>
    <x v="201"/>
    <x v="3"/>
    <x v="2"/>
    <x v="341"/>
    <x v="342"/>
    <x v="0"/>
    <x v="346"/>
    <x v="13"/>
    <x v="37"/>
    <x v="2"/>
    <x v="1"/>
    <x v="0"/>
    <x v="0"/>
    <x v="4"/>
    <x v="0"/>
    <x v="68"/>
  </r>
  <r>
    <x v="347"/>
    <x v="9"/>
    <n v="2"/>
    <x v="7"/>
    <d v="2014-07-10T00:00:00"/>
    <x v="244"/>
    <x v="199"/>
    <x v="2"/>
    <x v="1"/>
    <x v="342"/>
    <x v="343"/>
    <x v="4"/>
    <x v="347"/>
    <x v="12"/>
    <x v="9"/>
    <x v="1"/>
    <x v="1"/>
    <x v="0"/>
    <x v="0"/>
    <x v="4"/>
    <x v="0"/>
    <x v="70"/>
  </r>
  <r>
    <x v="348"/>
    <x v="19"/>
    <n v="8"/>
    <x v="6"/>
    <d v="2014-07-11T00:00:00"/>
    <x v="245"/>
    <x v="203"/>
    <x v="21"/>
    <x v="1"/>
    <x v="343"/>
    <x v="344"/>
    <x v="3"/>
    <x v="348"/>
    <x v="21"/>
    <x v="19"/>
    <x v="1"/>
    <x v="1"/>
    <x v="0"/>
    <x v="0"/>
    <x v="4"/>
    <x v="0"/>
    <x v="75"/>
  </r>
  <r>
    <x v="349"/>
    <x v="54"/>
    <n v="7"/>
    <x v="8"/>
    <d v="2014-07-11T00:00:00"/>
    <x v="245"/>
    <x v="204"/>
    <x v="3"/>
    <x v="0"/>
    <x v="344"/>
    <x v="345"/>
    <x v="3"/>
    <x v="349"/>
    <x v="11"/>
    <x v="54"/>
    <x v="0"/>
    <x v="1"/>
    <x v="0"/>
    <x v="0"/>
    <x v="4"/>
    <x v="0"/>
    <x v="54"/>
  </r>
  <r>
    <x v="350"/>
    <x v="13"/>
    <n v="1"/>
    <x v="5"/>
    <d v="2014-07-14T00:00:00"/>
    <x v="246"/>
    <x v="204"/>
    <x v="2"/>
    <x v="0"/>
    <x v="345"/>
    <x v="346"/>
    <x v="0"/>
    <x v="350"/>
    <x v="8"/>
    <x v="13"/>
    <x v="0"/>
    <x v="1"/>
    <x v="0"/>
    <x v="0"/>
    <x v="4"/>
    <x v="0"/>
    <x v="89"/>
  </r>
  <r>
    <x v="351"/>
    <x v="31"/>
    <n v="6"/>
    <x v="1"/>
    <d v="2014-07-15T00:00:00"/>
    <x v="247"/>
    <x v="205"/>
    <x v="5"/>
    <x v="0"/>
    <x v="346"/>
    <x v="347"/>
    <x v="0"/>
    <x v="351"/>
    <x v="2"/>
    <x v="31"/>
    <x v="0"/>
    <x v="1"/>
    <x v="0"/>
    <x v="0"/>
    <x v="4"/>
    <x v="0"/>
    <x v="60"/>
  </r>
  <r>
    <x v="352"/>
    <x v="64"/>
    <n v="4"/>
    <x v="2"/>
    <d v="2014-07-16T00:00:00"/>
    <x v="248"/>
    <x v="205"/>
    <x v="1"/>
    <x v="1"/>
    <x v="347"/>
    <x v="348"/>
    <x v="0"/>
    <x v="352"/>
    <x v="18"/>
    <x v="64"/>
    <x v="1"/>
    <x v="1"/>
    <x v="0"/>
    <x v="0"/>
    <x v="4"/>
    <x v="0"/>
    <x v="56"/>
  </r>
  <r>
    <x v="353"/>
    <x v="8"/>
    <n v="7"/>
    <x v="8"/>
    <d v="2014-07-16T00:00:00"/>
    <x v="249"/>
    <x v="206"/>
    <x v="5"/>
    <x v="1"/>
    <x v="348"/>
    <x v="349"/>
    <x v="0"/>
    <x v="353"/>
    <x v="10"/>
    <x v="8"/>
    <x v="1"/>
    <x v="1"/>
    <x v="0"/>
    <x v="0"/>
    <x v="4"/>
    <x v="0"/>
    <x v="62"/>
  </r>
  <r>
    <x v="354"/>
    <x v="61"/>
    <n v="8"/>
    <x v="6"/>
    <d v="2014-07-17T00:00:00"/>
    <x v="250"/>
    <x v="206"/>
    <x v="1"/>
    <x v="2"/>
    <x v="349"/>
    <x v="350"/>
    <x v="4"/>
    <x v="354"/>
    <x v="21"/>
    <x v="61"/>
    <x v="2"/>
    <x v="1"/>
    <x v="0"/>
    <x v="0"/>
    <x v="4"/>
    <x v="0"/>
    <x v="43"/>
  </r>
  <r>
    <x v="355"/>
    <x v="45"/>
    <n v="8"/>
    <x v="6"/>
    <d v="2014-07-18T00:00:00"/>
    <x v="251"/>
    <x v="207"/>
    <x v="23"/>
    <x v="2"/>
    <x v="350"/>
    <x v="351"/>
    <x v="0"/>
    <x v="355"/>
    <x v="39"/>
    <x v="45"/>
    <x v="2"/>
    <x v="1"/>
    <x v="0"/>
    <x v="0"/>
    <x v="4"/>
    <x v="0"/>
    <x v="72"/>
  </r>
  <r>
    <x v="356"/>
    <x v="47"/>
    <n v="1"/>
    <x v="5"/>
    <d v="2014-07-18T00:00:00"/>
    <x v="251"/>
    <x v="208"/>
    <x v="8"/>
    <x v="1"/>
    <x v="351"/>
    <x v="352"/>
    <x v="5"/>
    <x v="356"/>
    <x v="3"/>
    <x v="47"/>
    <x v="1"/>
    <x v="1"/>
    <x v="0"/>
    <x v="0"/>
    <x v="4"/>
    <x v="0"/>
    <x v="90"/>
  </r>
  <r>
    <x v="357"/>
    <x v="49"/>
    <n v="1"/>
    <x v="5"/>
    <d v="2014-07-21T00:00:00"/>
    <x v="252"/>
    <x v="208"/>
    <x v="9"/>
    <x v="2"/>
    <x v="352"/>
    <x v="353"/>
    <x v="1"/>
    <x v="357"/>
    <x v="12"/>
    <x v="49"/>
    <x v="2"/>
    <x v="1"/>
    <x v="0"/>
    <x v="0"/>
    <x v="4"/>
    <x v="0"/>
    <x v="79"/>
  </r>
  <r>
    <x v="358"/>
    <x v="33"/>
    <n v="4"/>
    <x v="2"/>
    <d v="2014-07-22T00:00:00"/>
    <x v="253"/>
    <x v="209"/>
    <x v="12"/>
    <x v="0"/>
    <x v="353"/>
    <x v="354"/>
    <x v="3"/>
    <x v="358"/>
    <x v="5"/>
    <x v="33"/>
    <x v="0"/>
    <x v="1"/>
    <x v="0"/>
    <x v="0"/>
    <x v="4"/>
    <x v="0"/>
    <x v="64"/>
  </r>
  <r>
    <x v="359"/>
    <x v="45"/>
    <n v="5"/>
    <x v="0"/>
    <d v="2014-07-22T00:00:00"/>
    <x v="253"/>
    <x v="196"/>
    <x v="6"/>
    <x v="1"/>
    <x v="354"/>
    <x v="355"/>
    <x v="0"/>
    <x v="359"/>
    <x v="15"/>
    <x v="45"/>
    <x v="1"/>
    <x v="1"/>
    <x v="0"/>
    <x v="0"/>
    <x v="4"/>
    <x v="0"/>
    <x v="78"/>
  </r>
  <r>
    <x v="360"/>
    <x v="1"/>
    <n v="4"/>
    <x v="2"/>
    <d v="2014-07-23T00:00:00"/>
    <x v="254"/>
    <x v="210"/>
    <x v="12"/>
    <x v="2"/>
    <x v="355"/>
    <x v="356"/>
    <x v="0"/>
    <x v="360"/>
    <x v="31"/>
    <x v="1"/>
    <x v="2"/>
    <x v="1"/>
    <x v="0"/>
    <x v="0"/>
    <x v="4"/>
    <x v="0"/>
    <x v="75"/>
  </r>
  <r>
    <x v="361"/>
    <x v="41"/>
    <n v="7"/>
    <x v="8"/>
    <d v="2014-07-24T00:00:00"/>
    <x v="255"/>
    <x v="211"/>
    <x v="5"/>
    <x v="2"/>
    <x v="356"/>
    <x v="59"/>
    <x v="0"/>
    <x v="361"/>
    <x v="35"/>
    <x v="41"/>
    <x v="2"/>
    <x v="1"/>
    <x v="0"/>
    <x v="0"/>
    <x v="4"/>
    <x v="0"/>
    <x v="70"/>
  </r>
  <r>
    <x v="362"/>
    <x v="53"/>
    <n v="8"/>
    <x v="6"/>
    <d v="2014-07-25T00:00:00"/>
    <x v="256"/>
    <x v="212"/>
    <x v="0"/>
    <x v="1"/>
    <x v="92"/>
    <x v="357"/>
    <x v="4"/>
    <x v="362"/>
    <x v="22"/>
    <x v="53"/>
    <x v="1"/>
    <x v="1"/>
    <x v="0"/>
    <x v="0"/>
    <x v="4"/>
    <x v="0"/>
    <x v="59"/>
  </r>
  <r>
    <x v="363"/>
    <x v="63"/>
    <n v="6"/>
    <x v="1"/>
    <d v="2014-07-25T00:00:00"/>
    <x v="256"/>
    <x v="210"/>
    <x v="3"/>
    <x v="2"/>
    <x v="357"/>
    <x v="358"/>
    <x v="0"/>
    <x v="363"/>
    <x v="3"/>
    <x v="63"/>
    <x v="2"/>
    <x v="1"/>
    <x v="0"/>
    <x v="0"/>
    <x v="4"/>
    <x v="0"/>
    <x v="70"/>
  </r>
  <r>
    <x v="364"/>
    <x v="45"/>
    <n v="1"/>
    <x v="5"/>
    <d v="2014-07-28T00:00:00"/>
    <x v="257"/>
    <x v="210"/>
    <x v="2"/>
    <x v="2"/>
    <x v="358"/>
    <x v="359"/>
    <x v="0"/>
    <x v="364"/>
    <x v="24"/>
    <x v="45"/>
    <x v="2"/>
    <x v="1"/>
    <x v="0"/>
    <x v="0"/>
    <x v="4"/>
    <x v="0"/>
    <x v="69"/>
  </r>
  <r>
    <x v="365"/>
    <x v="8"/>
    <n v="4"/>
    <x v="2"/>
    <d v="2014-07-29T00:00:00"/>
    <x v="247"/>
    <x v="210"/>
    <x v="6"/>
    <x v="2"/>
    <x v="359"/>
    <x v="360"/>
    <x v="5"/>
    <x v="365"/>
    <x v="20"/>
    <x v="8"/>
    <x v="2"/>
    <x v="1"/>
    <x v="0"/>
    <x v="0"/>
    <x v="4"/>
    <x v="0"/>
    <x v="62"/>
  </r>
  <r>
    <x v="366"/>
    <x v="76"/>
    <n v="8"/>
    <x v="6"/>
    <d v="2014-07-29T00:00:00"/>
    <x v="247"/>
    <x v="210"/>
    <x v="6"/>
    <x v="0"/>
    <x v="360"/>
    <x v="361"/>
    <x v="0"/>
    <x v="366"/>
    <x v="19"/>
    <x v="76"/>
    <x v="0"/>
    <x v="1"/>
    <x v="0"/>
    <x v="0"/>
    <x v="4"/>
    <x v="0"/>
    <x v="72"/>
  </r>
  <r>
    <x v="367"/>
    <x v="83"/>
    <n v="2"/>
    <x v="7"/>
    <d v="2014-07-30T00:00:00"/>
    <x v="249"/>
    <x v="212"/>
    <x v="3"/>
    <x v="0"/>
    <x v="361"/>
    <x v="362"/>
    <x v="0"/>
    <x v="367"/>
    <x v="21"/>
    <x v="83"/>
    <x v="0"/>
    <x v="1"/>
    <x v="0"/>
    <x v="0"/>
    <x v="4"/>
    <x v="0"/>
    <x v="46"/>
  </r>
  <r>
    <x v="368"/>
    <x v="79"/>
    <n v="1"/>
    <x v="5"/>
    <d v="2014-07-31T00:00:00"/>
    <x v="258"/>
    <x v="213"/>
    <x v="1"/>
    <x v="2"/>
    <x v="362"/>
    <x v="363"/>
    <x v="1"/>
    <x v="368"/>
    <x v="6"/>
    <x v="79"/>
    <x v="2"/>
    <x v="1"/>
    <x v="0"/>
    <x v="0"/>
    <x v="4"/>
    <x v="0"/>
    <x v="91"/>
  </r>
  <r>
    <x v="369"/>
    <x v="79"/>
    <n v="4"/>
    <x v="2"/>
    <d v="2014-07-31T00:00:00"/>
    <x v="258"/>
    <x v="214"/>
    <x v="2"/>
    <x v="2"/>
    <x v="363"/>
    <x v="364"/>
    <x v="2"/>
    <x v="369"/>
    <x v="12"/>
    <x v="79"/>
    <x v="2"/>
    <x v="1"/>
    <x v="0"/>
    <x v="0"/>
    <x v="4"/>
    <x v="0"/>
    <x v="73"/>
  </r>
  <r>
    <x v="370"/>
    <x v="49"/>
    <n v="1"/>
    <x v="5"/>
    <d v="2014-08-01T00:00:00"/>
    <x v="259"/>
    <x v="207"/>
    <x v="3"/>
    <x v="1"/>
    <x v="364"/>
    <x v="365"/>
    <x v="0"/>
    <x v="370"/>
    <x v="24"/>
    <x v="49"/>
    <x v="1"/>
    <x v="1"/>
    <x v="1"/>
    <x v="0"/>
    <x v="4"/>
    <x v="0"/>
    <x v="92"/>
  </r>
  <r>
    <x v="371"/>
    <x v="49"/>
    <n v="3"/>
    <x v="3"/>
    <d v="2014-08-04T00:00:00"/>
    <x v="260"/>
    <x v="215"/>
    <x v="6"/>
    <x v="0"/>
    <x v="365"/>
    <x v="366"/>
    <x v="0"/>
    <x v="371"/>
    <x v="29"/>
    <x v="49"/>
    <x v="0"/>
    <x v="1"/>
    <x v="1"/>
    <x v="0"/>
    <x v="4"/>
    <x v="0"/>
    <x v="5"/>
  </r>
  <r>
    <x v="372"/>
    <x v="75"/>
    <n v="2"/>
    <x v="7"/>
    <d v="2014-08-05T00:00:00"/>
    <x v="261"/>
    <x v="216"/>
    <x v="12"/>
    <x v="0"/>
    <x v="366"/>
    <x v="367"/>
    <x v="0"/>
    <x v="372"/>
    <x v="21"/>
    <x v="75"/>
    <x v="0"/>
    <x v="1"/>
    <x v="1"/>
    <x v="0"/>
    <x v="4"/>
    <x v="0"/>
    <x v="54"/>
  </r>
  <r>
    <x v="373"/>
    <x v="42"/>
    <n v="4"/>
    <x v="2"/>
    <d v="2014-08-05T00:00:00"/>
    <x v="261"/>
    <x v="217"/>
    <x v="5"/>
    <x v="2"/>
    <x v="367"/>
    <x v="368"/>
    <x v="0"/>
    <x v="373"/>
    <x v="21"/>
    <x v="42"/>
    <x v="2"/>
    <x v="1"/>
    <x v="1"/>
    <x v="0"/>
    <x v="4"/>
    <x v="0"/>
    <x v="93"/>
  </r>
  <r>
    <x v="374"/>
    <x v="29"/>
    <n v="4"/>
    <x v="2"/>
    <d v="2014-08-06T00:00:00"/>
    <x v="262"/>
    <x v="217"/>
    <x v="1"/>
    <x v="0"/>
    <x v="368"/>
    <x v="369"/>
    <x v="0"/>
    <x v="374"/>
    <x v="5"/>
    <x v="29"/>
    <x v="0"/>
    <x v="1"/>
    <x v="1"/>
    <x v="0"/>
    <x v="4"/>
    <x v="0"/>
    <x v="59"/>
  </r>
  <r>
    <x v="375"/>
    <x v="17"/>
    <n v="8"/>
    <x v="6"/>
    <d v="2014-08-07T00:00:00"/>
    <x v="263"/>
    <x v="203"/>
    <x v="1"/>
    <x v="2"/>
    <x v="369"/>
    <x v="370"/>
    <x v="0"/>
    <x v="375"/>
    <x v="22"/>
    <x v="17"/>
    <x v="2"/>
    <x v="1"/>
    <x v="1"/>
    <x v="0"/>
    <x v="4"/>
    <x v="0"/>
    <x v="58"/>
  </r>
  <r>
    <x v="376"/>
    <x v="84"/>
    <n v="4"/>
    <x v="2"/>
    <d v="2014-08-07T00:00:00"/>
    <x v="263"/>
    <x v="218"/>
    <x v="0"/>
    <x v="2"/>
    <x v="370"/>
    <x v="371"/>
    <x v="0"/>
    <x v="376"/>
    <x v="2"/>
    <x v="84"/>
    <x v="2"/>
    <x v="1"/>
    <x v="1"/>
    <x v="0"/>
    <x v="4"/>
    <x v="0"/>
    <x v="55"/>
  </r>
  <r>
    <x v="377"/>
    <x v="39"/>
    <n v="3"/>
    <x v="3"/>
    <d v="2014-08-08T00:00:00"/>
    <x v="264"/>
    <x v="216"/>
    <x v="5"/>
    <x v="1"/>
    <x v="371"/>
    <x v="372"/>
    <x v="0"/>
    <x v="377"/>
    <x v="35"/>
    <x v="39"/>
    <x v="1"/>
    <x v="1"/>
    <x v="1"/>
    <x v="0"/>
    <x v="4"/>
    <x v="0"/>
    <x v="58"/>
  </r>
  <r>
    <x v="378"/>
    <x v="25"/>
    <n v="1"/>
    <x v="5"/>
    <d v="2014-08-11T00:00:00"/>
    <x v="265"/>
    <x v="219"/>
    <x v="12"/>
    <x v="2"/>
    <x v="372"/>
    <x v="373"/>
    <x v="0"/>
    <x v="378"/>
    <x v="0"/>
    <x v="25"/>
    <x v="2"/>
    <x v="1"/>
    <x v="1"/>
    <x v="0"/>
    <x v="4"/>
    <x v="0"/>
    <x v="94"/>
  </r>
  <r>
    <x v="379"/>
    <x v="45"/>
    <n v="8"/>
    <x v="6"/>
    <d v="2014-08-11T00:00:00"/>
    <x v="266"/>
    <x v="220"/>
    <x v="7"/>
    <x v="0"/>
    <x v="373"/>
    <x v="374"/>
    <x v="0"/>
    <x v="379"/>
    <x v="6"/>
    <x v="45"/>
    <x v="0"/>
    <x v="1"/>
    <x v="1"/>
    <x v="0"/>
    <x v="4"/>
    <x v="0"/>
    <x v="60"/>
  </r>
  <r>
    <x v="380"/>
    <x v="15"/>
    <n v="4"/>
    <x v="2"/>
    <d v="2014-08-12T00:00:00"/>
    <x v="267"/>
    <x v="219"/>
    <x v="9"/>
    <x v="0"/>
    <x v="374"/>
    <x v="375"/>
    <x v="0"/>
    <x v="380"/>
    <x v="7"/>
    <x v="15"/>
    <x v="0"/>
    <x v="1"/>
    <x v="1"/>
    <x v="0"/>
    <x v="4"/>
    <x v="0"/>
    <x v="70"/>
  </r>
  <r>
    <x v="381"/>
    <x v="36"/>
    <n v="4"/>
    <x v="2"/>
    <d v="2014-08-12T00:00:00"/>
    <x v="267"/>
    <x v="219"/>
    <x v="9"/>
    <x v="0"/>
    <x v="375"/>
    <x v="376"/>
    <x v="0"/>
    <x v="381"/>
    <x v="5"/>
    <x v="36"/>
    <x v="0"/>
    <x v="1"/>
    <x v="1"/>
    <x v="0"/>
    <x v="4"/>
    <x v="0"/>
    <x v="63"/>
  </r>
  <r>
    <x v="382"/>
    <x v="44"/>
    <n v="1"/>
    <x v="5"/>
    <d v="2014-08-13T00:00:00"/>
    <x v="268"/>
    <x v="218"/>
    <x v="5"/>
    <x v="2"/>
    <x v="376"/>
    <x v="377"/>
    <x v="1"/>
    <x v="382"/>
    <x v="0"/>
    <x v="44"/>
    <x v="2"/>
    <x v="1"/>
    <x v="1"/>
    <x v="0"/>
    <x v="4"/>
    <x v="0"/>
    <x v="46"/>
  </r>
  <r>
    <x v="383"/>
    <x v="53"/>
    <n v="8"/>
    <x v="6"/>
    <d v="2014-08-14T00:00:00"/>
    <x v="269"/>
    <x v="221"/>
    <x v="13"/>
    <x v="1"/>
    <x v="377"/>
    <x v="378"/>
    <x v="5"/>
    <x v="383"/>
    <x v="20"/>
    <x v="53"/>
    <x v="1"/>
    <x v="1"/>
    <x v="1"/>
    <x v="0"/>
    <x v="4"/>
    <x v="0"/>
    <x v="86"/>
  </r>
  <r>
    <x v="384"/>
    <x v="35"/>
    <n v="8"/>
    <x v="6"/>
    <d v="2014-08-14T00:00:00"/>
    <x v="269"/>
    <x v="218"/>
    <x v="1"/>
    <x v="1"/>
    <x v="378"/>
    <x v="379"/>
    <x v="1"/>
    <x v="384"/>
    <x v="12"/>
    <x v="35"/>
    <x v="1"/>
    <x v="1"/>
    <x v="1"/>
    <x v="0"/>
    <x v="4"/>
    <x v="0"/>
    <x v="59"/>
  </r>
  <r>
    <x v="385"/>
    <x v="9"/>
    <n v="7"/>
    <x v="8"/>
    <d v="2014-08-15T00:00:00"/>
    <x v="259"/>
    <x v="222"/>
    <x v="6"/>
    <x v="0"/>
    <x v="379"/>
    <x v="380"/>
    <x v="2"/>
    <x v="385"/>
    <x v="25"/>
    <x v="9"/>
    <x v="0"/>
    <x v="1"/>
    <x v="1"/>
    <x v="0"/>
    <x v="4"/>
    <x v="0"/>
    <x v="75"/>
  </r>
  <r>
    <x v="386"/>
    <x v="68"/>
    <n v="4"/>
    <x v="2"/>
    <d v="2014-08-15T00:00:00"/>
    <x v="259"/>
    <x v="220"/>
    <x v="5"/>
    <x v="0"/>
    <x v="380"/>
    <x v="381"/>
    <x v="0"/>
    <x v="386"/>
    <x v="11"/>
    <x v="68"/>
    <x v="0"/>
    <x v="1"/>
    <x v="1"/>
    <x v="0"/>
    <x v="4"/>
    <x v="0"/>
    <x v="78"/>
  </r>
  <r>
    <x v="387"/>
    <x v="22"/>
    <n v="8"/>
    <x v="6"/>
    <d v="2014-08-18T00:00:00"/>
    <x v="270"/>
    <x v="220"/>
    <x v="6"/>
    <x v="0"/>
    <x v="381"/>
    <x v="382"/>
    <x v="5"/>
    <x v="387"/>
    <x v="2"/>
    <x v="22"/>
    <x v="0"/>
    <x v="1"/>
    <x v="1"/>
    <x v="0"/>
    <x v="4"/>
    <x v="0"/>
    <x v="64"/>
  </r>
  <r>
    <x v="388"/>
    <x v="16"/>
    <n v="4"/>
    <x v="2"/>
    <d v="2014-08-19T00:00:00"/>
    <x v="271"/>
    <x v="223"/>
    <x v="3"/>
    <x v="1"/>
    <x v="47"/>
    <x v="383"/>
    <x v="0"/>
    <x v="388"/>
    <x v="7"/>
    <x v="16"/>
    <x v="1"/>
    <x v="1"/>
    <x v="1"/>
    <x v="0"/>
    <x v="4"/>
    <x v="0"/>
    <x v="64"/>
  </r>
  <r>
    <x v="389"/>
    <x v="62"/>
    <n v="6"/>
    <x v="1"/>
    <d v="2014-08-19T00:00:00"/>
    <x v="271"/>
    <x v="223"/>
    <x v="3"/>
    <x v="1"/>
    <x v="382"/>
    <x v="384"/>
    <x v="0"/>
    <x v="389"/>
    <x v="2"/>
    <x v="62"/>
    <x v="1"/>
    <x v="1"/>
    <x v="1"/>
    <x v="0"/>
    <x v="4"/>
    <x v="0"/>
    <x v="72"/>
  </r>
  <r>
    <x v="390"/>
    <x v="67"/>
    <n v="3"/>
    <x v="3"/>
    <d v="2014-08-20T00:00:00"/>
    <x v="272"/>
    <x v="224"/>
    <x v="0"/>
    <x v="1"/>
    <x v="383"/>
    <x v="385"/>
    <x v="0"/>
    <x v="390"/>
    <x v="5"/>
    <x v="67"/>
    <x v="1"/>
    <x v="1"/>
    <x v="1"/>
    <x v="0"/>
    <x v="4"/>
    <x v="0"/>
    <x v="57"/>
  </r>
  <r>
    <x v="391"/>
    <x v="65"/>
    <n v="7"/>
    <x v="8"/>
    <d v="2014-08-20T00:00:00"/>
    <x v="272"/>
    <x v="225"/>
    <x v="3"/>
    <x v="0"/>
    <x v="384"/>
    <x v="386"/>
    <x v="0"/>
    <x v="391"/>
    <x v="20"/>
    <x v="65"/>
    <x v="0"/>
    <x v="1"/>
    <x v="1"/>
    <x v="0"/>
    <x v="4"/>
    <x v="0"/>
    <x v="67"/>
  </r>
  <r>
    <x v="392"/>
    <x v="35"/>
    <n v="4"/>
    <x v="2"/>
    <d v="2014-08-21T00:00:00"/>
    <x v="273"/>
    <x v="226"/>
    <x v="3"/>
    <x v="1"/>
    <x v="385"/>
    <x v="387"/>
    <x v="4"/>
    <x v="392"/>
    <x v="5"/>
    <x v="35"/>
    <x v="1"/>
    <x v="1"/>
    <x v="1"/>
    <x v="0"/>
    <x v="4"/>
    <x v="0"/>
    <x v="80"/>
  </r>
  <r>
    <x v="393"/>
    <x v="8"/>
    <n v="4"/>
    <x v="2"/>
    <d v="2014-08-22T00:00:00"/>
    <x v="274"/>
    <x v="223"/>
    <x v="2"/>
    <x v="2"/>
    <x v="386"/>
    <x v="388"/>
    <x v="0"/>
    <x v="393"/>
    <x v="8"/>
    <x v="8"/>
    <x v="2"/>
    <x v="1"/>
    <x v="1"/>
    <x v="0"/>
    <x v="4"/>
    <x v="0"/>
    <x v="59"/>
  </r>
  <r>
    <x v="394"/>
    <x v="51"/>
    <n v="7"/>
    <x v="8"/>
    <d v="2014-08-22T00:00:00"/>
    <x v="274"/>
    <x v="227"/>
    <x v="31"/>
    <x v="0"/>
    <x v="387"/>
    <x v="389"/>
    <x v="3"/>
    <x v="394"/>
    <x v="12"/>
    <x v="51"/>
    <x v="0"/>
    <x v="1"/>
    <x v="1"/>
    <x v="0"/>
    <x v="4"/>
    <x v="0"/>
    <x v="5"/>
  </r>
  <r>
    <x v="395"/>
    <x v="85"/>
    <n v="6"/>
    <x v="1"/>
    <d v="2014-08-25T00:00:00"/>
    <x v="266"/>
    <x v="228"/>
    <x v="9"/>
    <x v="1"/>
    <x v="388"/>
    <x v="390"/>
    <x v="4"/>
    <x v="395"/>
    <x v="6"/>
    <x v="85"/>
    <x v="1"/>
    <x v="1"/>
    <x v="1"/>
    <x v="0"/>
    <x v="4"/>
    <x v="0"/>
    <x v="55"/>
  </r>
  <r>
    <x v="396"/>
    <x v="7"/>
    <n v="3"/>
    <x v="3"/>
    <d v="2014-08-25T00:00:00"/>
    <x v="266"/>
    <x v="224"/>
    <x v="3"/>
    <x v="2"/>
    <x v="389"/>
    <x v="391"/>
    <x v="5"/>
    <x v="396"/>
    <x v="18"/>
    <x v="7"/>
    <x v="2"/>
    <x v="1"/>
    <x v="1"/>
    <x v="0"/>
    <x v="4"/>
    <x v="0"/>
    <x v="67"/>
  </r>
  <r>
    <x v="397"/>
    <x v="2"/>
    <n v="4"/>
    <x v="2"/>
    <d v="2014-08-26T00:00:00"/>
    <x v="275"/>
    <x v="228"/>
    <x v="3"/>
    <x v="1"/>
    <x v="390"/>
    <x v="392"/>
    <x v="0"/>
    <x v="397"/>
    <x v="5"/>
    <x v="2"/>
    <x v="1"/>
    <x v="1"/>
    <x v="1"/>
    <x v="0"/>
    <x v="4"/>
    <x v="0"/>
    <x v="67"/>
  </r>
  <r>
    <x v="398"/>
    <x v="34"/>
    <n v="9"/>
    <x v="4"/>
    <d v="2014-08-27T00:00:00"/>
    <x v="276"/>
    <x v="229"/>
    <x v="3"/>
    <x v="0"/>
    <x v="391"/>
    <x v="393"/>
    <x v="4"/>
    <x v="398"/>
    <x v="6"/>
    <x v="34"/>
    <x v="0"/>
    <x v="1"/>
    <x v="1"/>
    <x v="0"/>
    <x v="4"/>
    <x v="0"/>
    <x v="70"/>
  </r>
  <r>
    <x v="399"/>
    <x v="12"/>
    <n v="4"/>
    <x v="2"/>
    <d v="2014-08-27T00:00:00"/>
    <x v="268"/>
    <x v="229"/>
    <x v="3"/>
    <x v="2"/>
    <x v="392"/>
    <x v="394"/>
    <x v="0"/>
    <x v="399"/>
    <x v="12"/>
    <x v="12"/>
    <x v="2"/>
    <x v="1"/>
    <x v="1"/>
    <x v="0"/>
    <x v="4"/>
    <x v="0"/>
    <x v="93"/>
  </r>
  <r>
    <x v="400"/>
    <x v="29"/>
    <n v="5"/>
    <x v="0"/>
    <d v="2014-08-28T00:00:00"/>
    <x v="277"/>
    <x v="230"/>
    <x v="0"/>
    <x v="2"/>
    <x v="393"/>
    <x v="395"/>
    <x v="0"/>
    <x v="400"/>
    <x v="6"/>
    <x v="29"/>
    <x v="2"/>
    <x v="1"/>
    <x v="1"/>
    <x v="0"/>
    <x v="4"/>
    <x v="0"/>
    <x v="72"/>
  </r>
  <r>
    <x v="401"/>
    <x v="80"/>
    <n v="5"/>
    <x v="0"/>
    <d v="2014-08-28T00:00:00"/>
    <x v="278"/>
    <x v="231"/>
    <x v="13"/>
    <x v="0"/>
    <x v="394"/>
    <x v="396"/>
    <x v="0"/>
    <x v="401"/>
    <x v="5"/>
    <x v="80"/>
    <x v="0"/>
    <x v="1"/>
    <x v="1"/>
    <x v="0"/>
    <x v="4"/>
    <x v="0"/>
    <x v="55"/>
  </r>
  <r>
    <x v="402"/>
    <x v="52"/>
    <n v="5"/>
    <x v="0"/>
    <d v="2014-08-29T00:00:00"/>
    <x v="279"/>
    <x v="229"/>
    <x v="1"/>
    <x v="0"/>
    <x v="395"/>
    <x v="397"/>
    <x v="0"/>
    <x v="402"/>
    <x v="12"/>
    <x v="52"/>
    <x v="0"/>
    <x v="1"/>
    <x v="1"/>
    <x v="0"/>
    <x v="4"/>
    <x v="0"/>
    <x v="74"/>
  </r>
  <r>
    <x v="403"/>
    <x v="35"/>
    <n v="8"/>
    <x v="6"/>
    <d v="2014-09-01T00:00:00"/>
    <x v="280"/>
    <x v="232"/>
    <x v="7"/>
    <x v="2"/>
    <x v="396"/>
    <x v="398"/>
    <x v="4"/>
    <x v="403"/>
    <x v="0"/>
    <x v="35"/>
    <x v="2"/>
    <x v="1"/>
    <x v="2"/>
    <x v="0"/>
    <x v="4"/>
    <x v="0"/>
    <x v="93"/>
  </r>
  <r>
    <x v="404"/>
    <x v="71"/>
    <n v="4"/>
    <x v="2"/>
    <d v="2014-09-01T00:00:00"/>
    <x v="280"/>
    <x v="233"/>
    <x v="3"/>
    <x v="2"/>
    <x v="397"/>
    <x v="399"/>
    <x v="4"/>
    <x v="404"/>
    <x v="33"/>
    <x v="71"/>
    <x v="2"/>
    <x v="1"/>
    <x v="2"/>
    <x v="0"/>
    <x v="4"/>
    <x v="0"/>
    <x v="74"/>
  </r>
  <r>
    <x v="405"/>
    <x v="17"/>
    <n v="1"/>
    <x v="5"/>
    <d v="2014-09-02T00:00:00"/>
    <x v="281"/>
    <x v="234"/>
    <x v="28"/>
    <x v="1"/>
    <x v="398"/>
    <x v="400"/>
    <x v="5"/>
    <x v="405"/>
    <x v="12"/>
    <x v="17"/>
    <x v="1"/>
    <x v="1"/>
    <x v="2"/>
    <x v="0"/>
    <x v="4"/>
    <x v="0"/>
    <x v="79"/>
  </r>
  <r>
    <x v="406"/>
    <x v="25"/>
    <n v="5"/>
    <x v="0"/>
    <d v="2014-09-02T00:00:00"/>
    <x v="281"/>
    <x v="232"/>
    <x v="12"/>
    <x v="1"/>
    <x v="399"/>
    <x v="401"/>
    <x v="5"/>
    <x v="406"/>
    <x v="0"/>
    <x v="25"/>
    <x v="1"/>
    <x v="1"/>
    <x v="2"/>
    <x v="0"/>
    <x v="4"/>
    <x v="0"/>
    <x v="64"/>
  </r>
  <r>
    <x v="407"/>
    <x v="30"/>
    <n v="1"/>
    <x v="5"/>
    <d v="2014-09-03T00:00:00"/>
    <x v="282"/>
    <x v="232"/>
    <x v="9"/>
    <x v="2"/>
    <x v="226"/>
    <x v="402"/>
    <x v="3"/>
    <x v="407"/>
    <x v="5"/>
    <x v="30"/>
    <x v="2"/>
    <x v="1"/>
    <x v="2"/>
    <x v="0"/>
    <x v="4"/>
    <x v="0"/>
    <x v="83"/>
  </r>
  <r>
    <x v="408"/>
    <x v="79"/>
    <n v="6"/>
    <x v="1"/>
    <d v="2014-09-04T00:00:00"/>
    <x v="283"/>
    <x v="235"/>
    <x v="5"/>
    <x v="1"/>
    <x v="400"/>
    <x v="403"/>
    <x v="5"/>
    <x v="408"/>
    <x v="35"/>
    <x v="79"/>
    <x v="1"/>
    <x v="1"/>
    <x v="2"/>
    <x v="0"/>
    <x v="4"/>
    <x v="0"/>
    <x v="58"/>
  </r>
  <r>
    <x v="409"/>
    <x v="45"/>
    <n v="2"/>
    <x v="7"/>
    <d v="2014-09-04T00:00:00"/>
    <x v="283"/>
    <x v="236"/>
    <x v="8"/>
    <x v="2"/>
    <x v="401"/>
    <x v="404"/>
    <x v="0"/>
    <x v="409"/>
    <x v="8"/>
    <x v="45"/>
    <x v="2"/>
    <x v="1"/>
    <x v="2"/>
    <x v="0"/>
    <x v="4"/>
    <x v="0"/>
    <x v="21"/>
  </r>
  <r>
    <x v="410"/>
    <x v="21"/>
    <n v="4"/>
    <x v="2"/>
    <d v="2014-09-05T00:00:00"/>
    <x v="284"/>
    <x v="233"/>
    <x v="6"/>
    <x v="1"/>
    <x v="402"/>
    <x v="405"/>
    <x v="0"/>
    <x v="410"/>
    <x v="10"/>
    <x v="21"/>
    <x v="1"/>
    <x v="1"/>
    <x v="2"/>
    <x v="0"/>
    <x v="4"/>
    <x v="0"/>
    <x v="5"/>
  </r>
  <r>
    <x v="411"/>
    <x v="62"/>
    <n v="7"/>
    <x v="8"/>
    <d v="2014-09-05T00:00:00"/>
    <x v="284"/>
    <x v="235"/>
    <x v="1"/>
    <x v="2"/>
    <x v="403"/>
    <x v="406"/>
    <x v="1"/>
    <x v="411"/>
    <x v="5"/>
    <x v="62"/>
    <x v="2"/>
    <x v="1"/>
    <x v="2"/>
    <x v="0"/>
    <x v="4"/>
    <x v="0"/>
    <x v="76"/>
  </r>
  <r>
    <x v="412"/>
    <x v="64"/>
    <n v="8"/>
    <x v="6"/>
    <d v="2014-09-08T00:00:00"/>
    <x v="285"/>
    <x v="237"/>
    <x v="33"/>
    <x v="1"/>
    <x v="404"/>
    <x v="407"/>
    <x v="0"/>
    <x v="412"/>
    <x v="22"/>
    <x v="64"/>
    <x v="1"/>
    <x v="1"/>
    <x v="2"/>
    <x v="0"/>
    <x v="4"/>
    <x v="0"/>
    <x v="65"/>
  </r>
  <r>
    <x v="413"/>
    <x v="34"/>
    <n v="7"/>
    <x v="8"/>
    <d v="2014-09-09T00:00:00"/>
    <x v="286"/>
    <x v="236"/>
    <x v="5"/>
    <x v="0"/>
    <x v="169"/>
    <x v="408"/>
    <x v="3"/>
    <x v="413"/>
    <x v="35"/>
    <x v="34"/>
    <x v="0"/>
    <x v="1"/>
    <x v="2"/>
    <x v="0"/>
    <x v="4"/>
    <x v="0"/>
    <x v="70"/>
  </r>
  <r>
    <x v="414"/>
    <x v="38"/>
    <n v="3"/>
    <x v="3"/>
    <d v="2014-09-09T00:00:00"/>
    <x v="286"/>
    <x v="238"/>
    <x v="12"/>
    <x v="2"/>
    <x v="405"/>
    <x v="409"/>
    <x v="0"/>
    <x v="414"/>
    <x v="2"/>
    <x v="38"/>
    <x v="2"/>
    <x v="1"/>
    <x v="2"/>
    <x v="0"/>
    <x v="4"/>
    <x v="0"/>
    <x v="76"/>
  </r>
  <r>
    <x v="415"/>
    <x v="48"/>
    <n v="2"/>
    <x v="7"/>
    <d v="2014-09-10T00:00:00"/>
    <x v="287"/>
    <x v="239"/>
    <x v="26"/>
    <x v="2"/>
    <x v="406"/>
    <x v="410"/>
    <x v="1"/>
    <x v="415"/>
    <x v="12"/>
    <x v="48"/>
    <x v="2"/>
    <x v="1"/>
    <x v="2"/>
    <x v="0"/>
    <x v="4"/>
    <x v="0"/>
    <x v="95"/>
  </r>
  <r>
    <x v="416"/>
    <x v="47"/>
    <n v="1"/>
    <x v="5"/>
    <d v="2014-09-10T00:00:00"/>
    <x v="276"/>
    <x v="234"/>
    <x v="12"/>
    <x v="0"/>
    <x v="407"/>
    <x v="411"/>
    <x v="2"/>
    <x v="416"/>
    <x v="13"/>
    <x v="47"/>
    <x v="0"/>
    <x v="1"/>
    <x v="2"/>
    <x v="0"/>
    <x v="4"/>
    <x v="0"/>
    <x v="69"/>
  </r>
  <r>
    <x v="417"/>
    <x v="38"/>
    <n v="1"/>
    <x v="5"/>
    <d v="2014-09-11T00:00:00"/>
    <x v="277"/>
    <x v="240"/>
    <x v="5"/>
    <x v="2"/>
    <x v="408"/>
    <x v="412"/>
    <x v="0"/>
    <x v="417"/>
    <x v="5"/>
    <x v="38"/>
    <x v="2"/>
    <x v="1"/>
    <x v="2"/>
    <x v="0"/>
    <x v="4"/>
    <x v="0"/>
    <x v="96"/>
  </r>
  <r>
    <x v="418"/>
    <x v="6"/>
    <n v="7"/>
    <x v="8"/>
    <d v="2014-09-12T00:00:00"/>
    <x v="288"/>
    <x v="241"/>
    <x v="7"/>
    <x v="2"/>
    <x v="409"/>
    <x v="413"/>
    <x v="0"/>
    <x v="418"/>
    <x v="25"/>
    <x v="6"/>
    <x v="2"/>
    <x v="1"/>
    <x v="2"/>
    <x v="0"/>
    <x v="4"/>
    <x v="0"/>
    <x v="63"/>
  </r>
  <r>
    <x v="419"/>
    <x v="9"/>
    <n v="7"/>
    <x v="8"/>
    <d v="2014-09-12T00:00:00"/>
    <x v="288"/>
    <x v="234"/>
    <x v="3"/>
    <x v="1"/>
    <x v="410"/>
    <x v="414"/>
    <x v="3"/>
    <x v="419"/>
    <x v="15"/>
    <x v="9"/>
    <x v="1"/>
    <x v="1"/>
    <x v="2"/>
    <x v="0"/>
    <x v="4"/>
    <x v="0"/>
    <x v="80"/>
  </r>
  <r>
    <x v="420"/>
    <x v="35"/>
    <n v="1"/>
    <x v="5"/>
    <d v="2014-09-15T00:00:00"/>
    <x v="289"/>
    <x v="242"/>
    <x v="9"/>
    <x v="2"/>
    <x v="411"/>
    <x v="415"/>
    <x v="5"/>
    <x v="420"/>
    <x v="20"/>
    <x v="35"/>
    <x v="2"/>
    <x v="1"/>
    <x v="2"/>
    <x v="0"/>
    <x v="4"/>
    <x v="0"/>
    <x v="76"/>
  </r>
  <r>
    <x v="421"/>
    <x v="51"/>
    <n v="2"/>
    <x v="7"/>
    <d v="2014-09-15T00:00:00"/>
    <x v="289"/>
    <x v="241"/>
    <x v="3"/>
    <x v="1"/>
    <x v="412"/>
    <x v="416"/>
    <x v="0"/>
    <x v="421"/>
    <x v="12"/>
    <x v="51"/>
    <x v="1"/>
    <x v="1"/>
    <x v="2"/>
    <x v="0"/>
    <x v="4"/>
    <x v="0"/>
    <x v="59"/>
  </r>
  <r>
    <x v="422"/>
    <x v="17"/>
    <n v="4"/>
    <x v="2"/>
    <d v="2014-09-16T00:00:00"/>
    <x v="290"/>
    <x v="238"/>
    <x v="4"/>
    <x v="1"/>
    <x v="413"/>
    <x v="417"/>
    <x v="0"/>
    <x v="422"/>
    <x v="30"/>
    <x v="17"/>
    <x v="1"/>
    <x v="1"/>
    <x v="2"/>
    <x v="0"/>
    <x v="4"/>
    <x v="0"/>
    <x v="97"/>
  </r>
  <r>
    <x v="423"/>
    <x v="86"/>
    <n v="1"/>
    <x v="5"/>
    <d v="2014-09-17T00:00:00"/>
    <x v="291"/>
    <x v="243"/>
    <x v="3"/>
    <x v="1"/>
    <x v="145"/>
    <x v="418"/>
    <x v="0"/>
    <x v="423"/>
    <x v="2"/>
    <x v="86"/>
    <x v="1"/>
    <x v="1"/>
    <x v="2"/>
    <x v="0"/>
    <x v="4"/>
    <x v="0"/>
    <x v="79"/>
  </r>
  <r>
    <x v="424"/>
    <x v="25"/>
    <n v="9"/>
    <x v="4"/>
    <d v="2014-09-17T00:00:00"/>
    <x v="282"/>
    <x v="244"/>
    <x v="12"/>
    <x v="2"/>
    <x v="414"/>
    <x v="419"/>
    <x v="5"/>
    <x v="424"/>
    <x v="6"/>
    <x v="25"/>
    <x v="2"/>
    <x v="1"/>
    <x v="2"/>
    <x v="0"/>
    <x v="4"/>
    <x v="0"/>
    <x v="91"/>
  </r>
  <r>
    <x v="425"/>
    <x v="83"/>
    <n v="2"/>
    <x v="7"/>
    <d v="2014-09-18T00:00:00"/>
    <x v="292"/>
    <x v="234"/>
    <x v="13"/>
    <x v="1"/>
    <x v="415"/>
    <x v="420"/>
    <x v="0"/>
    <x v="425"/>
    <x v="35"/>
    <x v="83"/>
    <x v="1"/>
    <x v="1"/>
    <x v="2"/>
    <x v="0"/>
    <x v="4"/>
    <x v="0"/>
    <x v="79"/>
  </r>
  <r>
    <x v="426"/>
    <x v="42"/>
    <n v="4"/>
    <x v="2"/>
    <d v="2014-09-18T00:00:00"/>
    <x v="292"/>
    <x v="245"/>
    <x v="0"/>
    <x v="2"/>
    <x v="416"/>
    <x v="421"/>
    <x v="0"/>
    <x v="426"/>
    <x v="21"/>
    <x v="42"/>
    <x v="2"/>
    <x v="1"/>
    <x v="2"/>
    <x v="0"/>
    <x v="4"/>
    <x v="0"/>
    <x v="97"/>
  </r>
  <r>
    <x v="427"/>
    <x v="17"/>
    <n v="5"/>
    <x v="0"/>
    <d v="2014-09-19T00:00:00"/>
    <x v="293"/>
    <x v="242"/>
    <x v="2"/>
    <x v="2"/>
    <x v="417"/>
    <x v="422"/>
    <x v="0"/>
    <x v="427"/>
    <x v="12"/>
    <x v="17"/>
    <x v="2"/>
    <x v="1"/>
    <x v="2"/>
    <x v="0"/>
    <x v="4"/>
    <x v="0"/>
    <x v="58"/>
  </r>
  <r>
    <x v="428"/>
    <x v="23"/>
    <n v="2"/>
    <x v="7"/>
    <d v="2014-09-22T00:00:00"/>
    <x v="294"/>
    <x v="246"/>
    <x v="3"/>
    <x v="2"/>
    <x v="418"/>
    <x v="423"/>
    <x v="0"/>
    <x v="428"/>
    <x v="33"/>
    <x v="23"/>
    <x v="2"/>
    <x v="1"/>
    <x v="2"/>
    <x v="0"/>
    <x v="4"/>
    <x v="0"/>
    <x v="69"/>
  </r>
  <r>
    <x v="429"/>
    <x v="59"/>
    <n v="1"/>
    <x v="5"/>
    <d v="2014-09-22T00:00:00"/>
    <x v="294"/>
    <x v="244"/>
    <x v="2"/>
    <x v="0"/>
    <x v="419"/>
    <x v="424"/>
    <x v="2"/>
    <x v="429"/>
    <x v="12"/>
    <x v="59"/>
    <x v="0"/>
    <x v="1"/>
    <x v="2"/>
    <x v="0"/>
    <x v="4"/>
    <x v="0"/>
    <x v="88"/>
  </r>
  <r>
    <x v="430"/>
    <x v="45"/>
    <n v="7"/>
    <x v="8"/>
    <d v="2014-09-23T00:00:00"/>
    <x v="295"/>
    <x v="247"/>
    <x v="26"/>
    <x v="0"/>
    <x v="420"/>
    <x v="425"/>
    <x v="0"/>
    <x v="430"/>
    <x v="16"/>
    <x v="45"/>
    <x v="0"/>
    <x v="1"/>
    <x v="2"/>
    <x v="0"/>
    <x v="4"/>
    <x v="0"/>
    <x v="75"/>
  </r>
  <r>
    <x v="431"/>
    <x v="15"/>
    <n v="8"/>
    <x v="6"/>
    <d v="2014-09-23T00:00:00"/>
    <x v="295"/>
    <x v="245"/>
    <x v="3"/>
    <x v="0"/>
    <x v="281"/>
    <x v="426"/>
    <x v="0"/>
    <x v="431"/>
    <x v="0"/>
    <x v="15"/>
    <x v="0"/>
    <x v="1"/>
    <x v="2"/>
    <x v="0"/>
    <x v="4"/>
    <x v="0"/>
    <x v="73"/>
  </r>
  <r>
    <x v="432"/>
    <x v="37"/>
    <n v="1"/>
    <x v="5"/>
    <d v="2014-09-24T00:00:00"/>
    <x v="296"/>
    <x v="244"/>
    <x v="4"/>
    <x v="1"/>
    <x v="421"/>
    <x v="427"/>
    <x v="4"/>
    <x v="432"/>
    <x v="8"/>
    <x v="37"/>
    <x v="1"/>
    <x v="1"/>
    <x v="2"/>
    <x v="0"/>
    <x v="4"/>
    <x v="0"/>
    <x v="79"/>
  </r>
  <r>
    <x v="433"/>
    <x v="79"/>
    <n v="3"/>
    <x v="3"/>
    <d v="2014-09-25T00:00:00"/>
    <x v="297"/>
    <x v="245"/>
    <x v="1"/>
    <x v="0"/>
    <x v="422"/>
    <x v="428"/>
    <x v="5"/>
    <x v="433"/>
    <x v="12"/>
    <x v="79"/>
    <x v="0"/>
    <x v="1"/>
    <x v="2"/>
    <x v="0"/>
    <x v="4"/>
    <x v="0"/>
    <x v="93"/>
  </r>
  <r>
    <x v="434"/>
    <x v="59"/>
    <n v="3"/>
    <x v="3"/>
    <d v="2014-09-25T00:00:00"/>
    <x v="297"/>
    <x v="248"/>
    <x v="5"/>
    <x v="2"/>
    <x v="423"/>
    <x v="429"/>
    <x v="0"/>
    <x v="434"/>
    <x v="12"/>
    <x v="59"/>
    <x v="2"/>
    <x v="1"/>
    <x v="2"/>
    <x v="0"/>
    <x v="4"/>
    <x v="0"/>
    <x v="85"/>
  </r>
  <r>
    <x v="435"/>
    <x v="41"/>
    <n v="2"/>
    <x v="7"/>
    <d v="2014-09-26T00:00:00"/>
    <x v="298"/>
    <x v="248"/>
    <x v="1"/>
    <x v="1"/>
    <x v="424"/>
    <x v="430"/>
    <x v="0"/>
    <x v="435"/>
    <x v="1"/>
    <x v="41"/>
    <x v="1"/>
    <x v="1"/>
    <x v="2"/>
    <x v="0"/>
    <x v="4"/>
    <x v="0"/>
    <x v="68"/>
  </r>
  <r>
    <x v="436"/>
    <x v="11"/>
    <n v="3"/>
    <x v="3"/>
    <d v="2014-09-26T00:00:00"/>
    <x v="298"/>
    <x v="245"/>
    <x v="2"/>
    <x v="1"/>
    <x v="425"/>
    <x v="431"/>
    <x v="0"/>
    <x v="436"/>
    <x v="5"/>
    <x v="11"/>
    <x v="1"/>
    <x v="1"/>
    <x v="2"/>
    <x v="0"/>
    <x v="4"/>
    <x v="0"/>
    <x v="95"/>
  </r>
  <r>
    <x v="437"/>
    <x v="71"/>
    <n v="4"/>
    <x v="2"/>
    <d v="2014-09-29T00:00:00"/>
    <x v="289"/>
    <x v="239"/>
    <x v="2"/>
    <x v="2"/>
    <x v="426"/>
    <x v="432"/>
    <x v="0"/>
    <x v="437"/>
    <x v="5"/>
    <x v="71"/>
    <x v="2"/>
    <x v="1"/>
    <x v="2"/>
    <x v="0"/>
    <x v="4"/>
    <x v="0"/>
    <x v="69"/>
  </r>
  <r>
    <x v="438"/>
    <x v="54"/>
    <n v="2"/>
    <x v="7"/>
    <d v="2014-09-30T00:00:00"/>
    <x v="299"/>
    <x v="249"/>
    <x v="9"/>
    <x v="1"/>
    <x v="427"/>
    <x v="433"/>
    <x v="3"/>
    <x v="438"/>
    <x v="12"/>
    <x v="54"/>
    <x v="1"/>
    <x v="1"/>
    <x v="2"/>
    <x v="0"/>
    <x v="4"/>
    <x v="0"/>
    <x v="71"/>
  </r>
  <r>
    <x v="439"/>
    <x v="34"/>
    <n v="9"/>
    <x v="4"/>
    <d v="2014-09-30T00:00:00"/>
    <x v="299"/>
    <x v="250"/>
    <x v="10"/>
    <x v="2"/>
    <x v="428"/>
    <x v="434"/>
    <x v="4"/>
    <x v="439"/>
    <x v="8"/>
    <x v="34"/>
    <x v="2"/>
    <x v="1"/>
    <x v="2"/>
    <x v="0"/>
    <x v="4"/>
    <x v="0"/>
    <x v="66"/>
  </r>
  <r>
    <x v="440"/>
    <x v="61"/>
    <n v="4"/>
    <x v="2"/>
    <d v="2014-10-01T00:00:00"/>
    <x v="291"/>
    <x v="251"/>
    <x v="5"/>
    <x v="2"/>
    <x v="429"/>
    <x v="435"/>
    <x v="5"/>
    <x v="440"/>
    <x v="17"/>
    <x v="61"/>
    <x v="2"/>
    <x v="1"/>
    <x v="3"/>
    <x v="1"/>
    <x v="5"/>
    <x v="0"/>
    <x v="69"/>
  </r>
  <r>
    <x v="441"/>
    <x v="25"/>
    <n v="1"/>
    <x v="5"/>
    <d v="2014-10-01T00:00:00"/>
    <x v="300"/>
    <x v="251"/>
    <x v="5"/>
    <x v="2"/>
    <x v="430"/>
    <x v="436"/>
    <x v="4"/>
    <x v="441"/>
    <x v="11"/>
    <x v="25"/>
    <x v="2"/>
    <x v="1"/>
    <x v="3"/>
    <x v="1"/>
    <x v="5"/>
    <x v="0"/>
    <x v="70"/>
  </r>
  <r>
    <x v="442"/>
    <x v="2"/>
    <n v="1"/>
    <x v="5"/>
    <d v="2014-10-02T00:00:00"/>
    <x v="301"/>
    <x v="239"/>
    <x v="13"/>
    <x v="1"/>
    <x v="431"/>
    <x v="437"/>
    <x v="4"/>
    <x v="442"/>
    <x v="5"/>
    <x v="2"/>
    <x v="1"/>
    <x v="1"/>
    <x v="3"/>
    <x v="1"/>
    <x v="5"/>
    <x v="0"/>
    <x v="75"/>
  </r>
  <r>
    <x v="443"/>
    <x v="21"/>
    <n v="2"/>
    <x v="7"/>
    <d v="2014-10-03T00:00:00"/>
    <x v="302"/>
    <x v="252"/>
    <x v="19"/>
    <x v="2"/>
    <x v="432"/>
    <x v="438"/>
    <x v="0"/>
    <x v="443"/>
    <x v="12"/>
    <x v="21"/>
    <x v="2"/>
    <x v="1"/>
    <x v="3"/>
    <x v="1"/>
    <x v="5"/>
    <x v="0"/>
    <x v="70"/>
  </r>
  <r>
    <x v="444"/>
    <x v="85"/>
    <n v="4"/>
    <x v="2"/>
    <d v="2014-10-03T00:00:00"/>
    <x v="303"/>
    <x v="253"/>
    <x v="7"/>
    <x v="2"/>
    <x v="433"/>
    <x v="439"/>
    <x v="0"/>
    <x v="444"/>
    <x v="5"/>
    <x v="85"/>
    <x v="2"/>
    <x v="1"/>
    <x v="3"/>
    <x v="1"/>
    <x v="5"/>
    <x v="0"/>
    <x v="89"/>
  </r>
  <r>
    <x v="445"/>
    <x v="19"/>
    <n v="3"/>
    <x v="3"/>
    <d v="2014-10-06T00:00:00"/>
    <x v="294"/>
    <x v="254"/>
    <x v="2"/>
    <x v="0"/>
    <x v="434"/>
    <x v="440"/>
    <x v="0"/>
    <x v="445"/>
    <x v="3"/>
    <x v="19"/>
    <x v="0"/>
    <x v="1"/>
    <x v="3"/>
    <x v="1"/>
    <x v="5"/>
    <x v="0"/>
    <x v="66"/>
  </r>
  <r>
    <x v="446"/>
    <x v="21"/>
    <n v="8"/>
    <x v="6"/>
    <d v="2014-10-06T00:00:00"/>
    <x v="304"/>
    <x v="255"/>
    <x v="6"/>
    <x v="0"/>
    <x v="435"/>
    <x v="441"/>
    <x v="0"/>
    <x v="446"/>
    <x v="40"/>
    <x v="21"/>
    <x v="0"/>
    <x v="1"/>
    <x v="3"/>
    <x v="1"/>
    <x v="5"/>
    <x v="0"/>
    <x v="78"/>
  </r>
  <r>
    <x v="447"/>
    <x v="83"/>
    <n v="7"/>
    <x v="8"/>
    <d v="2014-10-07T00:00:00"/>
    <x v="305"/>
    <x v="256"/>
    <x v="3"/>
    <x v="1"/>
    <x v="436"/>
    <x v="442"/>
    <x v="0"/>
    <x v="447"/>
    <x v="2"/>
    <x v="83"/>
    <x v="1"/>
    <x v="1"/>
    <x v="3"/>
    <x v="1"/>
    <x v="5"/>
    <x v="0"/>
    <x v="98"/>
  </r>
  <r>
    <x v="448"/>
    <x v="19"/>
    <n v="8"/>
    <x v="6"/>
    <d v="2014-10-08T00:00:00"/>
    <x v="306"/>
    <x v="256"/>
    <x v="5"/>
    <x v="0"/>
    <x v="437"/>
    <x v="443"/>
    <x v="0"/>
    <x v="448"/>
    <x v="5"/>
    <x v="19"/>
    <x v="0"/>
    <x v="1"/>
    <x v="3"/>
    <x v="1"/>
    <x v="5"/>
    <x v="0"/>
    <x v="71"/>
  </r>
  <r>
    <x v="449"/>
    <x v="67"/>
    <n v="3"/>
    <x v="3"/>
    <d v="2014-10-08T00:00:00"/>
    <x v="307"/>
    <x v="256"/>
    <x v="5"/>
    <x v="1"/>
    <x v="438"/>
    <x v="444"/>
    <x v="4"/>
    <x v="449"/>
    <x v="23"/>
    <x v="67"/>
    <x v="1"/>
    <x v="1"/>
    <x v="3"/>
    <x v="1"/>
    <x v="5"/>
    <x v="0"/>
    <x v="93"/>
  </r>
  <r>
    <x v="450"/>
    <x v="9"/>
    <n v="4"/>
    <x v="2"/>
    <d v="2014-10-09T00:00:00"/>
    <x v="308"/>
    <x v="257"/>
    <x v="9"/>
    <x v="1"/>
    <x v="439"/>
    <x v="445"/>
    <x v="0"/>
    <x v="450"/>
    <x v="6"/>
    <x v="9"/>
    <x v="1"/>
    <x v="1"/>
    <x v="3"/>
    <x v="1"/>
    <x v="5"/>
    <x v="0"/>
    <x v="72"/>
  </r>
  <r>
    <x v="451"/>
    <x v="24"/>
    <n v="3"/>
    <x v="3"/>
    <d v="2014-10-09T00:00:00"/>
    <x v="308"/>
    <x v="253"/>
    <x v="2"/>
    <x v="0"/>
    <x v="440"/>
    <x v="446"/>
    <x v="0"/>
    <x v="451"/>
    <x v="0"/>
    <x v="24"/>
    <x v="0"/>
    <x v="1"/>
    <x v="3"/>
    <x v="1"/>
    <x v="5"/>
    <x v="0"/>
    <x v="57"/>
  </r>
  <r>
    <x v="452"/>
    <x v="45"/>
    <n v="3"/>
    <x v="3"/>
    <d v="2014-10-10T00:00:00"/>
    <x v="309"/>
    <x v="247"/>
    <x v="5"/>
    <x v="1"/>
    <x v="441"/>
    <x v="447"/>
    <x v="3"/>
    <x v="452"/>
    <x v="21"/>
    <x v="45"/>
    <x v="1"/>
    <x v="1"/>
    <x v="3"/>
    <x v="1"/>
    <x v="5"/>
    <x v="0"/>
    <x v="70"/>
  </r>
  <r>
    <x v="453"/>
    <x v="34"/>
    <n v="6"/>
    <x v="1"/>
    <d v="2014-10-13T00:00:00"/>
    <x v="310"/>
    <x v="237"/>
    <x v="4"/>
    <x v="0"/>
    <x v="442"/>
    <x v="448"/>
    <x v="2"/>
    <x v="453"/>
    <x v="29"/>
    <x v="34"/>
    <x v="0"/>
    <x v="1"/>
    <x v="3"/>
    <x v="1"/>
    <x v="5"/>
    <x v="0"/>
    <x v="73"/>
  </r>
  <r>
    <x v="454"/>
    <x v="85"/>
    <n v="4"/>
    <x v="2"/>
    <d v="2014-10-13T00:00:00"/>
    <x v="311"/>
    <x v="258"/>
    <x v="9"/>
    <x v="1"/>
    <x v="443"/>
    <x v="330"/>
    <x v="0"/>
    <x v="454"/>
    <x v="3"/>
    <x v="85"/>
    <x v="1"/>
    <x v="1"/>
    <x v="3"/>
    <x v="1"/>
    <x v="5"/>
    <x v="0"/>
    <x v="5"/>
  </r>
  <r>
    <x v="455"/>
    <x v="14"/>
    <n v="6"/>
    <x v="1"/>
    <d v="2014-10-14T00:00:00"/>
    <x v="312"/>
    <x v="259"/>
    <x v="5"/>
    <x v="2"/>
    <x v="444"/>
    <x v="449"/>
    <x v="0"/>
    <x v="455"/>
    <x v="21"/>
    <x v="14"/>
    <x v="2"/>
    <x v="1"/>
    <x v="3"/>
    <x v="1"/>
    <x v="5"/>
    <x v="0"/>
    <x v="59"/>
  </r>
  <r>
    <x v="456"/>
    <x v="62"/>
    <n v="6"/>
    <x v="1"/>
    <d v="2014-10-14T00:00:00"/>
    <x v="312"/>
    <x v="260"/>
    <x v="22"/>
    <x v="1"/>
    <x v="445"/>
    <x v="450"/>
    <x v="0"/>
    <x v="456"/>
    <x v="3"/>
    <x v="62"/>
    <x v="1"/>
    <x v="1"/>
    <x v="3"/>
    <x v="1"/>
    <x v="5"/>
    <x v="0"/>
    <x v="64"/>
  </r>
  <r>
    <x v="457"/>
    <x v="8"/>
    <n v="9"/>
    <x v="4"/>
    <d v="2014-10-15T00:00:00"/>
    <x v="313"/>
    <x v="261"/>
    <x v="17"/>
    <x v="2"/>
    <x v="446"/>
    <x v="451"/>
    <x v="0"/>
    <x v="457"/>
    <x v="5"/>
    <x v="8"/>
    <x v="2"/>
    <x v="1"/>
    <x v="3"/>
    <x v="1"/>
    <x v="5"/>
    <x v="0"/>
    <x v="76"/>
  </r>
  <r>
    <x v="458"/>
    <x v="37"/>
    <n v="8"/>
    <x v="6"/>
    <d v="2014-10-16T00:00:00"/>
    <x v="314"/>
    <x v="258"/>
    <x v="1"/>
    <x v="0"/>
    <x v="447"/>
    <x v="452"/>
    <x v="0"/>
    <x v="458"/>
    <x v="5"/>
    <x v="37"/>
    <x v="0"/>
    <x v="1"/>
    <x v="3"/>
    <x v="1"/>
    <x v="5"/>
    <x v="0"/>
    <x v="79"/>
  </r>
  <r>
    <x v="459"/>
    <x v="55"/>
    <n v="4"/>
    <x v="2"/>
    <d v="2014-10-16T00:00:00"/>
    <x v="301"/>
    <x v="262"/>
    <x v="3"/>
    <x v="0"/>
    <x v="448"/>
    <x v="453"/>
    <x v="0"/>
    <x v="459"/>
    <x v="22"/>
    <x v="55"/>
    <x v="0"/>
    <x v="1"/>
    <x v="3"/>
    <x v="1"/>
    <x v="5"/>
    <x v="0"/>
    <x v="46"/>
  </r>
  <r>
    <x v="460"/>
    <x v="40"/>
    <n v="6"/>
    <x v="1"/>
    <d v="2014-10-17T00:00:00"/>
    <x v="315"/>
    <x v="263"/>
    <x v="19"/>
    <x v="2"/>
    <x v="449"/>
    <x v="454"/>
    <x v="0"/>
    <x v="460"/>
    <x v="18"/>
    <x v="40"/>
    <x v="2"/>
    <x v="1"/>
    <x v="3"/>
    <x v="1"/>
    <x v="5"/>
    <x v="0"/>
    <x v="99"/>
  </r>
  <r>
    <x v="461"/>
    <x v="71"/>
    <n v="1"/>
    <x v="5"/>
    <d v="2014-10-17T00:00:00"/>
    <x v="302"/>
    <x v="264"/>
    <x v="17"/>
    <x v="0"/>
    <x v="450"/>
    <x v="455"/>
    <x v="0"/>
    <x v="461"/>
    <x v="4"/>
    <x v="71"/>
    <x v="0"/>
    <x v="1"/>
    <x v="3"/>
    <x v="1"/>
    <x v="5"/>
    <x v="0"/>
    <x v="98"/>
  </r>
  <r>
    <x v="462"/>
    <x v="70"/>
    <n v="1"/>
    <x v="5"/>
    <d v="2014-10-20T00:00:00"/>
    <x v="316"/>
    <x v="262"/>
    <x v="6"/>
    <x v="1"/>
    <x v="451"/>
    <x v="456"/>
    <x v="0"/>
    <x v="462"/>
    <x v="21"/>
    <x v="70"/>
    <x v="1"/>
    <x v="1"/>
    <x v="3"/>
    <x v="1"/>
    <x v="5"/>
    <x v="0"/>
    <x v="93"/>
  </r>
  <r>
    <x v="463"/>
    <x v="45"/>
    <n v="5"/>
    <x v="0"/>
    <d v="2014-10-21T00:00:00"/>
    <x v="317"/>
    <x v="265"/>
    <x v="9"/>
    <x v="2"/>
    <x v="452"/>
    <x v="457"/>
    <x v="0"/>
    <x v="463"/>
    <x v="0"/>
    <x v="45"/>
    <x v="2"/>
    <x v="1"/>
    <x v="3"/>
    <x v="1"/>
    <x v="5"/>
    <x v="0"/>
    <x v="93"/>
  </r>
  <r>
    <x v="464"/>
    <x v="34"/>
    <n v="3"/>
    <x v="3"/>
    <d v="2014-10-21T00:00:00"/>
    <x v="305"/>
    <x v="266"/>
    <x v="7"/>
    <x v="1"/>
    <x v="453"/>
    <x v="458"/>
    <x v="1"/>
    <x v="464"/>
    <x v="35"/>
    <x v="34"/>
    <x v="1"/>
    <x v="1"/>
    <x v="3"/>
    <x v="1"/>
    <x v="5"/>
    <x v="0"/>
    <x v="94"/>
  </r>
  <r>
    <x v="465"/>
    <x v="45"/>
    <n v="1"/>
    <x v="5"/>
    <d v="2014-10-22T00:00:00"/>
    <x v="306"/>
    <x v="267"/>
    <x v="4"/>
    <x v="1"/>
    <x v="454"/>
    <x v="459"/>
    <x v="0"/>
    <x v="465"/>
    <x v="17"/>
    <x v="45"/>
    <x v="1"/>
    <x v="1"/>
    <x v="3"/>
    <x v="1"/>
    <x v="5"/>
    <x v="0"/>
    <x v="69"/>
  </r>
  <r>
    <x v="466"/>
    <x v="45"/>
    <n v="5"/>
    <x v="0"/>
    <d v="2014-10-22T00:00:00"/>
    <x v="306"/>
    <x v="268"/>
    <x v="1"/>
    <x v="0"/>
    <x v="455"/>
    <x v="460"/>
    <x v="4"/>
    <x v="466"/>
    <x v="12"/>
    <x v="45"/>
    <x v="0"/>
    <x v="1"/>
    <x v="3"/>
    <x v="1"/>
    <x v="5"/>
    <x v="0"/>
    <x v="59"/>
  </r>
  <r>
    <x v="467"/>
    <x v="48"/>
    <n v="3"/>
    <x v="3"/>
    <d v="2014-10-23T00:00:00"/>
    <x v="308"/>
    <x v="265"/>
    <x v="5"/>
    <x v="1"/>
    <x v="456"/>
    <x v="44"/>
    <x v="0"/>
    <x v="467"/>
    <x v="22"/>
    <x v="48"/>
    <x v="1"/>
    <x v="1"/>
    <x v="3"/>
    <x v="1"/>
    <x v="5"/>
    <x v="0"/>
    <x v="69"/>
  </r>
  <r>
    <x v="468"/>
    <x v="73"/>
    <n v="4"/>
    <x v="2"/>
    <d v="2014-10-24T00:00:00"/>
    <x v="318"/>
    <x v="268"/>
    <x v="6"/>
    <x v="2"/>
    <x v="457"/>
    <x v="461"/>
    <x v="0"/>
    <x v="468"/>
    <x v="21"/>
    <x v="73"/>
    <x v="2"/>
    <x v="1"/>
    <x v="3"/>
    <x v="1"/>
    <x v="5"/>
    <x v="0"/>
    <x v="5"/>
  </r>
  <r>
    <x v="469"/>
    <x v="17"/>
    <n v="1"/>
    <x v="5"/>
    <d v="2014-10-24T00:00:00"/>
    <x v="318"/>
    <x v="265"/>
    <x v="1"/>
    <x v="2"/>
    <x v="458"/>
    <x v="462"/>
    <x v="1"/>
    <x v="469"/>
    <x v="30"/>
    <x v="17"/>
    <x v="2"/>
    <x v="1"/>
    <x v="3"/>
    <x v="1"/>
    <x v="5"/>
    <x v="0"/>
    <x v="5"/>
  </r>
  <r>
    <x v="470"/>
    <x v="44"/>
    <n v="1"/>
    <x v="5"/>
    <d v="2014-10-27T00:00:00"/>
    <x v="311"/>
    <x v="265"/>
    <x v="4"/>
    <x v="0"/>
    <x v="459"/>
    <x v="463"/>
    <x v="0"/>
    <x v="470"/>
    <x v="25"/>
    <x v="44"/>
    <x v="0"/>
    <x v="1"/>
    <x v="3"/>
    <x v="1"/>
    <x v="5"/>
    <x v="0"/>
    <x v="75"/>
  </r>
  <r>
    <x v="471"/>
    <x v="82"/>
    <n v="8"/>
    <x v="6"/>
    <d v="2014-10-27T00:00:00"/>
    <x v="311"/>
    <x v="263"/>
    <x v="12"/>
    <x v="2"/>
    <x v="460"/>
    <x v="464"/>
    <x v="4"/>
    <x v="471"/>
    <x v="0"/>
    <x v="82"/>
    <x v="2"/>
    <x v="1"/>
    <x v="3"/>
    <x v="1"/>
    <x v="5"/>
    <x v="0"/>
    <x v="67"/>
  </r>
  <r>
    <x v="472"/>
    <x v="12"/>
    <n v="8"/>
    <x v="6"/>
    <d v="2014-10-28T00:00:00"/>
    <x v="312"/>
    <x v="263"/>
    <x v="9"/>
    <x v="2"/>
    <x v="461"/>
    <x v="465"/>
    <x v="0"/>
    <x v="472"/>
    <x v="22"/>
    <x v="12"/>
    <x v="2"/>
    <x v="1"/>
    <x v="3"/>
    <x v="1"/>
    <x v="5"/>
    <x v="0"/>
    <x v="70"/>
  </r>
  <r>
    <x v="473"/>
    <x v="21"/>
    <n v="5"/>
    <x v="0"/>
    <d v="2014-10-29T00:00:00"/>
    <x v="319"/>
    <x v="266"/>
    <x v="4"/>
    <x v="0"/>
    <x v="462"/>
    <x v="466"/>
    <x v="1"/>
    <x v="473"/>
    <x v="8"/>
    <x v="21"/>
    <x v="0"/>
    <x v="1"/>
    <x v="3"/>
    <x v="1"/>
    <x v="5"/>
    <x v="0"/>
    <x v="84"/>
  </r>
  <r>
    <x v="474"/>
    <x v="45"/>
    <n v="8"/>
    <x v="6"/>
    <d v="2014-10-29T00:00:00"/>
    <x v="320"/>
    <x v="269"/>
    <x v="5"/>
    <x v="1"/>
    <x v="463"/>
    <x v="467"/>
    <x v="0"/>
    <x v="474"/>
    <x v="35"/>
    <x v="45"/>
    <x v="1"/>
    <x v="1"/>
    <x v="3"/>
    <x v="1"/>
    <x v="5"/>
    <x v="0"/>
    <x v="59"/>
  </r>
  <r>
    <x v="475"/>
    <x v="19"/>
    <n v="3"/>
    <x v="3"/>
    <d v="2014-10-30T00:00:00"/>
    <x v="321"/>
    <x v="270"/>
    <x v="16"/>
    <x v="1"/>
    <x v="464"/>
    <x v="468"/>
    <x v="0"/>
    <x v="475"/>
    <x v="6"/>
    <x v="19"/>
    <x v="1"/>
    <x v="1"/>
    <x v="3"/>
    <x v="1"/>
    <x v="5"/>
    <x v="0"/>
    <x v="88"/>
  </r>
  <r>
    <x v="476"/>
    <x v="49"/>
    <n v="8"/>
    <x v="6"/>
    <d v="2014-10-30T00:00:00"/>
    <x v="322"/>
    <x v="263"/>
    <x v="5"/>
    <x v="2"/>
    <x v="465"/>
    <x v="469"/>
    <x v="0"/>
    <x v="476"/>
    <x v="9"/>
    <x v="49"/>
    <x v="2"/>
    <x v="1"/>
    <x v="3"/>
    <x v="1"/>
    <x v="5"/>
    <x v="0"/>
    <x v="69"/>
  </r>
  <r>
    <x v="477"/>
    <x v="52"/>
    <n v="4"/>
    <x v="2"/>
    <d v="2014-10-31T00:00:00"/>
    <x v="315"/>
    <x v="263"/>
    <x v="1"/>
    <x v="0"/>
    <x v="466"/>
    <x v="470"/>
    <x v="0"/>
    <x v="477"/>
    <x v="0"/>
    <x v="52"/>
    <x v="0"/>
    <x v="1"/>
    <x v="3"/>
    <x v="1"/>
    <x v="5"/>
    <x v="0"/>
    <x v="83"/>
  </r>
  <r>
    <x v="478"/>
    <x v="58"/>
    <n v="4"/>
    <x v="2"/>
    <d v="2014-11-03T00:00:00"/>
    <x v="316"/>
    <x v="271"/>
    <x v="21"/>
    <x v="1"/>
    <x v="467"/>
    <x v="471"/>
    <x v="0"/>
    <x v="478"/>
    <x v="7"/>
    <x v="58"/>
    <x v="1"/>
    <x v="1"/>
    <x v="4"/>
    <x v="1"/>
    <x v="5"/>
    <x v="0"/>
    <x v="64"/>
  </r>
  <r>
    <x v="479"/>
    <x v="30"/>
    <n v="2"/>
    <x v="7"/>
    <d v="2014-11-03T00:00:00"/>
    <x v="323"/>
    <x v="271"/>
    <x v="21"/>
    <x v="1"/>
    <x v="468"/>
    <x v="472"/>
    <x v="1"/>
    <x v="479"/>
    <x v="5"/>
    <x v="30"/>
    <x v="1"/>
    <x v="1"/>
    <x v="4"/>
    <x v="1"/>
    <x v="5"/>
    <x v="0"/>
    <x v="71"/>
  </r>
  <r>
    <x v="480"/>
    <x v="62"/>
    <n v="4"/>
    <x v="2"/>
    <d v="2014-11-04T00:00:00"/>
    <x v="317"/>
    <x v="272"/>
    <x v="3"/>
    <x v="2"/>
    <x v="469"/>
    <x v="473"/>
    <x v="0"/>
    <x v="480"/>
    <x v="6"/>
    <x v="62"/>
    <x v="2"/>
    <x v="1"/>
    <x v="4"/>
    <x v="1"/>
    <x v="5"/>
    <x v="0"/>
    <x v="74"/>
  </r>
  <r>
    <x v="481"/>
    <x v="67"/>
    <n v="8"/>
    <x v="6"/>
    <d v="2014-11-04T00:00:00"/>
    <x v="324"/>
    <x v="273"/>
    <x v="7"/>
    <x v="0"/>
    <x v="470"/>
    <x v="474"/>
    <x v="0"/>
    <x v="481"/>
    <x v="8"/>
    <x v="67"/>
    <x v="0"/>
    <x v="1"/>
    <x v="4"/>
    <x v="1"/>
    <x v="5"/>
    <x v="0"/>
    <x v="70"/>
  </r>
  <r>
    <x v="482"/>
    <x v="48"/>
    <n v="5"/>
    <x v="0"/>
    <d v="2014-11-05T00:00:00"/>
    <x v="325"/>
    <x v="273"/>
    <x v="12"/>
    <x v="1"/>
    <x v="126"/>
    <x v="475"/>
    <x v="1"/>
    <x v="482"/>
    <x v="6"/>
    <x v="48"/>
    <x v="1"/>
    <x v="1"/>
    <x v="4"/>
    <x v="1"/>
    <x v="5"/>
    <x v="0"/>
    <x v="79"/>
  </r>
  <r>
    <x v="483"/>
    <x v="5"/>
    <n v="7"/>
    <x v="8"/>
    <d v="2014-11-06T00:00:00"/>
    <x v="326"/>
    <x v="273"/>
    <x v="9"/>
    <x v="1"/>
    <x v="471"/>
    <x v="476"/>
    <x v="1"/>
    <x v="483"/>
    <x v="4"/>
    <x v="5"/>
    <x v="1"/>
    <x v="1"/>
    <x v="4"/>
    <x v="1"/>
    <x v="5"/>
    <x v="0"/>
    <x v="5"/>
  </r>
  <r>
    <x v="484"/>
    <x v="48"/>
    <n v="3"/>
    <x v="3"/>
    <d v="2014-11-06T00:00:00"/>
    <x v="326"/>
    <x v="260"/>
    <x v="13"/>
    <x v="1"/>
    <x v="472"/>
    <x v="176"/>
    <x v="0"/>
    <x v="484"/>
    <x v="5"/>
    <x v="48"/>
    <x v="1"/>
    <x v="1"/>
    <x v="4"/>
    <x v="1"/>
    <x v="5"/>
    <x v="0"/>
    <x v="70"/>
  </r>
  <r>
    <x v="485"/>
    <x v="25"/>
    <n v="1"/>
    <x v="5"/>
    <d v="2014-11-07T00:00:00"/>
    <x v="327"/>
    <x v="274"/>
    <x v="6"/>
    <x v="0"/>
    <x v="473"/>
    <x v="477"/>
    <x v="0"/>
    <x v="485"/>
    <x v="9"/>
    <x v="25"/>
    <x v="0"/>
    <x v="1"/>
    <x v="4"/>
    <x v="1"/>
    <x v="5"/>
    <x v="0"/>
    <x v="58"/>
  </r>
  <r>
    <x v="486"/>
    <x v="71"/>
    <n v="2"/>
    <x v="7"/>
    <d v="2014-11-07T00:00:00"/>
    <x v="327"/>
    <x v="275"/>
    <x v="1"/>
    <x v="0"/>
    <x v="474"/>
    <x v="478"/>
    <x v="0"/>
    <x v="486"/>
    <x v="12"/>
    <x v="71"/>
    <x v="0"/>
    <x v="1"/>
    <x v="4"/>
    <x v="1"/>
    <x v="5"/>
    <x v="0"/>
    <x v="92"/>
  </r>
  <r>
    <x v="487"/>
    <x v="82"/>
    <n v="6"/>
    <x v="1"/>
    <d v="2014-11-10T00:00:00"/>
    <x v="328"/>
    <x v="276"/>
    <x v="8"/>
    <x v="2"/>
    <x v="475"/>
    <x v="479"/>
    <x v="5"/>
    <x v="487"/>
    <x v="5"/>
    <x v="82"/>
    <x v="2"/>
    <x v="1"/>
    <x v="4"/>
    <x v="1"/>
    <x v="5"/>
    <x v="0"/>
    <x v="100"/>
  </r>
  <r>
    <x v="488"/>
    <x v="34"/>
    <n v="9"/>
    <x v="4"/>
    <d v="2014-11-11T00:00:00"/>
    <x v="329"/>
    <x v="276"/>
    <x v="7"/>
    <x v="2"/>
    <x v="476"/>
    <x v="480"/>
    <x v="0"/>
    <x v="488"/>
    <x v="4"/>
    <x v="34"/>
    <x v="2"/>
    <x v="1"/>
    <x v="4"/>
    <x v="1"/>
    <x v="5"/>
    <x v="0"/>
    <x v="101"/>
  </r>
  <r>
    <x v="489"/>
    <x v="0"/>
    <n v="2"/>
    <x v="7"/>
    <d v="2014-11-11T00:00:00"/>
    <x v="329"/>
    <x v="261"/>
    <x v="3"/>
    <x v="2"/>
    <x v="477"/>
    <x v="286"/>
    <x v="0"/>
    <x v="489"/>
    <x v="18"/>
    <x v="0"/>
    <x v="2"/>
    <x v="1"/>
    <x v="4"/>
    <x v="1"/>
    <x v="5"/>
    <x v="0"/>
    <x v="62"/>
  </r>
  <r>
    <x v="490"/>
    <x v="87"/>
    <n v="2"/>
    <x v="7"/>
    <d v="2014-11-12T00:00:00"/>
    <x v="320"/>
    <x v="261"/>
    <x v="5"/>
    <x v="1"/>
    <x v="478"/>
    <x v="481"/>
    <x v="0"/>
    <x v="490"/>
    <x v="35"/>
    <x v="87"/>
    <x v="1"/>
    <x v="1"/>
    <x v="4"/>
    <x v="1"/>
    <x v="5"/>
    <x v="0"/>
    <x v="79"/>
  </r>
  <r>
    <x v="491"/>
    <x v="0"/>
    <n v="3"/>
    <x v="3"/>
    <d v="2014-11-12T00:00:00"/>
    <x v="320"/>
    <x v="277"/>
    <x v="1"/>
    <x v="0"/>
    <x v="479"/>
    <x v="256"/>
    <x v="0"/>
    <x v="491"/>
    <x v="3"/>
    <x v="0"/>
    <x v="0"/>
    <x v="1"/>
    <x v="4"/>
    <x v="1"/>
    <x v="5"/>
    <x v="0"/>
    <x v="59"/>
  </r>
  <r>
    <x v="492"/>
    <x v="19"/>
    <n v="4"/>
    <x v="2"/>
    <d v="2014-11-13T00:00:00"/>
    <x v="322"/>
    <x v="270"/>
    <x v="0"/>
    <x v="2"/>
    <x v="480"/>
    <x v="482"/>
    <x v="3"/>
    <x v="492"/>
    <x v="21"/>
    <x v="19"/>
    <x v="2"/>
    <x v="1"/>
    <x v="4"/>
    <x v="1"/>
    <x v="5"/>
    <x v="0"/>
    <x v="55"/>
  </r>
  <r>
    <x v="493"/>
    <x v="55"/>
    <n v="4"/>
    <x v="2"/>
    <d v="2014-11-14T00:00:00"/>
    <x v="315"/>
    <x v="261"/>
    <x v="2"/>
    <x v="0"/>
    <x v="481"/>
    <x v="483"/>
    <x v="3"/>
    <x v="493"/>
    <x v="6"/>
    <x v="55"/>
    <x v="0"/>
    <x v="1"/>
    <x v="4"/>
    <x v="1"/>
    <x v="5"/>
    <x v="0"/>
    <x v="59"/>
  </r>
  <r>
    <x v="494"/>
    <x v="66"/>
    <n v="3"/>
    <x v="3"/>
    <d v="2014-11-14T00:00:00"/>
    <x v="330"/>
    <x v="261"/>
    <x v="2"/>
    <x v="0"/>
    <x v="482"/>
    <x v="484"/>
    <x v="0"/>
    <x v="494"/>
    <x v="5"/>
    <x v="66"/>
    <x v="0"/>
    <x v="1"/>
    <x v="4"/>
    <x v="1"/>
    <x v="5"/>
    <x v="0"/>
    <x v="5"/>
  </r>
  <r>
    <x v="495"/>
    <x v="55"/>
    <n v="1"/>
    <x v="5"/>
    <d v="2014-11-17T00:00:00"/>
    <x v="331"/>
    <x v="276"/>
    <x v="2"/>
    <x v="2"/>
    <x v="483"/>
    <x v="485"/>
    <x v="1"/>
    <x v="495"/>
    <x v="31"/>
    <x v="55"/>
    <x v="2"/>
    <x v="1"/>
    <x v="4"/>
    <x v="1"/>
    <x v="5"/>
    <x v="0"/>
    <x v="102"/>
  </r>
  <r>
    <x v="496"/>
    <x v="61"/>
    <n v="6"/>
    <x v="1"/>
    <d v="2014-11-17T00:00:00"/>
    <x v="331"/>
    <x v="278"/>
    <x v="3"/>
    <x v="1"/>
    <x v="484"/>
    <x v="486"/>
    <x v="3"/>
    <x v="496"/>
    <x v="8"/>
    <x v="61"/>
    <x v="1"/>
    <x v="1"/>
    <x v="4"/>
    <x v="1"/>
    <x v="5"/>
    <x v="0"/>
    <x v="95"/>
  </r>
  <r>
    <x v="497"/>
    <x v="21"/>
    <n v="9"/>
    <x v="4"/>
    <d v="2014-11-18T00:00:00"/>
    <x v="324"/>
    <x v="279"/>
    <x v="12"/>
    <x v="1"/>
    <x v="446"/>
    <x v="487"/>
    <x v="0"/>
    <x v="497"/>
    <x v="13"/>
    <x v="21"/>
    <x v="1"/>
    <x v="1"/>
    <x v="4"/>
    <x v="1"/>
    <x v="5"/>
    <x v="0"/>
    <x v="67"/>
  </r>
  <r>
    <x v="498"/>
    <x v="5"/>
    <n v="1"/>
    <x v="5"/>
    <d v="2014-11-19T00:00:00"/>
    <x v="332"/>
    <x v="276"/>
    <x v="4"/>
    <x v="0"/>
    <x v="485"/>
    <x v="488"/>
    <x v="0"/>
    <x v="498"/>
    <x v="3"/>
    <x v="5"/>
    <x v="0"/>
    <x v="1"/>
    <x v="4"/>
    <x v="1"/>
    <x v="5"/>
    <x v="0"/>
    <x v="62"/>
  </r>
  <r>
    <x v="499"/>
    <x v="54"/>
    <n v="6"/>
    <x v="1"/>
    <d v="2014-11-19T00:00:00"/>
    <x v="332"/>
    <x v="280"/>
    <x v="3"/>
    <x v="1"/>
    <x v="486"/>
    <x v="489"/>
    <x v="0"/>
    <x v="499"/>
    <x v="20"/>
    <x v="54"/>
    <x v="1"/>
    <x v="1"/>
    <x v="4"/>
    <x v="1"/>
    <x v="5"/>
    <x v="0"/>
    <x v="76"/>
  </r>
  <r>
    <x v="500"/>
    <x v="45"/>
    <n v="3"/>
    <x v="3"/>
    <d v="2014-11-20T00:00:00"/>
    <x v="333"/>
    <x v="281"/>
    <x v="9"/>
    <x v="1"/>
    <x v="487"/>
    <x v="490"/>
    <x v="0"/>
    <x v="500"/>
    <x v="41"/>
    <x v="45"/>
    <x v="1"/>
    <x v="1"/>
    <x v="4"/>
    <x v="1"/>
    <x v="5"/>
    <x v="0"/>
    <x v="97"/>
  </r>
  <r>
    <x v="501"/>
    <x v="42"/>
    <n v="4"/>
    <x v="2"/>
    <d v="2014-11-20T00:00:00"/>
    <x v="333"/>
    <x v="282"/>
    <x v="14"/>
    <x v="2"/>
    <x v="488"/>
    <x v="491"/>
    <x v="0"/>
    <x v="501"/>
    <x v="6"/>
    <x v="42"/>
    <x v="2"/>
    <x v="1"/>
    <x v="4"/>
    <x v="1"/>
    <x v="5"/>
    <x v="0"/>
    <x v="75"/>
  </r>
  <r>
    <x v="502"/>
    <x v="16"/>
    <n v="9"/>
    <x v="4"/>
    <d v="2014-11-21T00:00:00"/>
    <x v="334"/>
    <x v="278"/>
    <x v="6"/>
    <x v="1"/>
    <x v="489"/>
    <x v="492"/>
    <x v="2"/>
    <x v="502"/>
    <x v="21"/>
    <x v="16"/>
    <x v="1"/>
    <x v="1"/>
    <x v="4"/>
    <x v="1"/>
    <x v="5"/>
    <x v="0"/>
    <x v="58"/>
  </r>
  <r>
    <x v="503"/>
    <x v="6"/>
    <n v="3"/>
    <x v="3"/>
    <d v="2014-11-24T00:00:00"/>
    <x v="335"/>
    <x v="283"/>
    <x v="12"/>
    <x v="0"/>
    <x v="490"/>
    <x v="493"/>
    <x v="5"/>
    <x v="503"/>
    <x v="0"/>
    <x v="6"/>
    <x v="0"/>
    <x v="1"/>
    <x v="4"/>
    <x v="1"/>
    <x v="5"/>
    <x v="0"/>
    <x v="88"/>
  </r>
  <r>
    <x v="504"/>
    <x v="77"/>
    <n v="2"/>
    <x v="7"/>
    <d v="2014-11-24T00:00:00"/>
    <x v="335"/>
    <x v="281"/>
    <x v="2"/>
    <x v="0"/>
    <x v="491"/>
    <x v="494"/>
    <x v="0"/>
    <x v="504"/>
    <x v="20"/>
    <x v="77"/>
    <x v="0"/>
    <x v="1"/>
    <x v="4"/>
    <x v="1"/>
    <x v="5"/>
    <x v="0"/>
    <x v="70"/>
  </r>
  <r>
    <x v="505"/>
    <x v="70"/>
    <n v="3"/>
    <x v="3"/>
    <d v="2014-11-25T00:00:00"/>
    <x v="336"/>
    <x v="279"/>
    <x v="4"/>
    <x v="1"/>
    <x v="492"/>
    <x v="495"/>
    <x v="0"/>
    <x v="505"/>
    <x v="18"/>
    <x v="70"/>
    <x v="1"/>
    <x v="1"/>
    <x v="4"/>
    <x v="1"/>
    <x v="5"/>
    <x v="0"/>
    <x v="57"/>
  </r>
  <r>
    <x v="506"/>
    <x v="22"/>
    <n v="6"/>
    <x v="1"/>
    <d v="2014-11-25T00:00:00"/>
    <x v="336"/>
    <x v="279"/>
    <x v="4"/>
    <x v="0"/>
    <x v="493"/>
    <x v="496"/>
    <x v="0"/>
    <x v="506"/>
    <x v="35"/>
    <x v="22"/>
    <x v="0"/>
    <x v="1"/>
    <x v="4"/>
    <x v="1"/>
    <x v="5"/>
    <x v="0"/>
    <x v="95"/>
  </r>
  <r>
    <x v="507"/>
    <x v="48"/>
    <n v="4"/>
    <x v="2"/>
    <d v="2014-11-26T00:00:00"/>
    <x v="337"/>
    <x v="281"/>
    <x v="4"/>
    <x v="2"/>
    <x v="494"/>
    <x v="497"/>
    <x v="4"/>
    <x v="507"/>
    <x v="12"/>
    <x v="48"/>
    <x v="2"/>
    <x v="1"/>
    <x v="4"/>
    <x v="1"/>
    <x v="5"/>
    <x v="0"/>
    <x v="57"/>
  </r>
  <r>
    <x v="508"/>
    <x v="20"/>
    <n v="8"/>
    <x v="6"/>
    <d v="2014-11-27T00:00:00"/>
    <x v="338"/>
    <x v="284"/>
    <x v="1"/>
    <x v="2"/>
    <x v="495"/>
    <x v="498"/>
    <x v="3"/>
    <x v="508"/>
    <x v="22"/>
    <x v="20"/>
    <x v="2"/>
    <x v="1"/>
    <x v="4"/>
    <x v="1"/>
    <x v="5"/>
    <x v="0"/>
    <x v="67"/>
  </r>
  <r>
    <x v="509"/>
    <x v="45"/>
    <n v="6"/>
    <x v="1"/>
    <d v="2014-11-27T00:00:00"/>
    <x v="338"/>
    <x v="285"/>
    <x v="11"/>
    <x v="1"/>
    <x v="496"/>
    <x v="499"/>
    <x v="0"/>
    <x v="509"/>
    <x v="12"/>
    <x v="45"/>
    <x v="1"/>
    <x v="1"/>
    <x v="4"/>
    <x v="1"/>
    <x v="5"/>
    <x v="0"/>
    <x v="0"/>
  </r>
  <r>
    <x v="510"/>
    <x v="6"/>
    <n v="3"/>
    <x v="3"/>
    <d v="2014-11-28T00:00:00"/>
    <x v="339"/>
    <x v="286"/>
    <x v="5"/>
    <x v="0"/>
    <x v="497"/>
    <x v="500"/>
    <x v="0"/>
    <x v="510"/>
    <x v="5"/>
    <x v="6"/>
    <x v="0"/>
    <x v="1"/>
    <x v="4"/>
    <x v="1"/>
    <x v="5"/>
    <x v="0"/>
    <x v="88"/>
  </r>
  <r>
    <x v="511"/>
    <x v="39"/>
    <n v="3"/>
    <x v="3"/>
    <d v="2014-11-28T00:00:00"/>
    <x v="339"/>
    <x v="287"/>
    <x v="31"/>
    <x v="0"/>
    <x v="498"/>
    <x v="501"/>
    <x v="0"/>
    <x v="511"/>
    <x v="2"/>
    <x v="39"/>
    <x v="0"/>
    <x v="1"/>
    <x v="4"/>
    <x v="1"/>
    <x v="5"/>
    <x v="0"/>
    <x v="42"/>
  </r>
  <r>
    <x v="512"/>
    <x v="80"/>
    <n v="4"/>
    <x v="2"/>
    <d v="2014-12-01T00:00:00"/>
    <x v="340"/>
    <x v="288"/>
    <x v="12"/>
    <x v="1"/>
    <x v="499"/>
    <x v="502"/>
    <x v="4"/>
    <x v="512"/>
    <x v="0"/>
    <x v="80"/>
    <x v="1"/>
    <x v="1"/>
    <x v="5"/>
    <x v="1"/>
    <x v="5"/>
    <x v="0"/>
    <x v="0"/>
  </r>
  <r>
    <x v="513"/>
    <x v="13"/>
    <n v="5"/>
    <x v="0"/>
    <d v="2014-12-02T00:00:00"/>
    <x v="341"/>
    <x v="289"/>
    <x v="5"/>
    <x v="2"/>
    <x v="500"/>
    <x v="503"/>
    <x v="4"/>
    <x v="513"/>
    <x v="11"/>
    <x v="13"/>
    <x v="2"/>
    <x v="1"/>
    <x v="5"/>
    <x v="1"/>
    <x v="5"/>
    <x v="0"/>
    <x v="0"/>
  </r>
  <r>
    <x v="514"/>
    <x v="14"/>
    <n v="3"/>
    <x v="3"/>
    <d v="2014-12-02T00:00:00"/>
    <x v="341"/>
    <x v="290"/>
    <x v="3"/>
    <x v="1"/>
    <x v="501"/>
    <x v="504"/>
    <x v="0"/>
    <x v="514"/>
    <x v="9"/>
    <x v="14"/>
    <x v="1"/>
    <x v="1"/>
    <x v="5"/>
    <x v="1"/>
    <x v="5"/>
    <x v="0"/>
    <x v="70"/>
  </r>
  <r>
    <x v="515"/>
    <x v="68"/>
    <n v="3"/>
    <x v="3"/>
    <d v="2014-12-03T00:00:00"/>
    <x v="342"/>
    <x v="289"/>
    <x v="1"/>
    <x v="0"/>
    <x v="502"/>
    <x v="505"/>
    <x v="0"/>
    <x v="515"/>
    <x v="4"/>
    <x v="68"/>
    <x v="0"/>
    <x v="1"/>
    <x v="5"/>
    <x v="1"/>
    <x v="5"/>
    <x v="0"/>
    <x v="5"/>
  </r>
  <r>
    <x v="516"/>
    <x v="9"/>
    <n v="6"/>
    <x v="1"/>
    <d v="2014-12-03T00:00:00"/>
    <x v="342"/>
    <x v="289"/>
    <x v="1"/>
    <x v="0"/>
    <x v="503"/>
    <x v="506"/>
    <x v="5"/>
    <x v="516"/>
    <x v="5"/>
    <x v="9"/>
    <x v="0"/>
    <x v="1"/>
    <x v="5"/>
    <x v="1"/>
    <x v="5"/>
    <x v="0"/>
    <x v="5"/>
  </r>
  <r>
    <x v="517"/>
    <x v="21"/>
    <n v="3"/>
    <x v="3"/>
    <d v="2014-12-04T00:00:00"/>
    <x v="343"/>
    <x v="290"/>
    <x v="1"/>
    <x v="0"/>
    <x v="504"/>
    <x v="507"/>
    <x v="5"/>
    <x v="517"/>
    <x v="28"/>
    <x v="21"/>
    <x v="0"/>
    <x v="1"/>
    <x v="5"/>
    <x v="1"/>
    <x v="5"/>
    <x v="0"/>
    <x v="101"/>
  </r>
  <r>
    <x v="518"/>
    <x v="11"/>
    <n v="4"/>
    <x v="2"/>
    <d v="2014-12-05T00:00:00"/>
    <x v="344"/>
    <x v="290"/>
    <x v="2"/>
    <x v="1"/>
    <x v="505"/>
    <x v="508"/>
    <x v="0"/>
    <x v="518"/>
    <x v="4"/>
    <x v="11"/>
    <x v="1"/>
    <x v="1"/>
    <x v="5"/>
    <x v="1"/>
    <x v="5"/>
    <x v="0"/>
    <x v="59"/>
  </r>
  <r>
    <x v="519"/>
    <x v="4"/>
    <n v="4"/>
    <x v="2"/>
    <d v="2014-12-05T00:00:00"/>
    <x v="344"/>
    <x v="285"/>
    <x v="7"/>
    <x v="0"/>
    <x v="506"/>
    <x v="509"/>
    <x v="0"/>
    <x v="519"/>
    <x v="33"/>
    <x v="4"/>
    <x v="0"/>
    <x v="1"/>
    <x v="5"/>
    <x v="1"/>
    <x v="5"/>
    <x v="0"/>
    <x v="0"/>
  </r>
  <r>
    <x v="520"/>
    <x v="55"/>
    <n v="3"/>
    <x v="3"/>
    <d v="2014-12-08T00:00:00"/>
    <x v="345"/>
    <x v="285"/>
    <x v="3"/>
    <x v="2"/>
    <x v="507"/>
    <x v="510"/>
    <x v="0"/>
    <x v="520"/>
    <x v="18"/>
    <x v="55"/>
    <x v="2"/>
    <x v="1"/>
    <x v="5"/>
    <x v="1"/>
    <x v="5"/>
    <x v="0"/>
    <x v="72"/>
  </r>
  <r>
    <x v="521"/>
    <x v="61"/>
    <n v="3"/>
    <x v="3"/>
    <d v="2014-12-08T00:00:00"/>
    <x v="345"/>
    <x v="287"/>
    <x v="2"/>
    <x v="1"/>
    <x v="508"/>
    <x v="511"/>
    <x v="1"/>
    <x v="521"/>
    <x v="12"/>
    <x v="61"/>
    <x v="1"/>
    <x v="1"/>
    <x v="5"/>
    <x v="1"/>
    <x v="5"/>
    <x v="0"/>
    <x v="83"/>
  </r>
  <r>
    <x v="522"/>
    <x v="2"/>
    <n v="8"/>
    <x v="6"/>
    <d v="2014-12-09T00:00:00"/>
    <x v="346"/>
    <x v="291"/>
    <x v="9"/>
    <x v="0"/>
    <x v="509"/>
    <x v="512"/>
    <x v="4"/>
    <x v="522"/>
    <x v="6"/>
    <x v="2"/>
    <x v="0"/>
    <x v="1"/>
    <x v="5"/>
    <x v="1"/>
    <x v="5"/>
    <x v="0"/>
    <x v="72"/>
  </r>
  <r>
    <x v="523"/>
    <x v="9"/>
    <n v="9"/>
    <x v="4"/>
    <d v="2014-12-10T00:00:00"/>
    <x v="347"/>
    <x v="292"/>
    <x v="26"/>
    <x v="2"/>
    <x v="510"/>
    <x v="513"/>
    <x v="0"/>
    <x v="523"/>
    <x v="9"/>
    <x v="9"/>
    <x v="2"/>
    <x v="1"/>
    <x v="5"/>
    <x v="1"/>
    <x v="5"/>
    <x v="0"/>
    <x v="103"/>
  </r>
  <r>
    <x v="524"/>
    <x v="26"/>
    <n v="3"/>
    <x v="3"/>
    <d v="2014-12-10T00:00:00"/>
    <x v="347"/>
    <x v="282"/>
    <x v="12"/>
    <x v="2"/>
    <x v="511"/>
    <x v="514"/>
    <x v="0"/>
    <x v="524"/>
    <x v="17"/>
    <x v="26"/>
    <x v="2"/>
    <x v="1"/>
    <x v="5"/>
    <x v="1"/>
    <x v="5"/>
    <x v="0"/>
    <x v="63"/>
  </r>
  <r>
    <x v="525"/>
    <x v="9"/>
    <n v="1"/>
    <x v="5"/>
    <d v="2014-12-11T00:00:00"/>
    <x v="348"/>
    <x v="293"/>
    <x v="1"/>
    <x v="0"/>
    <x v="512"/>
    <x v="515"/>
    <x v="0"/>
    <x v="525"/>
    <x v="42"/>
    <x v="9"/>
    <x v="0"/>
    <x v="1"/>
    <x v="5"/>
    <x v="1"/>
    <x v="5"/>
    <x v="0"/>
    <x v="71"/>
  </r>
  <r>
    <x v="526"/>
    <x v="14"/>
    <n v="4"/>
    <x v="2"/>
    <d v="2014-12-11T00:00:00"/>
    <x v="338"/>
    <x v="287"/>
    <x v="13"/>
    <x v="1"/>
    <x v="513"/>
    <x v="516"/>
    <x v="4"/>
    <x v="526"/>
    <x v="33"/>
    <x v="14"/>
    <x v="1"/>
    <x v="1"/>
    <x v="5"/>
    <x v="1"/>
    <x v="5"/>
    <x v="0"/>
    <x v="76"/>
  </r>
  <r>
    <x v="527"/>
    <x v="84"/>
    <n v="7"/>
    <x v="8"/>
    <d v="2014-12-12T00:00:00"/>
    <x v="349"/>
    <x v="294"/>
    <x v="31"/>
    <x v="1"/>
    <x v="514"/>
    <x v="483"/>
    <x v="0"/>
    <x v="527"/>
    <x v="3"/>
    <x v="84"/>
    <x v="1"/>
    <x v="1"/>
    <x v="5"/>
    <x v="1"/>
    <x v="5"/>
    <x v="0"/>
    <x v="69"/>
  </r>
  <r>
    <x v="528"/>
    <x v="9"/>
    <n v="1"/>
    <x v="5"/>
    <d v="2014-12-15T00:00:00"/>
    <x v="350"/>
    <x v="295"/>
    <x v="6"/>
    <x v="0"/>
    <x v="515"/>
    <x v="517"/>
    <x v="1"/>
    <x v="528"/>
    <x v="9"/>
    <x v="9"/>
    <x v="0"/>
    <x v="1"/>
    <x v="5"/>
    <x v="1"/>
    <x v="5"/>
    <x v="0"/>
    <x v="76"/>
  </r>
  <r>
    <x v="529"/>
    <x v="71"/>
    <n v="7"/>
    <x v="8"/>
    <d v="2014-12-15T00:00:00"/>
    <x v="340"/>
    <x v="296"/>
    <x v="33"/>
    <x v="2"/>
    <x v="328"/>
    <x v="518"/>
    <x v="3"/>
    <x v="529"/>
    <x v="5"/>
    <x v="71"/>
    <x v="2"/>
    <x v="1"/>
    <x v="5"/>
    <x v="1"/>
    <x v="5"/>
    <x v="0"/>
    <x v="0"/>
  </r>
  <r>
    <x v="530"/>
    <x v="25"/>
    <n v="3"/>
    <x v="3"/>
    <d v="2014-12-16T00:00:00"/>
    <x v="351"/>
    <x v="297"/>
    <x v="9"/>
    <x v="1"/>
    <x v="516"/>
    <x v="519"/>
    <x v="0"/>
    <x v="530"/>
    <x v="2"/>
    <x v="25"/>
    <x v="1"/>
    <x v="1"/>
    <x v="5"/>
    <x v="1"/>
    <x v="5"/>
    <x v="0"/>
    <x v="83"/>
  </r>
  <r>
    <x v="531"/>
    <x v="24"/>
    <n v="3"/>
    <x v="3"/>
    <d v="2014-12-16T00:00:00"/>
    <x v="351"/>
    <x v="298"/>
    <x v="14"/>
    <x v="2"/>
    <x v="517"/>
    <x v="520"/>
    <x v="0"/>
    <x v="531"/>
    <x v="5"/>
    <x v="24"/>
    <x v="2"/>
    <x v="1"/>
    <x v="5"/>
    <x v="1"/>
    <x v="5"/>
    <x v="0"/>
    <x v="79"/>
  </r>
  <r>
    <x v="532"/>
    <x v="28"/>
    <n v="2"/>
    <x v="7"/>
    <d v="2014-12-16T00:00:00"/>
    <x v="341"/>
    <x v="299"/>
    <x v="12"/>
    <x v="1"/>
    <x v="518"/>
    <x v="167"/>
    <x v="0"/>
    <x v="532"/>
    <x v="11"/>
    <x v="28"/>
    <x v="1"/>
    <x v="1"/>
    <x v="5"/>
    <x v="1"/>
    <x v="5"/>
    <x v="0"/>
    <x v="77"/>
  </r>
  <r>
    <x v="533"/>
    <x v="16"/>
    <n v="2"/>
    <x v="7"/>
    <d v="2014-12-17T00:00:00"/>
    <x v="352"/>
    <x v="282"/>
    <x v="4"/>
    <x v="0"/>
    <x v="519"/>
    <x v="521"/>
    <x v="3"/>
    <x v="533"/>
    <x v="35"/>
    <x v="16"/>
    <x v="0"/>
    <x v="1"/>
    <x v="5"/>
    <x v="1"/>
    <x v="5"/>
    <x v="0"/>
    <x v="56"/>
  </r>
  <r>
    <x v="534"/>
    <x v="78"/>
    <n v="9"/>
    <x v="4"/>
    <d v="2014-12-17T00:00:00"/>
    <x v="352"/>
    <x v="300"/>
    <x v="1"/>
    <x v="0"/>
    <x v="520"/>
    <x v="522"/>
    <x v="0"/>
    <x v="534"/>
    <x v="14"/>
    <x v="78"/>
    <x v="0"/>
    <x v="1"/>
    <x v="5"/>
    <x v="1"/>
    <x v="5"/>
    <x v="0"/>
    <x v="76"/>
  </r>
  <r>
    <x v="535"/>
    <x v="2"/>
    <n v="4"/>
    <x v="2"/>
    <d v="2014-12-18T00:00:00"/>
    <x v="353"/>
    <x v="282"/>
    <x v="13"/>
    <x v="2"/>
    <x v="521"/>
    <x v="523"/>
    <x v="0"/>
    <x v="535"/>
    <x v="2"/>
    <x v="2"/>
    <x v="2"/>
    <x v="1"/>
    <x v="5"/>
    <x v="1"/>
    <x v="5"/>
    <x v="0"/>
    <x v="76"/>
  </r>
  <r>
    <x v="536"/>
    <x v="22"/>
    <n v="4"/>
    <x v="2"/>
    <d v="2014-12-18T00:00:00"/>
    <x v="353"/>
    <x v="300"/>
    <x v="2"/>
    <x v="0"/>
    <x v="522"/>
    <x v="524"/>
    <x v="0"/>
    <x v="536"/>
    <x v="12"/>
    <x v="22"/>
    <x v="0"/>
    <x v="1"/>
    <x v="5"/>
    <x v="1"/>
    <x v="5"/>
    <x v="0"/>
    <x v="59"/>
  </r>
  <r>
    <x v="537"/>
    <x v="18"/>
    <n v="1"/>
    <x v="5"/>
    <d v="2014-12-18T00:00:00"/>
    <x v="353"/>
    <x v="297"/>
    <x v="5"/>
    <x v="0"/>
    <x v="523"/>
    <x v="525"/>
    <x v="0"/>
    <x v="537"/>
    <x v="2"/>
    <x v="18"/>
    <x v="0"/>
    <x v="1"/>
    <x v="5"/>
    <x v="1"/>
    <x v="5"/>
    <x v="0"/>
    <x v="69"/>
  </r>
  <r>
    <x v="538"/>
    <x v="62"/>
    <n v="8"/>
    <x v="6"/>
    <d v="2014-12-19T00:00:00"/>
    <x v="354"/>
    <x v="301"/>
    <x v="2"/>
    <x v="1"/>
    <x v="524"/>
    <x v="526"/>
    <x v="3"/>
    <x v="538"/>
    <x v="12"/>
    <x v="62"/>
    <x v="1"/>
    <x v="1"/>
    <x v="5"/>
    <x v="1"/>
    <x v="5"/>
    <x v="0"/>
    <x v="98"/>
  </r>
  <r>
    <x v="539"/>
    <x v="53"/>
    <n v="2"/>
    <x v="7"/>
    <d v="2014-12-19T00:00:00"/>
    <x v="344"/>
    <x v="294"/>
    <x v="3"/>
    <x v="1"/>
    <x v="525"/>
    <x v="527"/>
    <x v="1"/>
    <x v="539"/>
    <x v="6"/>
    <x v="53"/>
    <x v="1"/>
    <x v="1"/>
    <x v="5"/>
    <x v="1"/>
    <x v="5"/>
    <x v="0"/>
    <x v="59"/>
  </r>
  <r>
    <x v="540"/>
    <x v="21"/>
    <n v="1"/>
    <x v="5"/>
    <d v="2014-12-22T00:00:00"/>
    <x v="355"/>
    <x v="302"/>
    <x v="34"/>
    <x v="2"/>
    <x v="526"/>
    <x v="528"/>
    <x v="1"/>
    <x v="540"/>
    <x v="8"/>
    <x v="21"/>
    <x v="2"/>
    <x v="1"/>
    <x v="5"/>
    <x v="1"/>
    <x v="5"/>
    <x v="0"/>
    <x v="93"/>
  </r>
  <r>
    <x v="541"/>
    <x v="68"/>
    <n v="1"/>
    <x v="5"/>
    <d v="2014-12-22T00:00:00"/>
    <x v="355"/>
    <x v="303"/>
    <x v="12"/>
    <x v="2"/>
    <x v="527"/>
    <x v="529"/>
    <x v="0"/>
    <x v="541"/>
    <x v="12"/>
    <x v="68"/>
    <x v="2"/>
    <x v="1"/>
    <x v="5"/>
    <x v="1"/>
    <x v="5"/>
    <x v="0"/>
    <x v="67"/>
  </r>
  <r>
    <x v="542"/>
    <x v="71"/>
    <n v="6"/>
    <x v="1"/>
    <d v="2014-12-22T00:00:00"/>
    <x v="355"/>
    <x v="294"/>
    <x v="2"/>
    <x v="1"/>
    <x v="528"/>
    <x v="530"/>
    <x v="2"/>
    <x v="542"/>
    <x v="35"/>
    <x v="71"/>
    <x v="1"/>
    <x v="1"/>
    <x v="5"/>
    <x v="1"/>
    <x v="5"/>
    <x v="0"/>
    <x v="78"/>
  </r>
  <r>
    <x v="543"/>
    <x v="17"/>
    <n v="6"/>
    <x v="1"/>
    <d v="2014-12-23T00:00:00"/>
    <x v="356"/>
    <x v="304"/>
    <x v="12"/>
    <x v="2"/>
    <x v="529"/>
    <x v="531"/>
    <x v="1"/>
    <x v="543"/>
    <x v="19"/>
    <x v="17"/>
    <x v="2"/>
    <x v="1"/>
    <x v="5"/>
    <x v="1"/>
    <x v="5"/>
    <x v="0"/>
    <x v="63"/>
  </r>
  <r>
    <x v="544"/>
    <x v="63"/>
    <n v="1"/>
    <x v="5"/>
    <d v="2014-12-23T00:00:00"/>
    <x v="356"/>
    <x v="303"/>
    <x v="9"/>
    <x v="0"/>
    <x v="530"/>
    <x v="532"/>
    <x v="0"/>
    <x v="544"/>
    <x v="2"/>
    <x v="63"/>
    <x v="0"/>
    <x v="1"/>
    <x v="5"/>
    <x v="1"/>
    <x v="5"/>
    <x v="0"/>
    <x v="59"/>
  </r>
  <r>
    <x v="545"/>
    <x v="55"/>
    <n v="3"/>
    <x v="3"/>
    <d v="2014-12-24T00:00:00"/>
    <x v="357"/>
    <x v="305"/>
    <x v="18"/>
    <x v="0"/>
    <x v="531"/>
    <x v="533"/>
    <x v="0"/>
    <x v="545"/>
    <x v="19"/>
    <x v="55"/>
    <x v="0"/>
    <x v="1"/>
    <x v="5"/>
    <x v="1"/>
    <x v="5"/>
    <x v="0"/>
    <x v="83"/>
  </r>
  <r>
    <x v="546"/>
    <x v="12"/>
    <n v="6"/>
    <x v="1"/>
    <d v="2014-12-24T00:00:00"/>
    <x v="357"/>
    <x v="292"/>
    <x v="12"/>
    <x v="1"/>
    <x v="532"/>
    <x v="534"/>
    <x v="3"/>
    <x v="546"/>
    <x v="6"/>
    <x v="12"/>
    <x v="1"/>
    <x v="1"/>
    <x v="5"/>
    <x v="1"/>
    <x v="5"/>
    <x v="0"/>
    <x v="58"/>
  </r>
  <r>
    <x v="547"/>
    <x v="9"/>
    <n v="8"/>
    <x v="6"/>
    <d v="2014-12-24T00:00:00"/>
    <x v="357"/>
    <x v="306"/>
    <x v="29"/>
    <x v="2"/>
    <x v="533"/>
    <x v="535"/>
    <x v="0"/>
    <x v="547"/>
    <x v="43"/>
    <x v="9"/>
    <x v="2"/>
    <x v="1"/>
    <x v="5"/>
    <x v="1"/>
    <x v="5"/>
    <x v="0"/>
    <x v="79"/>
  </r>
  <r>
    <x v="548"/>
    <x v="8"/>
    <n v="3"/>
    <x v="3"/>
    <d v="2014-12-25T00:00:00"/>
    <x v="358"/>
    <x v="298"/>
    <x v="27"/>
    <x v="1"/>
    <x v="534"/>
    <x v="536"/>
    <x v="3"/>
    <x v="548"/>
    <x v="22"/>
    <x v="8"/>
    <x v="1"/>
    <x v="1"/>
    <x v="5"/>
    <x v="1"/>
    <x v="5"/>
    <x v="0"/>
    <x v="88"/>
  </r>
  <r>
    <x v="549"/>
    <x v="57"/>
    <n v="7"/>
    <x v="8"/>
    <d v="2014-12-25T00:00:00"/>
    <x v="358"/>
    <x v="307"/>
    <x v="8"/>
    <x v="2"/>
    <x v="535"/>
    <x v="28"/>
    <x v="0"/>
    <x v="549"/>
    <x v="5"/>
    <x v="57"/>
    <x v="2"/>
    <x v="1"/>
    <x v="5"/>
    <x v="1"/>
    <x v="5"/>
    <x v="0"/>
    <x v="72"/>
  </r>
  <r>
    <x v="550"/>
    <x v="42"/>
    <n v="2"/>
    <x v="7"/>
    <d v="2014-12-26T00:00:00"/>
    <x v="359"/>
    <x v="307"/>
    <x v="7"/>
    <x v="1"/>
    <x v="536"/>
    <x v="537"/>
    <x v="0"/>
    <x v="550"/>
    <x v="33"/>
    <x v="42"/>
    <x v="1"/>
    <x v="1"/>
    <x v="5"/>
    <x v="1"/>
    <x v="5"/>
    <x v="0"/>
    <x v="60"/>
  </r>
  <r>
    <x v="551"/>
    <x v="44"/>
    <n v="9"/>
    <x v="4"/>
    <d v="2014-12-26T00:00:00"/>
    <x v="360"/>
    <x v="307"/>
    <x v="7"/>
    <x v="0"/>
    <x v="537"/>
    <x v="538"/>
    <x v="2"/>
    <x v="551"/>
    <x v="5"/>
    <x v="44"/>
    <x v="0"/>
    <x v="1"/>
    <x v="5"/>
    <x v="1"/>
    <x v="5"/>
    <x v="0"/>
    <x v="62"/>
  </r>
  <r>
    <x v="552"/>
    <x v="56"/>
    <n v="1"/>
    <x v="5"/>
    <d v="2014-12-26T00:00:00"/>
    <x v="359"/>
    <x v="307"/>
    <x v="7"/>
    <x v="0"/>
    <x v="538"/>
    <x v="539"/>
    <x v="5"/>
    <x v="552"/>
    <x v="8"/>
    <x v="56"/>
    <x v="0"/>
    <x v="1"/>
    <x v="5"/>
    <x v="1"/>
    <x v="5"/>
    <x v="0"/>
    <x v="72"/>
  </r>
  <r>
    <x v="553"/>
    <x v="46"/>
    <n v="4"/>
    <x v="2"/>
    <d v="2014-12-29T00:00:00"/>
    <x v="361"/>
    <x v="303"/>
    <x v="4"/>
    <x v="2"/>
    <x v="539"/>
    <x v="540"/>
    <x v="4"/>
    <x v="553"/>
    <x v="4"/>
    <x v="46"/>
    <x v="2"/>
    <x v="1"/>
    <x v="5"/>
    <x v="1"/>
    <x v="5"/>
    <x v="0"/>
    <x v="71"/>
  </r>
  <r>
    <x v="554"/>
    <x v="51"/>
    <n v="4"/>
    <x v="2"/>
    <d v="2014-12-29T00:00:00"/>
    <x v="361"/>
    <x v="292"/>
    <x v="2"/>
    <x v="2"/>
    <x v="540"/>
    <x v="541"/>
    <x v="4"/>
    <x v="554"/>
    <x v="7"/>
    <x v="51"/>
    <x v="2"/>
    <x v="1"/>
    <x v="5"/>
    <x v="1"/>
    <x v="5"/>
    <x v="0"/>
    <x v="74"/>
  </r>
  <r>
    <x v="555"/>
    <x v="7"/>
    <n v="4"/>
    <x v="2"/>
    <d v="2014-12-30T00:00:00"/>
    <x v="362"/>
    <x v="308"/>
    <x v="3"/>
    <x v="1"/>
    <x v="541"/>
    <x v="542"/>
    <x v="1"/>
    <x v="555"/>
    <x v="13"/>
    <x v="7"/>
    <x v="1"/>
    <x v="1"/>
    <x v="5"/>
    <x v="1"/>
    <x v="5"/>
    <x v="0"/>
    <x v="93"/>
  </r>
  <r>
    <x v="556"/>
    <x v="56"/>
    <n v="6"/>
    <x v="1"/>
    <d v="2014-12-30T00:00:00"/>
    <x v="362"/>
    <x v="309"/>
    <x v="9"/>
    <x v="2"/>
    <x v="542"/>
    <x v="543"/>
    <x v="0"/>
    <x v="556"/>
    <x v="25"/>
    <x v="56"/>
    <x v="2"/>
    <x v="1"/>
    <x v="5"/>
    <x v="1"/>
    <x v="5"/>
    <x v="0"/>
    <x v="69"/>
  </r>
  <r>
    <x v="557"/>
    <x v="40"/>
    <n v="2"/>
    <x v="7"/>
    <d v="2014-12-30T00:00:00"/>
    <x v="362"/>
    <x v="310"/>
    <x v="7"/>
    <x v="0"/>
    <x v="543"/>
    <x v="544"/>
    <x v="0"/>
    <x v="557"/>
    <x v="2"/>
    <x v="40"/>
    <x v="0"/>
    <x v="1"/>
    <x v="5"/>
    <x v="1"/>
    <x v="5"/>
    <x v="0"/>
    <x v="0"/>
  </r>
  <r>
    <x v="558"/>
    <x v="3"/>
    <n v="3"/>
    <x v="3"/>
    <d v="2014-12-31T00:00:00"/>
    <x v="363"/>
    <x v="307"/>
    <x v="1"/>
    <x v="2"/>
    <x v="544"/>
    <x v="545"/>
    <x v="4"/>
    <x v="558"/>
    <x v="5"/>
    <x v="3"/>
    <x v="2"/>
    <x v="1"/>
    <x v="5"/>
    <x v="1"/>
    <x v="5"/>
    <x v="0"/>
    <x v="59"/>
  </r>
  <r>
    <x v="559"/>
    <x v="70"/>
    <n v="4"/>
    <x v="2"/>
    <d v="2014-12-31T00:00:00"/>
    <x v="363"/>
    <x v="311"/>
    <x v="10"/>
    <x v="1"/>
    <x v="545"/>
    <x v="546"/>
    <x v="0"/>
    <x v="559"/>
    <x v="14"/>
    <x v="70"/>
    <x v="1"/>
    <x v="1"/>
    <x v="5"/>
    <x v="1"/>
    <x v="5"/>
    <x v="0"/>
    <x v="95"/>
  </r>
  <r>
    <x v="560"/>
    <x v="37"/>
    <n v="2"/>
    <x v="7"/>
    <d v="2015-01-01T00:00:00"/>
    <x v="364"/>
    <x v="310"/>
    <x v="9"/>
    <x v="0"/>
    <x v="546"/>
    <x v="547"/>
    <x v="2"/>
    <x v="560"/>
    <x v="5"/>
    <x v="37"/>
    <x v="0"/>
    <x v="2"/>
    <x v="6"/>
    <x v="2"/>
    <x v="6"/>
    <x v="0"/>
    <x v="75"/>
  </r>
  <r>
    <x v="561"/>
    <x v="7"/>
    <n v="7"/>
    <x v="8"/>
    <d v="2015-01-01T00:00:00"/>
    <x v="364"/>
    <x v="309"/>
    <x v="5"/>
    <x v="1"/>
    <x v="285"/>
    <x v="548"/>
    <x v="0"/>
    <x v="561"/>
    <x v="5"/>
    <x v="7"/>
    <x v="1"/>
    <x v="2"/>
    <x v="6"/>
    <x v="2"/>
    <x v="6"/>
    <x v="0"/>
    <x v="68"/>
  </r>
  <r>
    <x v="562"/>
    <x v="75"/>
    <n v="2"/>
    <x v="7"/>
    <d v="2015-01-01T00:00:00"/>
    <x v="364"/>
    <x v="309"/>
    <x v="5"/>
    <x v="0"/>
    <x v="547"/>
    <x v="549"/>
    <x v="0"/>
    <x v="562"/>
    <x v="23"/>
    <x v="75"/>
    <x v="0"/>
    <x v="2"/>
    <x v="6"/>
    <x v="2"/>
    <x v="6"/>
    <x v="0"/>
    <x v="62"/>
  </r>
  <r>
    <x v="563"/>
    <x v="67"/>
    <n v="8"/>
    <x v="6"/>
    <d v="2015-01-02T00:00:00"/>
    <x v="365"/>
    <x v="305"/>
    <x v="5"/>
    <x v="1"/>
    <x v="548"/>
    <x v="550"/>
    <x v="0"/>
    <x v="563"/>
    <x v="6"/>
    <x v="67"/>
    <x v="1"/>
    <x v="2"/>
    <x v="6"/>
    <x v="2"/>
    <x v="6"/>
    <x v="0"/>
    <x v="93"/>
  </r>
  <r>
    <x v="564"/>
    <x v="30"/>
    <n v="5"/>
    <x v="0"/>
    <d v="2015-01-02T00:00:00"/>
    <x v="365"/>
    <x v="312"/>
    <x v="7"/>
    <x v="1"/>
    <x v="549"/>
    <x v="551"/>
    <x v="5"/>
    <x v="564"/>
    <x v="9"/>
    <x v="30"/>
    <x v="1"/>
    <x v="2"/>
    <x v="6"/>
    <x v="2"/>
    <x v="6"/>
    <x v="0"/>
    <x v="76"/>
  </r>
  <r>
    <x v="565"/>
    <x v="29"/>
    <n v="1"/>
    <x v="5"/>
    <d v="2015-01-05T00:00:00"/>
    <x v="366"/>
    <x v="310"/>
    <x v="2"/>
    <x v="1"/>
    <x v="550"/>
    <x v="552"/>
    <x v="3"/>
    <x v="565"/>
    <x v="0"/>
    <x v="29"/>
    <x v="1"/>
    <x v="2"/>
    <x v="6"/>
    <x v="2"/>
    <x v="6"/>
    <x v="0"/>
    <x v="59"/>
  </r>
  <r>
    <x v="566"/>
    <x v="3"/>
    <n v="3"/>
    <x v="3"/>
    <d v="2015-01-05T00:00:00"/>
    <x v="366"/>
    <x v="298"/>
    <x v="12"/>
    <x v="0"/>
    <x v="551"/>
    <x v="553"/>
    <x v="0"/>
    <x v="566"/>
    <x v="5"/>
    <x v="3"/>
    <x v="0"/>
    <x v="2"/>
    <x v="6"/>
    <x v="2"/>
    <x v="6"/>
    <x v="0"/>
    <x v="83"/>
  </r>
  <r>
    <x v="567"/>
    <x v="45"/>
    <n v="2"/>
    <x v="7"/>
    <d v="2015-01-05T00:00:00"/>
    <x v="366"/>
    <x v="298"/>
    <x v="12"/>
    <x v="0"/>
    <x v="552"/>
    <x v="554"/>
    <x v="0"/>
    <x v="567"/>
    <x v="9"/>
    <x v="45"/>
    <x v="0"/>
    <x v="2"/>
    <x v="6"/>
    <x v="2"/>
    <x v="6"/>
    <x v="0"/>
    <x v="85"/>
  </r>
  <r>
    <x v="568"/>
    <x v="79"/>
    <n v="4"/>
    <x v="2"/>
    <d v="2015-01-06T00:00:00"/>
    <x v="367"/>
    <x v="313"/>
    <x v="14"/>
    <x v="2"/>
    <x v="553"/>
    <x v="555"/>
    <x v="1"/>
    <x v="568"/>
    <x v="12"/>
    <x v="79"/>
    <x v="2"/>
    <x v="2"/>
    <x v="6"/>
    <x v="2"/>
    <x v="6"/>
    <x v="0"/>
    <x v="91"/>
  </r>
  <r>
    <x v="569"/>
    <x v="44"/>
    <n v="3"/>
    <x v="3"/>
    <d v="2015-01-06T00:00:00"/>
    <x v="356"/>
    <x v="314"/>
    <x v="3"/>
    <x v="2"/>
    <x v="554"/>
    <x v="556"/>
    <x v="2"/>
    <x v="569"/>
    <x v="4"/>
    <x v="44"/>
    <x v="2"/>
    <x v="2"/>
    <x v="6"/>
    <x v="2"/>
    <x v="6"/>
    <x v="0"/>
    <x v="88"/>
  </r>
  <r>
    <x v="570"/>
    <x v="22"/>
    <n v="7"/>
    <x v="8"/>
    <d v="2015-01-07T00:00:00"/>
    <x v="368"/>
    <x v="312"/>
    <x v="1"/>
    <x v="0"/>
    <x v="555"/>
    <x v="557"/>
    <x v="0"/>
    <x v="570"/>
    <x v="5"/>
    <x v="22"/>
    <x v="0"/>
    <x v="2"/>
    <x v="6"/>
    <x v="2"/>
    <x v="6"/>
    <x v="0"/>
    <x v="42"/>
  </r>
  <r>
    <x v="571"/>
    <x v="78"/>
    <n v="2"/>
    <x v="7"/>
    <d v="2015-01-07T00:00:00"/>
    <x v="368"/>
    <x v="315"/>
    <x v="12"/>
    <x v="0"/>
    <x v="556"/>
    <x v="326"/>
    <x v="0"/>
    <x v="571"/>
    <x v="23"/>
    <x v="78"/>
    <x v="0"/>
    <x v="2"/>
    <x v="6"/>
    <x v="2"/>
    <x v="6"/>
    <x v="0"/>
    <x v="61"/>
  </r>
  <r>
    <x v="572"/>
    <x v="13"/>
    <n v="3"/>
    <x v="3"/>
    <d v="2015-01-07T00:00:00"/>
    <x v="368"/>
    <x v="314"/>
    <x v="5"/>
    <x v="2"/>
    <x v="557"/>
    <x v="558"/>
    <x v="0"/>
    <x v="572"/>
    <x v="12"/>
    <x v="13"/>
    <x v="2"/>
    <x v="2"/>
    <x v="6"/>
    <x v="2"/>
    <x v="6"/>
    <x v="0"/>
    <x v="75"/>
  </r>
  <r>
    <x v="573"/>
    <x v="20"/>
    <n v="1"/>
    <x v="5"/>
    <d v="2015-01-08T00:00:00"/>
    <x v="369"/>
    <x v="316"/>
    <x v="3"/>
    <x v="1"/>
    <x v="558"/>
    <x v="559"/>
    <x v="0"/>
    <x v="573"/>
    <x v="5"/>
    <x v="20"/>
    <x v="1"/>
    <x v="2"/>
    <x v="6"/>
    <x v="2"/>
    <x v="6"/>
    <x v="0"/>
    <x v="70"/>
  </r>
  <r>
    <x v="574"/>
    <x v="81"/>
    <n v="6"/>
    <x v="1"/>
    <d v="2015-01-08T00:00:00"/>
    <x v="369"/>
    <x v="315"/>
    <x v="9"/>
    <x v="0"/>
    <x v="559"/>
    <x v="560"/>
    <x v="0"/>
    <x v="574"/>
    <x v="35"/>
    <x v="81"/>
    <x v="0"/>
    <x v="2"/>
    <x v="6"/>
    <x v="2"/>
    <x v="6"/>
    <x v="0"/>
    <x v="60"/>
  </r>
  <r>
    <x v="575"/>
    <x v="28"/>
    <n v="5"/>
    <x v="0"/>
    <d v="2015-01-09T00:00:00"/>
    <x v="360"/>
    <x v="314"/>
    <x v="2"/>
    <x v="2"/>
    <x v="560"/>
    <x v="561"/>
    <x v="5"/>
    <x v="575"/>
    <x v="5"/>
    <x v="28"/>
    <x v="2"/>
    <x v="2"/>
    <x v="6"/>
    <x v="2"/>
    <x v="6"/>
    <x v="0"/>
    <x v="72"/>
  </r>
  <r>
    <x v="576"/>
    <x v="14"/>
    <n v="8"/>
    <x v="6"/>
    <d v="2015-01-09T00:00:00"/>
    <x v="360"/>
    <x v="311"/>
    <x v="23"/>
    <x v="1"/>
    <x v="561"/>
    <x v="562"/>
    <x v="0"/>
    <x v="576"/>
    <x v="0"/>
    <x v="14"/>
    <x v="1"/>
    <x v="2"/>
    <x v="6"/>
    <x v="2"/>
    <x v="6"/>
    <x v="0"/>
    <x v="83"/>
  </r>
  <r>
    <x v="577"/>
    <x v="57"/>
    <n v="1"/>
    <x v="5"/>
    <d v="2015-01-09T00:00:00"/>
    <x v="360"/>
    <x v="298"/>
    <x v="1"/>
    <x v="1"/>
    <x v="562"/>
    <x v="563"/>
    <x v="0"/>
    <x v="577"/>
    <x v="0"/>
    <x v="57"/>
    <x v="1"/>
    <x v="2"/>
    <x v="6"/>
    <x v="2"/>
    <x v="6"/>
    <x v="0"/>
    <x v="88"/>
  </r>
  <r>
    <x v="578"/>
    <x v="15"/>
    <n v="6"/>
    <x v="1"/>
    <d v="2015-01-12T00:00:00"/>
    <x v="370"/>
    <x v="317"/>
    <x v="30"/>
    <x v="1"/>
    <x v="563"/>
    <x v="564"/>
    <x v="0"/>
    <x v="578"/>
    <x v="11"/>
    <x v="15"/>
    <x v="1"/>
    <x v="2"/>
    <x v="6"/>
    <x v="2"/>
    <x v="6"/>
    <x v="0"/>
    <x v="76"/>
  </r>
  <r>
    <x v="579"/>
    <x v="48"/>
    <n v="1"/>
    <x v="5"/>
    <d v="2015-01-12T00:00:00"/>
    <x v="361"/>
    <x v="317"/>
    <x v="30"/>
    <x v="2"/>
    <x v="564"/>
    <x v="565"/>
    <x v="0"/>
    <x v="579"/>
    <x v="6"/>
    <x v="48"/>
    <x v="2"/>
    <x v="2"/>
    <x v="6"/>
    <x v="2"/>
    <x v="6"/>
    <x v="0"/>
    <x v="69"/>
  </r>
  <r>
    <x v="580"/>
    <x v="73"/>
    <n v="9"/>
    <x v="4"/>
    <d v="2015-01-13T00:00:00"/>
    <x v="362"/>
    <x v="313"/>
    <x v="20"/>
    <x v="1"/>
    <x v="565"/>
    <x v="566"/>
    <x v="0"/>
    <x v="580"/>
    <x v="21"/>
    <x v="73"/>
    <x v="1"/>
    <x v="2"/>
    <x v="6"/>
    <x v="2"/>
    <x v="6"/>
    <x v="0"/>
    <x v="65"/>
  </r>
  <r>
    <x v="581"/>
    <x v="42"/>
    <n v="9"/>
    <x v="4"/>
    <d v="2015-01-13T00:00:00"/>
    <x v="371"/>
    <x v="318"/>
    <x v="7"/>
    <x v="1"/>
    <x v="566"/>
    <x v="567"/>
    <x v="0"/>
    <x v="581"/>
    <x v="2"/>
    <x v="42"/>
    <x v="1"/>
    <x v="2"/>
    <x v="6"/>
    <x v="2"/>
    <x v="6"/>
    <x v="0"/>
    <x v="59"/>
  </r>
  <r>
    <x v="582"/>
    <x v="33"/>
    <n v="4"/>
    <x v="2"/>
    <d v="2015-01-13T00:00:00"/>
    <x v="372"/>
    <x v="296"/>
    <x v="9"/>
    <x v="2"/>
    <x v="567"/>
    <x v="568"/>
    <x v="0"/>
    <x v="582"/>
    <x v="3"/>
    <x v="33"/>
    <x v="2"/>
    <x v="2"/>
    <x v="6"/>
    <x v="2"/>
    <x v="6"/>
    <x v="0"/>
    <x v="92"/>
  </r>
  <r>
    <x v="583"/>
    <x v="65"/>
    <n v="3"/>
    <x v="3"/>
    <d v="2015-01-14T00:00:00"/>
    <x v="373"/>
    <x v="318"/>
    <x v="12"/>
    <x v="2"/>
    <x v="568"/>
    <x v="569"/>
    <x v="0"/>
    <x v="583"/>
    <x v="33"/>
    <x v="65"/>
    <x v="2"/>
    <x v="2"/>
    <x v="6"/>
    <x v="2"/>
    <x v="6"/>
    <x v="0"/>
    <x v="93"/>
  </r>
  <r>
    <x v="584"/>
    <x v="53"/>
    <n v="2"/>
    <x v="7"/>
    <d v="2015-01-14T00:00:00"/>
    <x v="373"/>
    <x v="302"/>
    <x v="1"/>
    <x v="2"/>
    <x v="569"/>
    <x v="570"/>
    <x v="3"/>
    <x v="584"/>
    <x v="35"/>
    <x v="53"/>
    <x v="2"/>
    <x v="2"/>
    <x v="6"/>
    <x v="2"/>
    <x v="6"/>
    <x v="0"/>
    <x v="62"/>
  </r>
  <r>
    <x v="585"/>
    <x v="11"/>
    <n v="6"/>
    <x v="1"/>
    <d v="2015-01-15T00:00:00"/>
    <x v="374"/>
    <x v="318"/>
    <x v="9"/>
    <x v="2"/>
    <x v="570"/>
    <x v="571"/>
    <x v="5"/>
    <x v="585"/>
    <x v="5"/>
    <x v="11"/>
    <x v="2"/>
    <x v="2"/>
    <x v="6"/>
    <x v="2"/>
    <x v="6"/>
    <x v="0"/>
    <x v="78"/>
  </r>
  <r>
    <x v="586"/>
    <x v="33"/>
    <n v="1"/>
    <x v="5"/>
    <d v="2015-01-15T00:00:00"/>
    <x v="374"/>
    <x v="302"/>
    <x v="2"/>
    <x v="0"/>
    <x v="571"/>
    <x v="572"/>
    <x v="1"/>
    <x v="586"/>
    <x v="20"/>
    <x v="33"/>
    <x v="0"/>
    <x v="2"/>
    <x v="6"/>
    <x v="2"/>
    <x v="6"/>
    <x v="0"/>
    <x v="63"/>
  </r>
  <r>
    <x v="587"/>
    <x v="85"/>
    <n v="1"/>
    <x v="5"/>
    <d v="2015-01-15T00:00:00"/>
    <x v="374"/>
    <x v="296"/>
    <x v="5"/>
    <x v="0"/>
    <x v="572"/>
    <x v="573"/>
    <x v="0"/>
    <x v="587"/>
    <x v="6"/>
    <x v="85"/>
    <x v="0"/>
    <x v="2"/>
    <x v="6"/>
    <x v="2"/>
    <x v="6"/>
    <x v="0"/>
    <x v="73"/>
  </r>
  <r>
    <x v="588"/>
    <x v="9"/>
    <n v="7"/>
    <x v="8"/>
    <d v="2015-01-16T00:00:00"/>
    <x v="375"/>
    <x v="296"/>
    <x v="1"/>
    <x v="1"/>
    <x v="573"/>
    <x v="574"/>
    <x v="0"/>
    <x v="588"/>
    <x v="44"/>
    <x v="9"/>
    <x v="1"/>
    <x v="2"/>
    <x v="6"/>
    <x v="2"/>
    <x v="6"/>
    <x v="0"/>
    <x v="72"/>
  </r>
  <r>
    <x v="589"/>
    <x v="25"/>
    <n v="9"/>
    <x v="4"/>
    <d v="2015-01-16T00:00:00"/>
    <x v="375"/>
    <x v="318"/>
    <x v="3"/>
    <x v="0"/>
    <x v="574"/>
    <x v="575"/>
    <x v="0"/>
    <x v="589"/>
    <x v="3"/>
    <x v="25"/>
    <x v="0"/>
    <x v="2"/>
    <x v="6"/>
    <x v="2"/>
    <x v="6"/>
    <x v="0"/>
    <x v="62"/>
  </r>
  <r>
    <x v="590"/>
    <x v="67"/>
    <n v="3"/>
    <x v="3"/>
    <d v="2015-01-19T00:00:00"/>
    <x v="376"/>
    <x v="318"/>
    <x v="2"/>
    <x v="0"/>
    <x v="575"/>
    <x v="576"/>
    <x v="4"/>
    <x v="590"/>
    <x v="18"/>
    <x v="67"/>
    <x v="0"/>
    <x v="2"/>
    <x v="6"/>
    <x v="2"/>
    <x v="6"/>
    <x v="0"/>
    <x v="70"/>
  </r>
  <r>
    <x v="591"/>
    <x v="33"/>
    <n v="3"/>
    <x v="3"/>
    <d v="2015-01-19T00:00:00"/>
    <x v="376"/>
    <x v="319"/>
    <x v="6"/>
    <x v="0"/>
    <x v="576"/>
    <x v="577"/>
    <x v="5"/>
    <x v="591"/>
    <x v="12"/>
    <x v="33"/>
    <x v="0"/>
    <x v="2"/>
    <x v="6"/>
    <x v="2"/>
    <x v="6"/>
    <x v="0"/>
    <x v="104"/>
  </r>
  <r>
    <x v="592"/>
    <x v="67"/>
    <n v="4"/>
    <x v="2"/>
    <d v="2015-01-19T00:00:00"/>
    <x v="377"/>
    <x v="320"/>
    <x v="34"/>
    <x v="2"/>
    <x v="577"/>
    <x v="578"/>
    <x v="3"/>
    <x v="592"/>
    <x v="3"/>
    <x v="67"/>
    <x v="2"/>
    <x v="2"/>
    <x v="6"/>
    <x v="2"/>
    <x v="6"/>
    <x v="0"/>
    <x v="0"/>
  </r>
  <r>
    <x v="593"/>
    <x v="4"/>
    <n v="5"/>
    <x v="0"/>
    <d v="2015-01-20T00:00:00"/>
    <x v="378"/>
    <x v="321"/>
    <x v="12"/>
    <x v="2"/>
    <x v="578"/>
    <x v="579"/>
    <x v="0"/>
    <x v="593"/>
    <x v="9"/>
    <x v="4"/>
    <x v="2"/>
    <x v="2"/>
    <x v="6"/>
    <x v="2"/>
    <x v="6"/>
    <x v="0"/>
    <x v="69"/>
  </r>
  <r>
    <x v="594"/>
    <x v="23"/>
    <n v="1"/>
    <x v="5"/>
    <d v="2015-01-20T00:00:00"/>
    <x v="378"/>
    <x v="321"/>
    <x v="12"/>
    <x v="0"/>
    <x v="579"/>
    <x v="580"/>
    <x v="0"/>
    <x v="594"/>
    <x v="6"/>
    <x v="23"/>
    <x v="0"/>
    <x v="2"/>
    <x v="6"/>
    <x v="2"/>
    <x v="6"/>
    <x v="0"/>
    <x v="72"/>
  </r>
  <r>
    <x v="595"/>
    <x v="3"/>
    <n v="4"/>
    <x v="2"/>
    <d v="2015-01-21T00:00:00"/>
    <x v="379"/>
    <x v="322"/>
    <x v="1"/>
    <x v="2"/>
    <x v="580"/>
    <x v="581"/>
    <x v="4"/>
    <x v="595"/>
    <x v="18"/>
    <x v="3"/>
    <x v="2"/>
    <x v="2"/>
    <x v="6"/>
    <x v="2"/>
    <x v="6"/>
    <x v="0"/>
    <x v="96"/>
  </r>
  <r>
    <x v="596"/>
    <x v="54"/>
    <n v="8"/>
    <x v="6"/>
    <d v="2015-01-21T00:00:00"/>
    <x v="379"/>
    <x v="322"/>
    <x v="1"/>
    <x v="2"/>
    <x v="581"/>
    <x v="582"/>
    <x v="0"/>
    <x v="596"/>
    <x v="11"/>
    <x v="54"/>
    <x v="2"/>
    <x v="2"/>
    <x v="6"/>
    <x v="2"/>
    <x v="6"/>
    <x v="0"/>
    <x v="72"/>
  </r>
  <r>
    <x v="597"/>
    <x v="21"/>
    <n v="8"/>
    <x v="6"/>
    <d v="2015-01-21T00:00:00"/>
    <x v="368"/>
    <x v="311"/>
    <x v="12"/>
    <x v="1"/>
    <x v="582"/>
    <x v="583"/>
    <x v="5"/>
    <x v="597"/>
    <x v="24"/>
    <x v="21"/>
    <x v="1"/>
    <x v="2"/>
    <x v="6"/>
    <x v="2"/>
    <x v="6"/>
    <x v="0"/>
    <x v="97"/>
  </r>
  <r>
    <x v="598"/>
    <x v="4"/>
    <n v="2"/>
    <x v="7"/>
    <d v="2015-01-22T00:00:00"/>
    <x v="380"/>
    <x v="318"/>
    <x v="13"/>
    <x v="0"/>
    <x v="583"/>
    <x v="584"/>
    <x v="0"/>
    <x v="598"/>
    <x v="22"/>
    <x v="4"/>
    <x v="0"/>
    <x v="2"/>
    <x v="6"/>
    <x v="2"/>
    <x v="6"/>
    <x v="0"/>
    <x v="64"/>
  </r>
  <r>
    <x v="599"/>
    <x v="45"/>
    <n v="4"/>
    <x v="2"/>
    <d v="2015-01-22T00:00:00"/>
    <x v="369"/>
    <x v="323"/>
    <x v="19"/>
    <x v="0"/>
    <x v="584"/>
    <x v="585"/>
    <x v="3"/>
    <x v="599"/>
    <x v="28"/>
    <x v="45"/>
    <x v="0"/>
    <x v="2"/>
    <x v="6"/>
    <x v="2"/>
    <x v="6"/>
    <x v="0"/>
    <x v="70"/>
  </r>
  <r>
    <x v="600"/>
    <x v="72"/>
    <n v="7"/>
    <x v="8"/>
    <d v="2015-01-23T00:00:00"/>
    <x v="381"/>
    <x v="321"/>
    <x v="5"/>
    <x v="2"/>
    <x v="585"/>
    <x v="586"/>
    <x v="0"/>
    <x v="600"/>
    <x v="12"/>
    <x v="72"/>
    <x v="2"/>
    <x v="2"/>
    <x v="6"/>
    <x v="2"/>
    <x v="6"/>
    <x v="0"/>
    <x v="99"/>
  </r>
  <r>
    <x v="601"/>
    <x v="44"/>
    <n v="9"/>
    <x v="4"/>
    <d v="2015-01-23T00:00:00"/>
    <x v="381"/>
    <x v="311"/>
    <x v="3"/>
    <x v="2"/>
    <x v="59"/>
    <x v="587"/>
    <x v="0"/>
    <x v="601"/>
    <x v="32"/>
    <x v="44"/>
    <x v="2"/>
    <x v="2"/>
    <x v="6"/>
    <x v="2"/>
    <x v="6"/>
    <x v="0"/>
    <x v="5"/>
  </r>
  <r>
    <x v="602"/>
    <x v="3"/>
    <n v="1"/>
    <x v="5"/>
    <d v="2015-01-23T00:00:00"/>
    <x v="382"/>
    <x v="311"/>
    <x v="3"/>
    <x v="1"/>
    <x v="586"/>
    <x v="588"/>
    <x v="2"/>
    <x v="602"/>
    <x v="5"/>
    <x v="3"/>
    <x v="1"/>
    <x v="2"/>
    <x v="6"/>
    <x v="2"/>
    <x v="6"/>
    <x v="0"/>
    <x v="0"/>
  </r>
  <r>
    <x v="603"/>
    <x v="29"/>
    <n v="5"/>
    <x v="0"/>
    <d v="2015-01-26T00:00:00"/>
    <x v="383"/>
    <x v="324"/>
    <x v="3"/>
    <x v="1"/>
    <x v="587"/>
    <x v="589"/>
    <x v="1"/>
    <x v="603"/>
    <x v="21"/>
    <x v="29"/>
    <x v="1"/>
    <x v="2"/>
    <x v="6"/>
    <x v="2"/>
    <x v="6"/>
    <x v="0"/>
    <x v="59"/>
  </r>
  <r>
    <x v="604"/>
    <x v="13"/>
    <n v="8"/>
    <x v="6"/>
    <d v="2015-01-26T00:00:00"/>
    <x v="370"/>
    <x v="311"/>
    <x v="2"/>
    <x v="1"/>
    <x v="588"/>
    <x v="590"/>
    <x v="0"/>
    <x v="604"/>
    <x v="6"/>
    <x v="13"/>
    <x v="1"/>
    <x v="2"/>
    <x v="6"/>
    <x v="2"/>
    <x v="6"/>
    <x v="0"/>
    <x v="59"/>
  </r>
  <r>
    <x v="605"/>
    <x v="76"/>
    <n v="9"/>
    <x v="4"/>
    <d v="2015-01-27T00:00:00"/>
    <x v="372"/>
    <x v="325"/>
    <x v="3"/>
    <x v="2"/>
    <x v="589"/>
    <x v="591"/>
    <x v="0"/>
    <x v="605"/>
    <x v="2"/>
    <x v="76"/>
    <x v="2"/>
    <x v="2"/>
    <x v="6"/>
    <x v="2"/>
    <x v="6"/>
    <x v="0"/>
    <x v="67"/>
  </r>
  <r>
    <x v="606"/>
    <x v="9"/>
    <n v="3"/>
    <x v="3"/>
    <d v="2015-01-27T00:00:00"/>
    <x v="372"/>
    <x v="326"/>
    <x v="12"/>
    <x v="2"/>
    <x v="590"/>
    <x v="592"/>
    <x v="2"/>
    <x v="606"/>
    <x v="16"/>
    <x v="9"/>
    <x v="2"/>
    <x v="2"/>
    <x v="6"/>
    <x v="2"/>
    <x v="6"/>
    <x v="0"/>
    <x v="69"/>
  </r>
  <r>
    <x v="607"/>
    <x v="37"/>
    <n v="3"/>
    <x v="3"/>
    <d v="2015-01-27T00:00:00"/>
    <x v="372"/>
    <x v="313"/>
    <x v="9"/>
    <x v="1"/>
    <x v="591"/>
    <x v="593"/>
    <x v="0"/>
    <x v="607"/>
    <x v="8"/>
    <x v="37"/>
    <x v="1"/>
    <x v="2"/>
    <x v="6"/>
    <x v="2"/>
    <x v="6"/>
    <x v="0"/>
    <x v="79"/>
  </r>
  <r>
    <x v="608"/>
    <x v="59"/>
    <n v="3"/>
    <x v="3"/>
    <d v="2015-01-28T00:00:00"/>
    <x v="384"/>
    <x v="323"/>
    <x v="15"/>
    <x v="2"/>
    <x v="592"/>
    <x v="426"/>
    <x v="0"/>
    <x v="608"/>
    <x v="5"/>
    <x v="59"/>
    <x v="2"/>
    <x v="2"/>
    <x v="6"/>
    <x v="2"/>
    <x v="6"/>
    <x v="0"/>
    <x v="59"/>
  </r>
  <r>
    <x v="609"/>
    <x v="25"/>
    <n v="8"/>
    <x v="6"/>
    <d v="2015-01-28T00:00:00"/>
    <x v="384"/>
    <x v="317"/>
    <x v="12"/>
    <x v="2"/>
    <x v="593"/>
    <x v="594"/>
    <x v="0"/>
    <x v="609"/>
    <x v="12"/>
    <x v="25"/>
    <x v="2"/>
    <x v="2"/>
    <x v="6"/>
    <x v="2"/>
    <x v="6"/>
    <x v="0"/>
    <x v="5"/>
  </r>
  <r>
    <x v="610"/>
    <x v="88"/>
    <n v="2"/>
    <x v="7"/>
    <d v="2015-01-29T00:00:00"/>
    <x v="385"/>
    <x v="325"/>
    <x v="1"/>
    <x v="1"/>
    <x v="594"/>
    <x v="595"/>
    <x v="0"/>
    <x v="610"/>
    <x v="21"/>
    <x v="88"/>
    <x v="1"/>
    <x v="2"/>
    <x v="6"/>
    <x v="2"/>
    <x v="6"/>
    <x v="0"/>
    <x v="78"/>
  </r>
  <r>
    <x v="611"/>
    <x v="17"/>
    <n v="1"/>
    <x v="5"/>
    <d v="2015-01-29T00:00:00"/>
    <x v="385"/>
    <x v="324"/>
    <x v="2"/>
    <x v="2"/>
    <x v="595"/>
    <x v="596"/>
    <x v="4"/>
    <x v="611"/>
    <x v="4"/>
    <x v="17"/>
    <x v="2"/>
    <x v="2"/>
    <x v="6"/>
    <x v="2"/>
    <x v="6"/>
    <x v="0"/>
    <x v="54"/>
  </r>
  <r>
    <x v="612"/>
    <x v="86"/>
    <n v="3"/>
    <x v="3"/>
    <d v="2015-01-29T00:00:00"/>
    <x v="385"/>
    <x v="313"/>
    <x v="5"/>
    <x v="0"/>
    <x v="596"/>
    <x v="597"/>
    <x v="0"/>
    <x v="612"/>
    <x v="35"/>
    <x v="86"/>
    <x v="0"/>
    <x v="2"/>
    <x v="6"/>
    <x v="2"/>
    <x v="6"/>
    <x v="0"/>
    <x v="96"/>
  </r>
  <r>
    <x v="613"/>
    <x v="19"/>
    <n v="4"/>
    <x v="2"/>
    <d v="2015-01-30T00:00:00"/>
    <x v="386"/>
    <x v="327"/>
    <x v="11"/>
    <x v="2"/>
    <x v="597"/>
    <x v="598"/>
    <x v="0"/>
    <x v="613"/>
    <x v="29"/>
    <x v="19"/>
    <x v="2"/>
    <x v="2"/>
    <x v="6"/>
    <x v="2"/>
    <x v="6"/>
    <x v="0"/>
    <x v="71"/>
  </r>
  <r>
    <x v="614"/>
    <x v="26"/>
    <n v="8"/>
    <x v="6"/>
    <d v="2015-01-30T00:00:00"/>
    <x v="387"/>
    <x v="324"/>
    <x v="6"/>
    <x v="2"/>
    <x v="598"/>
    <x v="599"/>
    <x v="0"/>
    <x v="614"/>
    <x v="7"/>
    <x v="26"/>
    <x v="2"/>
    <x v="2"/>
    <x v="6"/>
    <x v="2"/>
    <x v="6"/>
    <x v="0"/>
    <x v="72"/>
  </r>
  <r>
    <x v="615"/>
    <x v="8"/>
    <n v="4"/>
    <x v="2"/>
    <d v="2015-02-02T00:00:00"/>
    <x v="377"/>
    <x v="327"/>
    <x v="18"/>
    <x v="2"/>
    <x v="599"/>
    <x v="600"/>
    <x v="2"/>
    <x v="615"/>
    <x v="5"/>
    <x v="8"/>
    <x v="2"/>
    <x v="2"/>
    <x v="7"/>
    <x v="2"/>
    <x v="6"/>
    <x v="0"/>
    <x v="70"/>
  </r>
  <r>
    <x v="616"/>
    <x v="55"/>
    <n v="4"/>
    <x v="2"/>
    <d v="2015-02-02T00:00:00"/>
    <x v="377"/>
    <x v="328"/>
    <x v="3"/>
    <x v="2"/>
    <x v="600"/>
    <x v="601"/>
    <x v="0"/>
    <x v="616"/>
    <x v="18"/>
    <x v="55"/>
    <x v="2"/>
    <x v="2"/>
    <x v="7"/>
    <x v="2"/>
    <x v="6"/>
    <x v="0"/>
    <x v="70"/>
  </r>
  <r>
    <x v="617"/>
    <x v="21"/>
    <n v="2"/>
    <x v="7"/>
    <d v="2015-02-02T00:00:00"/>
    <x v="376"/>
    <x v="329"/>
    <x v="7"/>
    <x v="1"/>
    <x v="601"/>
    <x v="602"/>
    <x v="1"/>
    <x v="617"/>
    <x v="10"/>
    <x v="21"/>
    <x v="1"/>
    <x v="2"/>
    <x v="7"/>
    <x v="2"/>
    <x v="6"/>
    <x v="0"/>
    <x v="91"/>
  </r>
  <r>
    <x v="618"/>
    <x v="25"/>
    <n v="5"/>
    <x v="0"/>
    <d v="2015-02-03T00:00:00"/>
    <x v="388"/>
    <x v="329"/>
    <x v="12"/>
    <x v="1"/>
    <x v="602"/>
    <x v="603"/>
    <x v="4"/>
    <x v="618"/>
    <x v="22"/>
    <x v="25"/>
    <x v="1"/>
    <x v="2"/>
    <x v="7"/>
    <x v="2"/>
    <x v="6"/>
    <x v="0"/>
    <x v="59"/>
  </r>
  <r>
    <x v="619"/>
    <x v="38"/>
    <n v="6"/>
    <x v="1"/>
    <d v="2015-02-03T00:00:00"/>
    <x v="389"/>
    <x v="330"/>
    <x v="9"/>
    <x v="1"/>
    <x v="360"/>
    <x v="604"/>
    <x v="0"/>
    <x v="619"/>
    <x v="35"/>
    <x v="38"/>
    <x v="1"/>
    <x v="2"/>
    <x v="7"/>
    <x v="2"/>
    <x v="6"/>
    <x v="0"/>
    <x v="94"/>
  </r>
  <r>
    <x v="620"/>
    <x v="62"/>
    <n v="7"/>
    <x v="8"/>
    <d v="2015-02-04T00:00:00"/>
    <x v="390"/>
    <x v="331"/>
    <x v="19"/>
    <x v="2"/>
    <x v="603"/>
    <x v="605"/>
    <x v="0"/>
    <x v="620"/>
    <x v="5"/>
    <x v="62"/>
    <x v="2"/>
    <x v="2"/>
    <x v="7"/>
    <x v="2"/>
    <x v="6"/>
    <x v="0"/>
    <x v="88"/>
  </r>
  <r>
    <x v="621"/>
    <x v="56"/>
    <n v="5"/>
    <x v="0"/>
    <d v="2015-02-04T00:00:00"/>
    <x v="390"/>
    <x v="328"/>
    <x v="1"/>
    <x v="1"/>
    <x v="604"/>
    <x v="606"/>
    <x v="0"/>
    <x v="621"/>
    <x v="4"/>
    <x v="56"/>
    <x v="1"/>
    <x v="2"/>
    <x v="7"/>
    <x v="2"/>
    <x v="6"/>
    <x v="0"/>
    <x v="70"/>
  </r>
  <r>
    <x v="622"/>
    <x v="63"/>
    <n v="5"/>
    <x v="0"/>
    <d v="2015-02-04T00:00:00"/>
    <x v="390"/>
    <x v="332"/>
    <x v="12"/>
    <x v="0"/>
    <x v="605"/>
    <x v="607"/>
    <x v="0"/>
    <x v="622"/>
    <x v="35"/>
    <x v="63"/>
    <x v="0"/>
    <x v="2"/>
    <x v="7"/>
    <x v="2"/>
    <x v="6"/>
    <x v="0"/>
    <x v="70"/>
  </r>
  <r>
    <x v="623"/>
    <x v="48"/>
    <n v="9"/>
    <x v="4"/>
    <d v="2015-02-05T00:00:00"/>
    <x v="380"/>
    <x v="323"/>
    <x v="1"/>
    <x v="2"/>
    <x v="606"/>
    <x v="608"/>
    <x v="1"/>
    <x v="623"/>
    <x v="8"/>
    <x v="48"/>
    <x v="2"/>
    <x v="2"/>
    <x v="7"/>
    <x v="2"/>
    <x v="6"/>
    <x v="0"/>
    <x v="92"/>
  </r>
  <r>
    <x v="624"/>
    <x v="36"/>
    <n v="5"/>
    <x v="0"/>
    <d v="2015-02-05T00:00:00"/>
    <x v="380"/>
    <x v="328"/>
    <x v="2"/>
    <x v="2"/>
    <x v="607"/>
    <x v="609"/>
    <x v="1"/>
    <x v="624"/>
    <x v="2"/>
    <x v="36"/>
    <x v="2"/>
    <x v="2"/>
    <x v="7"/>
    <x v="2"/>
    <x v="6"/>
    <x v="0"/>
    <x v="46"/>
  </r>
  <r>
    <x v="625"/>
    <x v="83"/>
    <n v="4"/>
    <x v="2"/>
    <d v="2015-02-06T00:00:00"/>
    <x v="382"/>
    <x v="328"/>
    <x v="6"/>
    <x v="1"/>
    <x v="608"/>
    <x v="610"/>
    <x v="0"/>
    <x v="625"/>
    <x v="5"/>
    <x v="83"/>
    <x v="1"/>
    <x v="2"/>
    <x v="7"/>
    <x v="2"/>
    <x v="6"/>
    <x v="0"/>
    <x v="5"/>
  </r>
  <r>
    <x v="626"/>
    <x v="36"/>
    <n v="5"/>
    <x v="0"/>
    <d v="2015-02-06T00:00:00"/>
    <x v="382"/>
    <x v="330"/>
    <x v="1"/>
    <x v="2"/>
    <x v="609"/>
    <x v="329"/>
    <x v="0"/>
    <x v="626"/>
    <x v="2"/>
    <x v="36"/>
    <x v="2"/>
    <x v="2"/>
    <x v="7"/>
    <x v="2"/>
    <x v="6"/>
    <x v="0"/>
    <x v="69"/>
  </r>
  <r>
    <x v="627"/>
    <x v="25"/>
    <n v="4"/>
    <x v="2"/>
    <d v="2015-02-06T00:00:00"/>
    <x v="382"/>
    <x v="333"/>
    <x v="30"/>
    <x v="2"/>
    <x v="610"/>
    <x v="611"/>
    <x v="0"/>
    <x v="627"/>
    <x v="7"/>
    <x v="25"/>
    <x v="2"/>
    <x v="2"/>
    <x v="7"/>
    <x v="2"/>
    <x v="6"/>
    <x v="0"/>
    <x v="93"/>
  </r>
  <r>
    <x v="628"/>
    <x v="48"/>
    <n v="7"/>
    <x v="8"/>
    <d v="2015-02-09T00:00:00"/>
    <x v="391"/>
    <x v="329"/>
    <x v="6"/>
    <x v="0"/>
    <x v="611"/>
    <x v="612"/>
    <x v="0"/>
    <x v="628"/>
    <x v="22"/>
    <x v="48"/>
    <x v="0"/>
    <x v="2"/>
    <x v="7"/>
    <x v="2"/>
    <x v="6"/>
    <x v="0"/>
    <x v="102"/>
  </r>
  <r>
    <x v="629"/>
    <x v="29"/>
    <n v="1"/>
    <x v="5"/>
    <d v="2015-02-09T00:00:00"/>
    <x v="391"/>
    <x v="334"/>
    <x v="7"/>
    <x v="1"/>
    <x v="612"/>
    <x v="613"/>
    <x v="4"/>
    <x v="629"/>
    <x v="12"/>
    <x v="29"/>
    <x v="1"/>
    <x v="2"/>
    <x v="7"/>
    <x v="2"/>
    <x v="6"/>
    <x v="0"/>
    <x v="79"/>
  </r>
  <r>
    <x v="630"/>
    <x v="21"/>
    <n v="4"/>
    <x v="2"/>
    <d v="2015-02-10T00:00:00"/>
    <x v="392"/>
    <x v="329"/>
    <x v="4"/>
    <x v="1"/>
    <x v="613"/>
    <x v="614"/>
    <x v="1"/>
    <x v="630"/>
    <x v="5"/>
    <x v="21"/>
    <x v="1"/>
    <x v="2"/>
    <x v="7"/>
    <x v="2"/>
    <x v="6"/>
    <x v="0"/>
    <x v="65"/>
  </r>
  <r>
    <x v="631"/>
    <x v="83"/>
    <n v="3"/>
    <x v="3"/>
    <d v="2015-02-10T00:00:00"/>
    <x v="392"/>
    <x v="329"/>
    <x v="4"/>
    <x v="0"/>
    <x v="614"/>
    <x v="615"/>
    <x v="0"/>
    <x v="631"/>
    <x v="0"/>
    <x v="83"/>
    <x v="0"/>
    <x v="2"/>
    <x v="7"/>
    <x v="2"/>
    <x v="6"/>
    <x v="0"/>
    <x v="95"/>
  </r>
  <r>
    <x v="632"/>
    <x v="14"/>
    <n v="7"/>
    <x v="8"/>
    <d v="2015-02-10T00:00:00"/>
    <x v="393"/>
    <x v="335"/>
    <x v="9"/>
    <x v="1"/>
    <x v="615"/>
    <x v="616"/>
    <x v="3"/>
    <x v="632"/>
    <x v="12"/>
    <x v="14"/>
    <x v="1"/>
    <x v="2"/>
    <x v="7"/>
    <x v="2"/>
    <x v="6"/>
    <x v="0"/>
    <x v="97"/>
  </r>
  <r>
    <x v="633"/>
    <x v="78"/>
    <n v="4"/>
    <x v="2"/>
    <d v="2015-02-11T00:00:00"/>
    <x v="394"/>
    <x v="335"/>
    <x v="3"/>
    <x v="1"/>
    <x v="616"/>
    <x v="617"/>
    <x v="0"/>
    <x v="633"/>
    <x v="2"/>
    <x v="78"/>
    <x v="1"/>
    <x v="2"/>
    <x v="7"/>
    <x v="2"/>
    <x v="6"/>
    <x v="0"/>
    <x v="77"/>
  </r>
  <r>
    <x v="634"/>
    <x v="45"/>
    <n v="4"/>
    <x v="2"/>
    <d v="2015-02-11T00:00:00"/>
    <x v="394"/>
    <x v="336"/>
    <x v="12"/>
    <x v="0"/>
    <x v="617"/>
    <x v="618"/>
    <x v="0"/>
    <x v="634"/>
    <x v="7"/>
    <x v="45"/>
    <x v="0"/>
    <x v="2"/>
    <x v="7"/>
    <x v="2"/>
    <x v="6"/>
    <x v="0"/>
    <x v="0"/>
  </r>
  <r>
    <x v="635"/>
    <x v="38"/>
    <n v="8"/>
    <x v="6"/>
    <d v="2015-02-12T00:00:00"/>
    <x v="395"/>
    <x v="336"/>
    <x v="9"/>
    <x v="0"/>
    <x v="618"/>
    <x v="619"/>
    <x v="0"/>
    <x v="635"/>
    <x v="20"/>
    <x v="38"/>
    <x v="0"/>
    <x v="2"/>
    <x v="7"/>
    <x v="2"/>
    <x v="6"/>
    <x v="0"/>
    <x v="54"/>
  </r>
  <r>
    <x v="636"/>
    <x v="82"/>
    <n v="4"/>
    <x v="2"/>
    <d v="2015-02-12T00:00:00"/>
    <x v="395"/>
    <x v="332"/>
    <x v="13"/>
    <x v="2"/>
    <x v="619"/>
    <x v="620"/>
    <x v="1"/>
    <x v="636"/>
    <x v="4"/>
    <x v="82"/>
    <x v="2"/>
    <x v="2"/>
    <x v="7"/>
    <x v="2"/>
    <x v="6"/>
    <x v="0"/>
    <x v="5"/>
  </r>
  <r>
    <x v="637"/>
    <x v="4"/>
    <n v="6"/>
    <x v="1"/>
    <d v="2015-02-12T00:00:00"/>
    <x v="395"/>
    <x v="335"/>
    <x v="5"/>
    <x v="0"/>
    <x v="620"/>
    <x v="621"/>
    <x v="0"/>
    <x v="637"/>
    <x v="5"/>
    <x v="4"/>
    <x v="0"/>
    <x v="2"/>
    <x v="7"/>
    <x v="2"/>
    <x v="6"/>
    <x v="0"/>
    <x v="59"/>
  </r>
  <r>
    <x v="638"/>
    <x v="2"/>
    <n v="1"/>
    <x v="5"/>
    <d v="2015-02-13T00:00:00"/>
    <x v="387"/>
    <x v="337"/>
    <x v="28"/>
    <x v="1"/>
    <x v="256"/>
    <x v="622"/>
    <x v="0"/>
    <x v="638"/>
    <x v="24"/>
    <x v="2"/>
    <x v="1"/>
    <x v="2"/>
    <x v="7"/>
    <x v="2"/>
    <x v="6"/>
    <x v="0"/>
    <x v="69"/>
  </r>
  <r>
    <x v="639"/>
    <x v="60"/>
    <n v="8"/>
    <x v="6"/>
    <d v="2015-02-13T00:00:00"/>
    <x v="387"/>
    <x v="320"/>
    <x v="6"/>
    <x v="0"/>
    <x v="621"/>
    <x v="623"/>
    <x v="0"/>
    <x v="639"/>
    <x v="21"/>
    <x v="60"/>
    <x v="0"/>
    <x v="2"/>
    <x v="7"/>
    <x v="2"/>
    <x v="6"/>
    <x v="0"/>
    <x v="0"/>
  </r>
  <r>
    <x v="640"/>
    <x v="36"/>
    <n v="1"/>
    <x v="5"/>
    <d v="2015-02-16T00:00:00"/>
    <x v="396"/>
    <x v="331"/>
    <x v="3"/>
    <x v="2"/>
    <x v="622"/>
    <x v="624"/>
    <x v="0"/>
    <x v="640"/>
    <x v="5"/>
    <x v="36"/>
    <x v="2"/>
    <x v="2"/>
    <x v="7"/>
    <x v="2"/>
    <x v="6"/>
    <x v="0"/>
    <x v="59"/>
  </r>
  <r>
    <x v="641"/>
    <x v="13"/>
    <n v="9"/>
    <x v="4"/>
    <d v="2015-02-16T00:00:00"/>
    <x v="396"/>
    <x v="331"/>
    <x v="3"/>
    <x v="0"/>
    <x v="623"/>
    <x v="625"/>
    <x v="0"/>
    <x v="641"/>
    <x v="4"/>
    <x v="13"/>
    <x v="0"/>
    <x v="2"/>
    <x v="7"/>
    <x v="2"/>
    <x v="6"/>
    <x v="0"/>
    <x v="72"/>
  </r>
  <r>
    <x v="642"/>
    <x v="41"/>
    <n v="7"/>
    <x v="8"/>
    <d v="2015-02-16T00:00:00"/>
    <x v="396"/>
    <x v="335"/>
    <x v="4"/>
    <x v="1"/>
    <x v="624"/>
    <x v="626"/>
    <x v="0"/>
    <x v="642"/>
    <x v="6"/>
    <x v="41"/>
    <x v="1"/>
    <x v="2"/>
    <x v="7"/>
    <x v="2"/>
    <x v="6"/>
    <x v="0"/>
    <x v="71"/>
  </r>
  <r>
    <x v="643"/>
    <x v="26"/>
    <n v="7"/>
    <x v="8"/>
    <d v="2015-02-17T00:00:00"/>
    <x v="389"/>
    <x v="334"/>
    <x v="4"/>
    <x v="2"/>
    <x v="625"/>
    <x v="627"/>
    <x v="1"/>
    <x v="643"/>
    <x v="6"/>
    <x v="26"/>
    <x v="2"/>
    <x v="2"/>
    <x v="7"/>
    <x v="2"/>
    <x v="6"/>
    <x v="0"/>
    <x v="74"/>
  </r>
  <r>
    <x v="644"/>
    <x v="80"/>
    <n v="4"/>
    <x v="2"/>
    <d v="2015-02-17T00:00:00"/>
    <x v="389"/>
    <x v="334"/>
    <x v="4"/>
    <x v="2"/>
    <x v="626"/>
    <x v="628"/>
    <x v="1"/>
    <x v="644"/>
    <x v="4"/>
    <x v="80"/>
    <x v="2"/>
    <x v="2"/>
    <x v="7"/>
    <x v="2"/>
    <x v="6"/>
    <x v="0"/>
    <x v="73"/>
  </r>
  <r>
    <x v="645"/>
    <x v="44"/>
    <n v="9"/>
    <x v="4"/>
    <d v="2015-02-18T00:00:00"/>
    <x v="397"/>
    <x v="336"/>
    <x v="4"/>
    <x v="2"/>
    <x v="627"/>
    <x v="629"/>
    <x v="0"/>
    <x v="645"/>
    <x v="12"/>
    <x v="44"/>
    <x v="2"/>
    <x v="2"/>
    <x v="7"/>
    <x v="2"/>
    <x v="6"/>
    <x v="0"/>
    <x v="98"/>
  </r>
  <r>
    <x v="646"/>
    <x v="45"/>
    <n v="1"/>
    <x v="5"/>
    <d v="2015-02-18T00:00:00"/>
    <x v="397"/>
    <x v="336"/>
    <x v="4"/>
    <x v="1"/>
    <x v="628"/>
    <x v="630"/>
    <x v="1"/>
    <x v="646"/>
    <x v="31"/>
    <x v="45"/>
    <x v="1"/>
    <x v="2"/>
    <x v="7"/>
    <x v="2"/>
    <x v="6"/>
    <x v="0"/>
    <x v="62"/>
  </r>
  <r>
    <x v="647"/>
    <x v="9"/>
    <n v="3"/>
    <x v="3"/>
    <d v="2015-02-18T00:00:00"/>
    <x v="397"/>
    <x v="331"/>
    <x v="1"/>
    <x v="1"/>
    <x v="629"/>
    <x v="631"/>
    <x v="0"/>
    <x v="647"/>
    <x v="45"/>
    <x v="9"/>
    <x v="1"/>
    <x v="2"/>
    <x v="7"/>
    <x v="2"/>
    <x v="6"/>
    <x v="0"/>
    <x v="54"/>
  </r>
  <r>
    <x v="648"/>
    <x v="80"/>
    <n v="7"/>
    <x v="8"/>
    <d v="2015-02-19T00:00:00"/>
    <x v="398"/>
    <x v="338"/>
    <x v="9"/>
    <x v="0"/>
    <x v="630"/>
    <x v="632"/>
    <x v="0"/>
    <x v="648"/>
    <x v="6"/>
    <x v="80"/>
    <x v="0"/>
    <x v="2"/>
    <x v="7"/>
    <x v="2"/>
    <x v="6"/>
    <x v="0"/>
    <x v="57"/>
  </r>
  <r>
    <x v="649"/>
    <x v="34"/>
    <n v="3"/>
    <x v="3"/>
    <d v="2015-02-19T00:00:00"/>
    <x v="398"/>
    <x v="339"/>
    <x v="5"/>
    <x v="2"/>
    <x v="631"/>
    <x v="633"/>
    <x v="0"/>
    <x v="649"/>
    <x v="28"/>
    <x v="34"/>
    <x v="2"/>
    <x v="2"/>
    <x v="7"/>
    <x v="2"/>
    <x v="6"/>
    <x v="0"/>
    <x v="63"/>
  </r>
  <r>
    <x v="650"/>
    <x v="69"/>
    <n v="4"/>
    <x v="2"/>
    <d v="2015-02-20T00:00:00"/>
    <x v="399"/>
    <x v="340"/>
    <x v="31"/>
    <x v="2"/>
    <x v="407"/>
    <x v="634"/>
    <x v="0"/>
    <x v="650"/>
    <x v="21"/>
    <x v="69"/>
    <x v="2"/>
    <x v="2"/>
    <x v="7"/>
    <x v="2"/>
    <x v="6"/>
    <x v="0"/>
    <x v="62"/>
  </r>
  <r>
    <x v="651"/>
    <x v="28"/>
    <n v="5"/>
    <x v="0"/>
    <d v="2015-02-20T00:00:00"/>
    <x v="399"/>
    <x v="341"/>
    <x v="5"/>
    <x v="0"/>
    <x v="632"/>
    <x v="635"/>
    <x v="2"/>
    <x v="651"/>
    <x v="20"/>
    <x v="28"/>
    <x v="0"/>
    <x v="2"/>
    <x v="7"/>
    <x v="2"/>
    <x v="6"/>
    <x v="0"/>
    <x v="70"/>
  </r>
  <r>
    <x v="652"/>
    <x v="7"/>
    <n v="1"/>
    <x v="5"/>
    <d v="2015-02-20T00:00:00"/>
    <x v="399"/>
    <x v="342"/>
    <x v="0"/>
    <x v="2"/>
    <x v="633"/>
    <x v="636"/>
    <x v="4"/>
    <x v="652"/>
    <x v="35"/>
    <x v="7"/>
    <x v="2"/>
    <x v="2"/>
    <x v="7"/>
    <x v="2"/>
    <x v="6"/>
    <x v="0"/>
    <x v="77"/>
  </r>
  <r>
    <x v="653"/>
    <x v="8"/>
    <n v="4"/>
    <x v="2"/>
    <d v="2015-02-23T00:00:00"/>
    <x v="400"/>
    <x v="341"/>
    <x v="6"/>
    <x v="1"/>
    <x v="634"/>
    <x v="90"/>
    <x v="0"/>
    <x v="653"/>
    <x v="12"/>
    <x v="8"/>
    <x v="1"/>
    <x v="2"/>
    <x v="7"/>
    <x v="2"/>
    <x v="6"/>
    <x v="0"/>
    <x v="83"/>
  </r>
  <r>
    <x v="654"/>
    <x v="14"/>
    <n v="1"/>
    <x v="5"/>
    <d v="2015-02-23T00:00:00"/>
    <x v="400"/>
    <x v="333"/>
    <x v="9"/>
    <x v="1"/>
    <x v="635"/>
    <x v="637"/>
    <x v="2"/>
    <x v="654"/>
    <x v="12"/>
    <x v="14"/>
    <x v="1"/>
    <x v="2"/>
    <x v="7"/>
    <x v="2"/>
    <x v="6"/>
    <x v="0"/>
    <x v="46"/>
  </r>
  <r>
    <x v="655"/>
    <x v="2"/>
    <n v="3"/>
    <x v="3"/>
    <d v="2015-02-24T00:00:00"/>
    <x v="393"/>
    <x v="342"/>
    <x v="9"/>
    <x v="0"/>
    <x v="107"/>
    <x v="638"/>
    <x v="0"/>
    <x v="655"/>
    <x v="4"/>
    <x v="2"/>
    <x v="0"/>
    <x v="2"/>
    <x v="7"/>
    <x v="2"/>
    <x v="6"/>
    <x v="0"/>
    <x v="62"/>
  </r>
  <r>
    <x v="656"/>
    <x v="19"/>
    <n v="3"/>
    <x v="3"/>
    <d v="2015-02-24T00:00:00"/>
    <x v="393"/>
    <x v="338"/>
    <x v="6"/>
    <x v="0"/>
    <x v="636"/>
    <x v="639"/>
    <x v="0"/>
    <x v="656"/>
    <x v="6"/>
    <x v="19"/>
    <x v="0"/>
    <x v="2"/>
    <x v="7"/>
    <x v="2"/>
    <x v="6"/>
    <x v="0"/>
    <x v="104"/>
  </r>
  <r>
    <x v="657"/>
    <x v="7"/>
    <n v="9"/>
    <x v="4"/>
    <d v="2015-02-24T00:00:00"/>
    <x v="393"/>
    <x v="340"/>
    <x v="7"/>
    <x v="2"/>
    <x v="637"/>
    <x v="640"/>
    <x v="1"/>
    <x v="657"/>
    <x v="5"/>
    <x v="7"/>
    <x v="2"/>
    <x v="2"/>
    <x v="7"/>
    <x v="2"/>
    <x v="6"/>
    <x v="0"/>
    <x v="70"/>
  </r>
  <r>
    <x v="658"/>
    <x v="63"/>
    <n v="4"/>
    <x v="2"/>
    <d v="2015-02-25T00:00:00"/>
    <x v="394"/>
    <x v="333"/>
    <x v="5"/>
    <x v="0"/>
    <x v="638"/>
    <x v="641"/>
    <x v="0"/>
    <x v="658"/>
    <x v="6"/>
    <x v="63"/>
    <x v="0"/>
    <x v="2"/>
    <x v="7"/>
    <x v="2"/>
    <x v="6"/>
    <x v="0"/>
    <x v="100"/>
  </r>
  <r>
    <x v="659"/>
    <x v="87"/>
    <n v="6"/>
    <x v="1"/>
    <d v="2015-02-25T00:00:00"/>
    <x v="401"/>
    <x v="338"/>
    <x v="4"/>
    <x v="0"/>
    <x v="639"/>
    <x v="642"/>
    <x v="0"/>
    <x v="659"/>
    <x v="19"/>
    <x v="87"/>
    <x v="0"/>
    <x v="2"/>
    <x v="7"/>
    <x v="2"/>
    <x v="6"/>
    <x v="0"/>
    <x v="86"/>
  </r>
  <r>
    <x v="660"/>
    <x v="30"/>
    <n v="4"/>
    <x v="2"/>
    <d v="2015-02-26T00:00:00"/>
    <x v="402"/>
    <x v="340"/>
    <x v="9"/>
    <x v="2"/>
    <x v="640"/>
    <x v="643"/>
    <x v="1"/>
    <x v="660"/>
    <x v="5"/>
    <x v="30"/>
    <x v="2"/>
    <x v="2"/>
    <x v="7"/>
    <x v="2"/>
    <x v="6"/>
    <x v="0"/>
    <x v="78"/>
  </r>
  <r>
    <x v="661"/>
    <x v="65"/>
    <n v="1"/>
    <x v="5"/>
    <d v="2015-02-26T00:00:00"/>
    <x v="402"/>
    <x v="343"/>
    <x v="0"/>
    <x v="2"/>
    <x v="641"/>
    <x v="644"/>
    <x v="0"/>
    <x v="661"/>
    <x v="0"/>
    <x v="65"/>
    <x v="2"/>
    <x v="2"/>
    <x v="7"/>
    <x v="2"/>
    <x v="6"/>
    <x v="0"/>
    <x v="78"/>
  </r>
  <r>
    <x v="662"/>
    <x v="83"/>
    <n v="1"/>
    <x v="5"/>
    <d v="2015-02-26T00:00:00"/>
    <x v="402"/>
    <x v="342"/>
    <x v="5"/>
    <x v="0"/>
    <x v="642"/>
    <x v="645"/>
    <x v="0"/>
    <x v="662"/>
    <x v="0"/>
    <x v="83"/>
    <x v="0"/>
    <x v="2"/>
    <x v="7"/>
    <x v="2"/>
    <x v="6"/>
    <x v="0"/>
    <x v="93"/>
  </r>
  <r>
    <x v="663"/>
    <x v="36"/>
    <n v="3"/>
    <x v="3"/>
    <d v="2015-02-26T00:00:00"/>
    <x v="402"/>
    <x v="344"/>
    <x v="3"/>
    <x v="1"/>
    <x v="643"/>
    <x v="646"/>
    <x v="0"/>
    <x v="663"/>
    <x v="2"/>
    <x v="36"/>
    <x v="1"/>
    <x v="2"/>
    <x v="7"/>
    <x v="2"/>
    <x v="6"/>
    <x v="0"/>
    <x v="70"/>
  </r>
  <r>
    <x v="664"/>
    <x v="34"/>
    <n v="2"/>
    <x v="7"/>
    <d v="2015-02-26T00:00:00"/>
    <x v="402"/>
    <x v="345"/>
    <x v="27"/>
    <x v="2"/>
    <x v="644"/>
    <x v="647"/>
    <x v="4"/>
    <x v="664"/>
    <x v="4"/>
    <x v="34"/>
    <x v="2"/>
    <x v="2"/>
    <x v="7"/>
    <x v="2"/>
    <x v="6"/>
    <x v="0"/>
    <x v="72"/>
  </r>
  <r>
    <x v="665"/>
    <x v="62"/>
    <n v="4"/>
    <x v="2"/>
    <d v="2015-02-26T00:00:00"/>
    <x v="402"/>
    <x v="342"/>
    <x v="5"/>
    <x v="1"/>
    <x v="645"/>
    <x v="648"/>
    <x v="4"/>
    <x v="665"/>
    <x v="12"/>
    <x v="62"/>
    <x v="1"/>
    <x v="2"/>
    <x v="7"/>
    <x v="2"/>
    <x v="6"/>
    <x v="0"/>
    <x v="64"/>
  </r>
  <r>
    <x v="666"/>
    <x v="62"/>
    <n v="6"/>
    <x v="1"/>
    <d v="2015-02-27T00:00:00"/>
    <x v="403"/>
    <x v="337"/>
    <x v="6"/>
    <x v="1"/>
    <x v="254"/>
    <x v="649"/>
    <x v="0"/>
    <x v="666"/>
    <x v="7"/>
    <x v="62"/>
    <x v="1"/>
    <x v="2"/>
    <x v="7"/>
    <x v="2"/>
    <x v="6"/>
    <x v="0"/>
    <x v="103"/>
  </r>
  <r>
    <x v="667"/>
    <x v="23"/>
    <n v="2"/>
    <x v="7"/>
    <d v="2015-02-27T00:00:00"/>
    <x v="403"/>
    <x v="337"/>
    <x v="6"/>
    <x v="2"/>
    <x v="646"/>
    <x v="650"/>
    <x v="0"/>
    <x v="667"/>
    <x v="2"/>
    <x v="23"/>
    <x v="2"/>
    <x v="2"/>
    <x v="7"/>
    <x v="2"/>
    <x v="6"/>
    <x v="0"/>
    <x v="71"/>
  </r>
  <r>
    <x v="668"/>
    <x v="73"/>
    <n v="1"/>
    <x v="5"/>
    <d v="2015-02-27T00:00:00"/>
    <x v="403"/>
    <x v="346"/>
    <x v="7"/>
    <x v="2"/>
    <x v="647"/>
    <x v="651"/>
    <x v="0"/>
    <x v="668"/>
    <x v="3"/>
    <x v="73"/>
    <x v="2"/>
    <x v="2"/>
    <x v="7"/>
    <x v="2"/>
    <x v="6"/>
    <x v="0"/>
    <x v="79"/>
  </r>
  <r>
    <x v="669"/>
    <x v="27"/>
    <n v="4"/>
    <x v="2"/>
    <d v="2015-03-02T00:00:00"/>
    <x v="404"/>
    <x v="347"/>
    <x v="12"/>
    <x v="2"/>
    <x v="648"/>
    <x v="652"/>
    <x v="0"/>
    <x v="669"/>
    <x v="14"/>
    <x v="27"/>
    <x v="2"/>
    <x v="2"/>
    <x v="8"/>
    <x v="2"/>
    <x v="6"/>
    <x v="0"/>
    <x v="74"/>
  </r>
  <r>
    <x v="670"/>
    <x v="66"/>
    <n v="3"/>
    <x v="3"/>
    <d v="2015-03-02T00:00:00"/>
    <x v="404"/>
    <x v="347"/>
    <x v="12"/>
    <x v="0"/>
    <x v="649"/>
    <x v="653"/>
    <x v="4"/>
    <x v="670"/>
    <x v="10"/>
    <x v="66"/>
    <x v="0"/>
    <x v="2"/>
    <x v="8"/>
    <x v="2"/>
    <x v="6"/>
    <x v="0"/>
    <x v="70"/>
  </r>
  <r>
    <x v="671"/>
    <x v="67"/>
    <n v="2"/>
    <x v="7"/>
    <d v="2015-03-02T00:00:00"/>
    <x v="404"/>
    <x v="342"/>
    <x v="4"/>
    <x v="2"/>
    <x v="650"/>
    <x v="654"/>
    <x v="0"/>
    <x v="671"/>
    <x v="13"/>
    <x v="67"/>
    <x v="2"/>
    <x v="2"/>
    <x v="8"/>
    <x v="2"/>
    <x v="6"/>
    <x v="0"/>
    <x v="79"/>
  </r>
  <r>
    <x v="672"/>
    <x v="55"/>
    <n v="4"/>
    <x v="2"/>
    <d v="2015-03-03T00:00:00"/>
    <x v="405"/>
    <x v="346"/>
    <x v="5"/>
    <x v="2"/>
    <x v="651"/>
    <x v="655"/>
    <x v="0"/>
    <x v="672"/>
    <x v="13"/>
    <x v="55"/>
    <x v="2"/>
    <x v="2"/>
    <x v="8"/>
    <x v="2"/>
    <x v="6"/>
    <x v="0"/>
    <x v="105"/>
  </r>
  <r>
    <x v="673"/>
    <x v="61"/>
    <n v="1"/>
    <x v="5"/>
    <d v="2015-03-03T00:00:00"/>
    <x v="406"/>
    <x v="346"/>
    <x v="5"/>
    <x v="1"/>
    <x v="652"/>
    <x v="656"/>
    <x v="0"/>
    <x v="673"/>
    <x v="2"/>
    <x v="61"/>
    <x v="1"/>
    <x v="2"/>
    <x v="8"/>
    <x v="2"/>
    <x v="6"/>
    <x v="0"/>
    <x v="70"/>
  </r>
  <r>
    <x v="674"/>
    <x v="2"/>
    <n v="5"/>
    <x v="0"/>
    <d v="2015-03-03T00:00:00"/>
    <x v="405"/>
    <x v="344"/>
    <x v="4"/>
    <x v="0"/>
    <x v="653"/>
    <x v="657"/>
    <x v="0"/>
    <x v="674"/>
    <x v="6"/>
    <x v="2"/>
    <x v="0"/>
    <x v="2"/>
    <x v="8"/>
    <x v="2"/>
    <x v="6"/>
    <x v="0"/>
    <x v="71"/>
  </r>
  <r>
    <x v="675"/>
    <x v="53"/>
    <n v="7"/>
    <x v="8"/>
    <d v="2015-03-03T00:00:00"/>
    <x v="406"/>
    <x v="348"/>
    <x v="7"/>
    <x v="0"/>
    <x v="654"/>
    <x v="658"/>
    <x v="3"/>
    <x v="675"/>
    <x v="2"/>
    <x v="53"/>
    <x v="0"/>
    <x v="2"/>
    <x v="8"/>
    <x v="2"/>
    <x v="6"/>
    <x v="0"/>
    <x v="0"/>
  </r>
  <r>
    <x v="676"/>
    <x v="25"/>
    <n v="3"/>
    <x v="3"/>
    <d v="2015-03-04T00:00:00"/>
    <x v="407"/>
    <x v="349"/>
    <x v="24"/>
    <x v="2"/>
    <x v="655"/>
    <x v="659"/>
    <x v="5"/>
    <x v="676"/>
    <x v="5"/>
    <x v="25"/>
    <x v="2"/>
    <x v="2"/>
    <x v="8"/>
    <x v="2"/>
    <x v="6"/>
    <x v="0"/>
    <x v="69"/>
  </r>
  <r>
    <x v="677"/>
    <x v="2"/>
    <n v="3"/>
    <x v="3"/>
    <d v="2015-03-04T00:00:00"/>
    <x v="407"/>
    <x v="348"/>
    <x v="12"/>
    <x v="1"/>
    <x v="656"/>
    <x v="660"/>
    <x v="2"/>
    <x v="677"/>
    <x v="7"/>
    <x v="2"/>
    <x v="1"/>
    <x v="2"/>
    <x v="8"/>
    <x v="2"/>
    <x v="6"/>
    <x v="0"/>
    <x v="59"/>
  </r>
  <r>
    <x v="678"/>
    <x v="39"/>
    <n v="4"/>
    <x v="2"/>
    <d v="2015-03-04T00:00:00"/>
    <x v="407"/>
    <x v="347"/>
    <x v="3"/>
    <x v="0"/>
    <x v="657"/>
    <x v="661"/>
    <x v="0"/>
    <x v="678"/>
    <x v="33"/>
    <x v="39"/>
    <x v="0"/>
    <x v="2"/>
    <x v="8"/>
    <x v="2"/>
    <x v="6"/>
    <x v="0"/>
    <x v="72"/>
  </r>
  <r>
    <x v="679"/>
    <x v="88"/>
    <n v="4"/>
    <x v="2"/>
    <d v="2015-03-05T00:00:00"/>
    <x v="408"/>
    <x v="349"/>
    <x v="17"/>
    <x v="1"/>
    <x v="658"/>
    <x v="662"/>
    <x v="0"/>
    <x v="679"/>
    <x v="21"/>
    <x v="88"/>
    <x v="1"/>
    <x v="2"/>
    <x v="8"/>
    <x v="2"/>
    <x v="6"/>
    <x v="0"/>
    <x v="65"/>
  </r>
  <r>
    <x v="680"/>
    <x v="60"/>
    <n v="1"/>
    <x v="5"/>
    <d v="2015-03-05T00:00:00"/>
    <x v="408"/>
    <x v="345"/>
    <x v="15"/>
    <x v="1"/>
    <x v="545"/>
    <x v="663"/>
    <x v="0"/>
    <x v="680"/>
    <x v="21"/>
    <x v="60"/>
    <x v="1"/>
    <x v="2"/>
    <x v="8"/>
    <x v="2"/>
    <x v="6"/>
    <x v="0"/>
    <x v="57"/>
  </r>
  <r>
    <x v="681"/>
    <x v="17"/>
    <n v="6"/>
    <x v="1"/>
    <d v="2015-03-05T00:00:00"/>
    <x v="408"/>
    <x v="350"/>
    <x v="3"/>
    <x v="1"/>
    <x v="659"/>
    <x v="664"/>
    <x v="0"/>
    <x v="681"/>
    <x v="10"/>
    <x v="17"/>
    <x v="1"/>
    <x v="2"/>
    <x v="8"/>
    <x v="2"/>
    <x v="6"/>
    <x v="0"/>
    <x v="5"/>
  </r>
  <r>
    <x v="682"/>
    <x v="4"/>
    <n v="4"/>
    <x v="2"/>
    <d v="2015-03-06T00:00:00"/>
    <x v="409"/>
    <x v="345"/>
    <x v="0"/>
    <x v="0"/>
    <x v="660"/>
    <x v="665"/>
    <x v="0"/>
    <x v="682"/>
    <x v="25"/>
    <x v="4"/>
    <x v="0"/>
    <x v="2"/>
    <x v="8"/>
    <x v="2"/>
    <x v="6"/>
    <x v="0"/>
    <x v="5"/>
  </r>
  <r>
    <x v="683"/>
    <x v="6"/>
    <n v="4"/>
    <x v="2"/>
    <d v="2015-03-06T00:00:00"/>
    <x v="399"/>
    <x v="351"/>
    <x v="15"/>
    <x v="2"/>
    <x v="661"/>
    <x v="666"/>
    <x v="2"/>
    <x v="683"/>
    <x v="29"/>
    <x v="6"/>
    <x v="2"/>
    <x v="2"/>
    <x v="8"/>
    <x v="2"/>
    <x v="6"/>
    <x v="0"/>
    <x v="62"/>
  </r>
  <r>
    <x v="684"/>
    <x v="48"/>
    <n v="8"/>
    <x v="6"/>
    <d v="2015-03-06T00:00:00"/>
    <x v="410"/>
    <x v="352"/>
    <x v="11"/>
    <x v="1"/>
    <x v="662"/>
    <x v="667"/>
    <x v="5"/>
    <x v="684"/>
    <x v="12"/>
    <x v="48"/>
    <x v="1"/>
    <x v="2"/>
    <x v="8"/>
    <x v="2"/>
    <x v="6"/>
    <x v="0"/>
    <x v="79"/>
  </r>
  <r>
    <x v="685"/>
    <x v="42"/>
    <n v="6"/>
    <x v="1"/>
    <d v="2015-03-06T00:00:00"/>
    <x v="410"/>
    <x v="353"/>
    <x v="7"/>
    <x v="0"/>
    <x v="663"/>
    <x v="668"/>
    <x v="0"/>
    <x v="685"/>
    <x v="33"/>
    <x v="42"/>
    <x v="0"/>
    <x v="2"/>
    <x v="8"/>
    <x v="2"/>
    <x v="6"/>
    <x v="0"/>
    <x v="94"/>
  </r>
  <r>
    <x v="686"/>
    <x v="26"/>
    <n v="3"/>
    <x v="3"/>
    <d v="2015-03-09T00:00:00"/>
    <x v="411"/>
    <x v="350"/>
    <x v="6"/>
    <x v="0"/>
    <x v="664"/>
    <x v="386"/>
    <x v="0"/>
    <x v="686"/>
    <x v="5"/>
    <x v="26"/>
    <x v="0"/>
    <x v="2"/>
    <x v="8"/>
    <x v="2"/>
    <x v="6"/>
    <x v="0"/>
    <x v="92"/>
  </r>
  <r>
    <x v="687"/>
    <x v="7"/>
    <n v="4"/>
    <x v="2"/>
    <d v="2015-03-09T00:00:00"/>
    <x v="411"/>
    <x v="345"/>
    <x v="12"/>
    <x v="0"/>
    <x v="665"/>
    <x v="669"/>
    <x v="0"/>
    <x v="687"/>
    <x v="22"/>
    <x v="7"/>
    <x v="0"/>
    <x v="2"/>
    <x v="8"/>
    <x v="2"/>
    <x v="6"/>
    <x v="0"/>
    <x v="70"/>
  </r>
  <r>
    <x v="688"/>
    <x v="79"/>
    <n v="3"/>
    <x v="3"/>
    <d v="2015-03-09T00:00:00"/>
    <x v="411"/>
    <x v="345"/>
    <x v="12"/>
    <x v="2"/>
    <x v="666"/>
    <x v="670"/>
    <x v="3"/>
    <x v="688"/>
    <x v="12"/>
    <x v="79"/>
    <x v="2"/>
    <x v="2"/>
    <x v="8"/>
    <x v="2"/>
    <x v="6"/>
    <x v="0"/>
    <x v="59"/>
  </r>
  <r>
    <x v="689"/>
    <x v="78"/>
    <n v="7"/>
    <x v="8"/>
    <d v="2015-03-10T00:00:00"/>
    <x v="393"/>
    <x v="348"/>
    <x v="6"/>
    <x v="0"/>
    <x v="667"/>
    <x v="671"/>
    <x v="0"/>
    <x v="689"/>
    <x v="20"/>
    <x v="78"/>
    <x v="0"/>
    <x v="2"/>
    <x v="8"/>
    <x v="2"/>
    <x v="6"/>
    <x v="0"/>
    <x v="55"/>
  </r>
  <r>
    <x v="690"/>
    <x v="21"/>
    <n v="3"/>
    <x v="3"/>
    <d v="2015-03-10T00:00:00"/>
    <x v="412"/>
    <x v="353"/>
    <x v="5"/>
    <x v="2"/>
    <x v="668"/>
    <x v="672"/>
    <x v="4"/>
    <x v="690"/>
    <x v="5"/>
    <x v="21"/>
    <x v="2"/>
    <x v="2"/>
    <x v="8"/>
    <x v="2"/>
    <x v="6"/>
    <x v="0"/>
    <x v="62"/>
  </r>
  <r>
    <x v="691"/>
    <x v="22"/>
    <n v="2"/>
    <x v="7"/>
    <d v="2015-03-10T00:00:00"/>
    <x v="412"/>
    <x v="348"/>
    <x v="6"/>
    <x v="2"/>
    <x v="669"/>
    <x v="673"/>
    <x v="2"/>
    <x v="691"/>
    <x v="2"/>
    <x v="22"/>
    <x v="2"/>
    <x v="2"/>
    <x v="8"/>
    <x v="2"/>
    <x v="6"/>
    <x v="0"/>
    <x v="59"/>
  </r>
  <r>
    <x v="692"/>
    <x v="48"/>
    <n v="8"/>
    <x v="6"/>
    <d v="2015-03-11T00:00:00"/>
    <x v="413"/>
    <x v="354"/>
    <x v="0"/>
    <x v="0"/>
    <x v="670"/>
    <x v="176"/>
    <x v="0"/>
    <x v="692"/>
    <x v="20"/>
    <x v="48"/>
    <x v="0"/>
    <x v="2"/>
    <x v="8"/>
    <x v="2"/>
    <x v="6"/>
    <x v="0"/>
    <x v="78"/>
  </r>
  <r>
    <x v="693"/>
    <x v="45"/>
    <n v="7"/>
    <x v="8"/>
    <d v="2015-03-11T00:00:00"/>
    <x v="413"/>
    <x v="355"/>
    <x v="12"/>
    <x v="2"/>
    <x v="671"/>
    <x v="674"/>
    <x v="4"/>
    <x v="693"/>
    <x v="41"/>
    <x v="45"/>
    <x v="2"/>
    <x v="2"/>
    <x v="8"/>
    <x v="2"/>
    <x v="6"/>
    <x v="0"/>
    <x v="76"/>
  </r>
  <r>
    <x v="694"/>
    <x v="30"/>
    <n v="9"/>
    <x v="4"/>
    <d v="2015-03-11T00:00:00"/>
    <x v="413"/>
    <x v="345"/>
    <x v="3"/>
    <x v="0"/>
    <x v="672"/>
    <x v="369"/>
    <x v="0"/>
    <x v="694"/>
    <x v="31"/>
    <x v="30"/>
    <x v="0"/>
    <x v="2"/>
    <x v="8"/>
    <x v="2"/>
    <x v="6"/>
    <x v="0"/>
    <x v="37"/>
  </r>
  <r>
    <x v="695"/>
    <x v="31"/>
    <n v="4"/>
    <x v="2"/>
    <d v="2015-03-11T00:00:00"/>
    <x v="413"/>
    <x v="351"/>
    <x v="9"/>
    <x v="2"/>
    <x v="673"/>
    <x v="675"/>
    <x v="0"/>
    <x v="695"/>
    <x v="6"/>
    <x v="31"/>
    <x v="2"/>
    <x v="2"/>
    <x v="8"/>
    <x v="2"/>
    <x v="6"/>
    <x v="0"/>
    <x v="62"/>
  </r>
  <r>
    <x v="696"/>
    <x v="66"/>
    <n v="6"/>
    <x v="1"/>
    <d v="2015-03-12T00:00:00"/>
    <x v="402"/>
    <x v="348"/>
    <x v="13"/>
    <x v="0"/>
    <x v="674"/>
    <x v="676"/>
    <x v="4"/>
    <x v="696"/>
    <x v="21"/>
    <x v="66"/>
    <x v="0"/>
    <x v="2"/>
    <x v="8"/>
    <x v="2"/>
    <x v="6"/>
    <x v="0"/>
    <x v="72"/>
  </r>
  <r>
    <x v="697"/>
    <x v="24"/>
    <n v="4"/>
    <x v="2"/>
    <d v="2015-03-12T00:00:00"/>
    <x v="414"/>
    <x v="345"/>
    <x v="5"/>
    <x v="1"/>
    <x v="675"/>
    <x v="677"/>
    <x v="0"/>
    <x v="697"/>
    <x v="5"/>
    <x v="24"/>
    <x v="1"/>
    <x v="2"/>
    <x v="8"/>
    <x v="2"/>
    <x v="6"/>
    <x v="0"/>
    <x v="62"/>
  </r>
  <r>
    <x v="698"/>
    <x v="61"/>
    <n v="1"/>
    <x v="5"/>
    <d v="2015-03-12T00:00:00"/>
    <x v="414"/>
    <x v="351"/>
    <x v="3"/>
    <x v="2"/>
    <x v="676"/>
    <x v="678"/>
    <x v="0"/>
    <x v="698"/>
    <x v="7"/>
    <x v="61"/>
    <x v="2"/>
    <x v="2"/>
    <x v="8"/>
    <x v="2"/>
    <x v="6"/>
    <x v="0"/>
    <x v="69"/>
  </r>
  <r>
    <x v="699"/>
    <x v="31"/>
    <n v="3"/>
    <x v="3"/>
    <d v="2015-03-13T00:00:00"/>
    <x v="415"/>
    <x v="353"/>
    <x v="6"/>
    <x v="2"/>
    <x v="677"/>
    <x v="679"/>
    <x v="0"/>
    <x v="699"/>
    <x v="18"/>
    <x v="31"/>
    <x v="2"/>
    <x v="2"/>
    <x v="8"/>
    <x v="2"/>
    <x v="6"/>
    <x v="0"/>
    <x v="73"/>
  </r>
  <r>
    <x v="700"/>
    <x v="36"/>
    <n v="3"/>
    <x v="3"/>
    <d v="2015-03-13T00:00:00"/>
    <x v="415"/>
    <x v="351"/>
    <x v="5"/>
    <x v="0"/>
    <x v="678"/>
    <x v="680"/>
    <x v="0"/>
    <x v="700"/>
    <x v="1"/>
    <x v="36"/>
    <x v="0"/>
    <x v="2"/>
    <x v="8"/>
    <x v="2"/>
    <x v="6"/>
    <x v="0"/>
    <x v="105"/>
  </r>
  <r>
    <x v="701"/>
    <x v="66"/>
    <n v="2"/>
    <x v="7"/>
    <d v="2015-03-13T00:00:00"/>
    <x v="415"/>
    <x v="356"/>
    <x v="2"/>
    <x v="0"/>
    <x v="679"/>
    <x v="681"/>
    <x v="0"/>
    <x v="701"/>
    <x v="0"/>
    <x v="66"/>
    <x v="0"/>
    <x v="2"/>
    <x v="8"/>
    <x v="2"/>
    <x v="6"/>
    <x v="0"/>
    <x v="92"/>
  </r>
  <r>
    <x v="702"/>
    <x v="22"/>
    <n v="1"/>
    <x v="5"/>
    <d v="2015-03-16T00:00:00"/>
    <x v="416"/>
    <x v="354"/>
    <x v="3"/>
    <x v="2"/>
    <x v="680"/>
    <x v="279"/>
    <x v="0"/>
    <x v="702"/>
    <x v="21"/>
    <x v="22"/>
    <x v="2"/>
    <x v="2"/>
    <x v="8"/>
    <x v="2"/>
    <x v="6"/>
    <x v="0"/>
    <x v="64"/>
  </r>
  <r>
    <x v="703"/>
    <x v="6"/>
    <n v="9"/>
    <x v="4"/>
    <d v="2015-03-16T00:00:00"/>
    <x v="417"/>
    <x v="357"/>
    <x v="20"/>
    <x v="2"/>
    <x v="681"/>
    <x v="682"/>
    <x v="1"/>
    <x v="703"/>
    <x v="6"/>
    <x v="6"/>
    <x v="2"/>
    <x v="2"/>
    <x v="8"/>
    <x v="2"/>
    <x v="6"/>
    <x v="0"/>
    <x v="85"/>
  </r>
  <r>
    <x v="704"/>
    <x v="85"/>
    <n v="1"/>
    <x v="5"/>
    <d v="2015-03-16T00:00:00"/>
    <x v="417"/>
    <x v="352"/>
    <x v="9"/>
    <x v="1"/>
    <x v="682"/>
    <x v="228"/>
    <x v="1"/>
    <x v="704"/>
    <x v="9"/>
    <x v="85"/>
    <x v="1"/>
    <x v="2"/>
    <x v="8"/>
    <x v="2"/>
    <x v="6"/>
    <x v="0"/>
    <x v="92"/>
  </r>
  <r>
    <x v="705"/>
    <x v="55"/>
    <n v="9"/>
    <x v="4"/>
    <d v="2015-03-16T00:00:00"/>
    <x v="404"/>
    <x v="358"/>
    <x v="12"/>
    <x v="2"/>
    <x v="483"/>
    <x v="683"/>
    <x v="1"/>
    <x v="705"/>
    <x v="8"/>
    <x v="55"/>
    <x v="2"/>
    <x v="2"/>
    <x v="8"/>
    <x v="2"/>
    <x v="6"/>
    <x v="0"/>
    <x v="65"/>
  </r>
  <r>
    <x v="706"/>
    <x v="67"/>
    <n v="5"/>
    <x v="0"/>
    <d v="2015-03-17T00:00:00"/>
    <x v="418"/>
    <x v="355"/>
    <x v="6"/>
    <x v="1"/>
    <x v="683"/>
    <x v="684"/>
    <x v="2"/>
    <x v="706"/>
    <x v="31"/>
    <x v="67"/>
    <x v="1"/>
    <x v="2"/>
    <x v="8"/>
    <x v="2"/>
    <x v="6"/>
    <x v="0"/>
    <x v="79"/>
  </r>
  <r>
    <x v="707"/>
    <x v="14"/>
    <n v="8"/>
    <x v="6"/>
    <d v="2015-03-17T00:00:00"/>
    <x v="406"/>
    <x v="355"/>
    <x v="6"/>
    <x v="2"/>
    <x v="677"/>
    <x v="685"/>
    <x v="3"/>
    <x v="707"/>
    <x v="0"/>
    <x v="14"/>
    <x v="2"/>
    <x v="2"/>
    <x v="8"/>
    <x v="2"/>
    <x v="6"/>
    <x v="0"/>
    <x v="86"/>
  </r>
  <r>
    <x v="708"/>
    <x v="76"/>
    <n v="6"/>
    <x v="1"/>
    <d v="2015-03-17T00:00:00"/>
    <x v="418"/>
    <x v="355"/>
    <x v="6"/>
    <x v="2"/>
    <x v="684"/>
    <x v="686"/>
    <x v="0"/>
    <x v="708"/>
    <x v="0"/>
    <x v="76"/>
    <x v="2"/>
    <x v="2"/>
    <x v="8"/>
    <x v="2"/>
    <x v="6"/>
    <x v="0"/>
    <x v="5"/>
  </r>
  <r>
    <x v="709"/>
    <x v="8"/>
    <n v="8"/>
    <x v="6"/>
    <d v="2015-03-18T00:00:00"/>
    <x v="419"/>
    <x v="359"/>
    <x v="12"/>
    <x v="0"/>
    <x v="685"/>
    <x v="687"/>
    <x v="0"/>
    <x v="709"/>
    <x v="12"/>
    <x v="8"/>
    <x v="0"/>
    <x v="2"/>
    <x v="8"/>
    <x v="2"/>
    <x v="6"/>
    <x v="0"/>
    <x v="74"/>
  </r>
  <r>
    <x v="710"/>
    <x v="69"/>
    <n v="7"/>
    <x v="8"/>
    <d v="2015-03-18T00:00:00"/>
    <x v="419"/>
    <x v="359"/>
    <x v="12"/>
    <x v="2"/>
    <x v="686"/>
    <x v="688"/>
    <x v="0"/>
    <x v="710"/>
    <x v="5"/>
    <x v="69"/>
    <x v="2"/>
    <x v="2"/>
    <x v="8"/>
    <x v="2"/>
    <x v="6"/>
    <x v="0"/>
    <x v="99"/>
  </r>
  <r>
    <x v="711"/>
    <x v="71"/>
    <n v="6"/>
    <x v="1"/>
    <d v="2015-03-18T00:00:00"/>
    <x v="420"/>
    <x v="354"/>
    <x v="1"/>
    <x v="2"/>
    <x v="451"/>
    <x v="689"/>
    <x v="2"/>
    <x v="711"/>
    <x v="5"/>
    <x v="71"/>
    <x v="2"/>
    <x v="2"/>
    <x v="8"/>
    <x v="2"/>
    <x v="6"/>
    <x v="0"/>
    <x v="86"/>
  </r>
  <r>
    <x v="712"/>
    <x v="8"/>
    <n v="3"/>
    <x v="3"/>
    <d v="2015-03-19T00:00:00"/>
    <x v="408"/>
    <x v="349"/>
    <x v="27"/>
    <x v="1"/>
    <x v="687"/>
    <x v="690"/>
    <x v="4"/>
    <x v="712"/>
    <x v="2"/>
    <x v="8"/>
    <x v="1"/>
    <x v="2"/>
    <x v="8"/>
    <x v="2"/>
    <x v="6"/>
    <x v="0"/>
    <x v="54"/>
  </r>
  <r>
    <x v="713"/>
    <x v="62"/>
    <n v="8"/>
    <x v="6"/>
    <d v="2015-03-19T00:00:00"/>
    <x v="421"/>
    <x v="360"/>
    <x v="8"/>
    <x v="1"/>
    <x v="688"/>
    <x v="9"/>
    <x v="1"/>
    <x v="713"/>
    <x v="3"/>
    <x v="62"/>
    <x v="1"/>
    <x v="2"/>
    <x v="8"/>
    <x v="2"/>
    <x v="6"/>
    <x v="0"/>
    <x v="68"/>
  </r>
  <r>
    <x v="714"/>
    <x v="21"/>
    <n v="8"/>
    <x v="6"/>
    <d v="2015-03-19T00:00:00"/>
    <x v="421"/>
    <x v="354"/>
    <x v="2"/>
    <x v="2"/>
    <x v="689"/>
    <x v="691"/>
    <x v="0"/>
    <x v="714"/>
    <x v="15"/>
    <x v="21"/>
    <x v="2"/>
    <x v="2"/>
    <x v="8"/>
    <x v="2"/>
    <x v="6"/>
    <x v="0"/>
    <x v="78"/>
  </r>
  <r>
    <x v="715"/>
    <x v="47"/>
    <n v="9"/>
    <x v="4"/>
    <d v="2015-03-19T00:00:00"/>
    <x v="421"/>
    <x v="361"/>
    <x v="3"/>
    <x v="0"/>
    <x v="690"/>
    <x v="692"/>
    <x v="2"/>
    <x v="715"/>
    <x v="33"/>
    <x v="47"/>
    <x v="0"/>
    <x v="2"/>
    <x v="8"/>
    <x v="2"/>
    <x v="6"/>
    <x v="0"/>
    <x v="106"/>
  </r>
  <r>
    <x v="716"/>
    <x v="87"/>
    <n v="3"/>
    <x v="3"/>
    <d v="2015-03-20T00:00:00"/>
    <x v="409"/>
    <x v="352"/>
    <x v="2"/>
    <x v="2"/>
    <x v="691"/>
    <x v="693"/>
    <x v="0"/>
    <x v="716"/>
    <x v="3"/>
    <x v="87"/>
    <x v="2"/>
    <x v="2"/>
    <x v="8"/>
    <x v="2"/>
    <x v="6"/>
    <x v="0"/>
    <x v="67"/>
  </r>
  <r>
    <x v="717"/>
    <x v="37"/>
    <n v="6"/>
    <x v="1"/>
    <d v="2015-03-20T00:00:00"/>
    <x v="409"/>
    <x v="360"/>
    <x v="7"/>
    <x v="0"/>
    <x v="692"/>
    <x v="694"/>
    <x v="0"/>
    <x v="717"/>
    <x v="9"/>
    <x v="37"/>
    <x v="0"/>
    <x v="2"/>
    <x v="8"/>
    <x v="2"/>
    <x v="6"/>
    <x v="0"/>
    <x v="96"/>
  </r>
  <r>
    <x v="718"/>
    <x v="5"/>
    <n v="4"/>
    <x v="2"/>
    <d v="2015-03-20T00:00:00"/>
    <x v="409"/>
    <x v="349"/>
    <x v="19"/>
    <x v="1"/>
    <x v="693"/>
    <x v="695"/>
    <x v="0"/>
    <x v="718"/>
    <x v="20"/>
    <x v="5"/>
    <x v="1"/>
    <x v="2"/>
    <x v="8"/>
    <x v="2"/>
    <x v="6"/>
    <x v="0"/>
    <x v="107"/>
  </r>
  <r>
    <x v="719"/>
    <x v="1"/>
    <n v="2"/>
    <x v="7"/>
    <d v="2015-03-23T00:00:00"/>
    <x v="422"/>
    <x v="362"/>
    <x v="7"/>
    <x v="2"/>
    <x v="694"/>
    <x v="696"/>
    <x v="0"/>
    <x v="719"/>
    <x v="0"/>
    <x v="1"/>
    <x v="2"/>
    <x v="2"/>
    <x v="8"/>
    <x v="2"/>
    <x v="6"/>
    <x v="0"/>
    <x v="93"/>
  </r>
  <r>
    <x v="720"/>
    <x v="9"/>
    <n v="1"/>
    <x v="5"/>
    <d v="2015-03-23T00:00:00"/>
    <x v="422"/>
    <x v="363"/>
    <x v="12"/>
    <x v="0"/>
    <x v="695"/>
    <x v="697"/>
    <x v="0"/>
    <x v="720"/>
    <x v="12"/>
    <x v="9"/>
    <x v="0"/>
    <x v="2"/>
    <x v="8"/>
    <x v="2"/>
    <x v="6"/>
    <x v="0"/>
    <x v="75"/>
  </r>
  <r>
    <x v="721"/>
    <x v="32"/>
    <n v="1"/>
    <x v="5"/>
    <d v="2015-03-23T00:00:00"/>
    <x v="422"/>
    <x v="360"/>
    <x v="3"/>
    <x v="2"/>
    <x v="696"/>
    <x v="698"/>
    <x v="0"/>
    <x v="721"/>
    <x v="1"/>
    <x v="32"/>
    <x v="2"/>
    <x v="2"/>
    <x v="8"/>
    <x v="2"/>
    <x v="6"/>
    <x v="0"/>
    <x v="102"/>
  </r>
  <r>
    <x v="722"/>
    <x v="46"/>
    <n v="9"/>
    <x v="4"/>
    <d v="2015-03-24T00:00:00"/>
    <x v="412"/>
    <x v="364"/>
    <x v="32"/>
    <x v="1"/>
    <x v="697"/>
    <x v="518"/>
    <x v="3"/>
    <x v="722"/>
    <x v="4"/>
    <x v="46"/>
    <x v="1"/>
    <x v="2"/>
    <x v="8"/>
    <x v="2"/>
    <x v="6"/>
    <x v="0"/>
    <x v="68"/>
  </r>
  <r>
    <x v="723"/>
    <x v="86"/>
    <n v="2"/>
    <x v="7"/>
    <d v="2015-03-24T00:00:00"/>
    <x v="423"/>
    <x v="362"/>
    <x v="12"/>
    <x v="2"/>
    <x v="698"/>
    <x v="699"/>
    <x v="0"/>
    <x v="723"/>
    <x v="19"/>
    <x v="86"/>
    <x v="2"/>
    <x v="2"/>
    <x v="8"/>
    <x v="2"/>
    <x v="6"/>
    <x v="0"/>
    <x v="63"/>
  </r>
  <r>
    <x v="724"/>
    <x v="88"/>
    <n v="4"/>
    <x v="2"/>
    <d v="2015-03-24T00:00:00"/>
    <x v="423"/>
    <x v="361"/>
    <x v="4"/>
    <x v="2"/>
    <x v="699"/>
    <x v="700"/>
    <x v="0"/>
    <x v="724"/>
    <x v="3"/>
    <x v="88"/>
    <x v="2"/>
    <x v="2"/>
    <x v="8"/>
    <x v="2"/>
    <x v="6"/>
    <x v="0"/>
    <x v="71"/>
  </r>
  <r>
    <x v="725"/>
    <x v="88"/>
    <n v="6"/>
    <x v="1"/>
    <d v="2015-03-24T00:00:00"/>
    <x v="423"/>
    <x v="359"/>
    <x v="6"/>
    <x v="2"/>
    <x v="700"/>
    <x v="701"/>
    <x v="0"/>
    <x v="725"/>
    <x v="21"/>
    <x v="88"/>
    <x v="2"/>
    <x v="2"/>
    <x v="8"/>
    <x v="2"/>
    <x v="6"/>
    <x v="0"/>
    <x v="88"/>
  </r>
  <r>
    <x v="726"/>
    <x v="20"/>
    <n v="3"/>
    <x v="3"/>
    <d v="2015-03-25T00:00:00"/>
    <x v="413"/>
    <x v="365"/>
    <x v="12"/>
    <x v="0"/>
    <x v="701"/>
    <x v="702"/>
    <x v="0"/>
    <x v="726"/>
    <x v="2"/>
    <x v="20"/>
    <x v="0"/>
    <x v="2"/>
    <x v="8"/>
    <x v="2"/>
    <x v="6"/>
    <x v="0"/>
    <x v="89"/>
  </r>
  <r>
    <x v="727"/>
    <x v="66"/>
    <n v="1"/>
    <x v="5"/>
    <d v="2015-03-25T00:00:00"/>
    <x v="424"/>
    <x v="359"/>
    <x v="4"/>
    <x v="0"/>
    <x v="702"/>
    <x v="703"/>
    <x v="0"/>
    <x v="727"/>
    <x v="9"/>
    <x v="66"/>
    <x v="0"/>
    <x v="2"/>
    <x v="8"/>
    <x v="2"/>
    <x v="6"/>
    <x v="0"/>
    <x v="98"/>
  </r>
  <r>
    <x v="728"/>
    <x v="8"/>
    <n v="1"/>
    <x v="5"/>
    <d v="2015-03-25T00:00:00"/>
    <x v="425"/>
    <x v="365"/>
    <x v="12"/>
    <x v="1"/>
    <x v="703"/>
    <x v="242"/>
    <x v="0"/>
    <x v="728"/>
    <x v="5"/>
    <x v="8"/>
    <x v="1"/>
    <x v="2"/>
    <x v="8"/>
    <x v="2"/>
    <x v="6"/>
    <x v="0"/>
    <x v="55"/>
  </r>
  <r>
    <x v="729"/>
    <x v="14"/>
    <n v="8"/>
    <x v="6"/>
    <d v="2015-03-26T00:00:00"/>
    <x v="426"/>
    <x v="366"/>
    <x v="18"/>
    <x v="0"/>
    <x v="704"/>
    <x v="704"/>
    <x v="0"/>
    <x v="729"/>
    <x v="12"/>
    <x v="14"/>
    <x v="0"/>
    <x v="2"/>
    <x v="8"/>
    <x v="2"/>
    <x v="6"/>
    <x v="0"/>
    <x v="70"/>
  </r>
  <r>
    <x v="730"/>
    <x v="80"/>
    <n v="9"/>
    <x v="4"/>
    <d v="2015-03-26T00:00:00"/>
    <x v="426"/>
    <x v="367"/>
    <x v="34"/>
    <x v="2"/>
    <x v="705"/>
    <x v="705"/>
    <x v="2"/>
    <x v="730"/>
    <x v="5"/>
    <x v="80"/>
    <x v="2"/>
    <x v="2"/>
    <x v="8"/>
    <x v="2"/>
    <x v="6"/>
    <x v="0"/>
    <x v="98"/>
  </r>
  <r>
    <x v="731"/>
    <x v="9"/>
    <n v="8"/>
    <x v="6"/>
    <d v="2015-03-26T00:00:00"/>
    <x v="426"/>
    <x v="368"/>
    <x v="1"/>
    <x v="2"/>
    <x v="706"/>
    <x v="706"/>
    <x v="0"/>
    <x v="731"/>
    <x v="17"/>
    <x v="9"/>
    <x v="2"/>
    <x v="2"/>
    <x v="8"/>
    <x v="2"/>
    <x v="6"/>
    <x v="0"/>
    <x v="78"/>
  </r>
  <r>
    <x v="732"/>
    <x v="14"/>
    <n v="4"/>
    <x v="2"/>
    <d v="2015-03-27T00:00:00"/>
    <x v="427"/>
    <x v="369"/>
    <x v="23"/>
    <x v="1"/>
    <x v="707"/>
    <x v="707"/>
    <x v="3"/>
    <x v="732"/>
    <x v="4"/>
    <x v="14"/>
    <x v="1"/>
    <x v="2"/>
    <x v="8"/>
    <x v="2"/>
    <x v="6"/>
    <x v="0"/>
    <x v="86"/>
  </r>
  <r>
    <x v="733"/>
    <x v="2"/>
    <n v="1"/>
    <x v="5"/>
    <d v="2015-03-27T00:00:00"/>
    <x v="428"/>
    <x v="362"/>
    <x v="5"/>
    <x v="2"/>
    <x v="708"/>
    <x v="708"/>
    <x v="0"/>
    <x v="733"/>
    <x v="10"/>
    <x v="2"/>
    <x v="2"/>
    <x v="2"/>
    <x v="8"/>
    <x v="2"/>
    <x v="6"/>
    <x v="0"/>
    <x v="91"/>
  </r>
  <r>
    <x v="734"/>
    <x v="66"/>
    <n v="2"/>
    <x v="7"/>
    <d v="2015-03-27T00:00:00"/>
    <x v="428"/>
    <x v="349"/>
    <x v="0"/>
    <x v="1"/>
    <x v="709"/>
    <x v="709"/>
    <x v="0"/>
    <x v="734"/>
    <x v="5"/>
    <x v="66"/>
    <x v="1"/>
    <x v="2"/>
    <x v="8"/>
    <x v="2"/>
    <x v="6"/>
    <x v="0"/>
    <x v="78"/>
  </r>
  <r>
    <x v="735"/>
    <x v="45"/>
    <n v="2"/>
    <x v="7"/>
    <d v="2015-03-27T00:00:00"/>
    <x v="428"/>
    <x v="370"/>
    <x v="7"/>
    <x v="2"/>
    <x v="710"/>
    <x v="710"/>
    <x v="2"/>
    <x v="735"/>
    <x v="46"/>
    <x v="45"/>
    <x v="2"/>
    <x v="2"/>
    <x v="8"/>
    <x v="2"/>
    <x v="6"/>
    <x v="0"/>
    <x v="62"/>
  </r>
  <r>
    <x v="736"/>
    <x v="45"/>
    <n v="1"/>
    <x v="5"/>
    <d v="2015-03-30T00:00:00"/>
    <x v="417"/>
    <x v="365"/>
    <x v="2"/>
    <x v="0"/>
    <x v="711"/>
    <x v="711"/>
    <x v="0"/>
    <x v="736"/>
    <x v="37"/>
    <x v="45"/>
    <x v="0"/>
    <x v="2"/>
    <x v="8"/>
    <x v="2"/>
    <x v="6"/>
    <x v="0"/>
    <x v="79"/>
  </r>
  <r>
    <x v="737"/>
    <x v="34"/>
    <n v="2"/>
    <x v="7"/>
    <d v="2015-03-30T00:00:00"/>
    <x v="417"/>
    <x v="362"/>
    <x v="6"/>
    <x v="1"/>
    <x v="712"/>
    <x v="712"/>
    <x v="5"/>
    <x v="737"/>
    <x v="25"/>
    <x v="34"/>
    <x v="1"/>
    <x v="2"/>
    <x v="8"/>
    <x v="2"/>
    <x v="6"/>
    <x v="0"/>
    <x v="79"/>
  </r>
  <r>
    <x v="738"/>
    <x v="69"/>
    <n v="8"/>
    <x v="6"/>
    <d v="2015-03-30T00:00:00"/>
    <x v="417"/>
    <x v="371"/>
    <x v="20"/>
    <x v="2"/>
    <x v="713"/>
    <x v="713"/>
    <x v="0"/>
    <x v="738"/>
    <x v="12"/>
    <x v="69"/>
    <x v="2"/>
    <x v="2"/>
    <x v="8"/>
    <x v="2"/>
    <x v="6"/>
    <x v="0"/>
    <x v="72"/>
  </r>
  <r>
    <x v="739"/>
    <x v="58"/>
    <n v="8"/>
    <x v="6"/>
    <d v="2015-03-31T00:00:00"/>
    <x v="418"/>
    <x v="370"/>
    <x v="5"/>
    <x v="1"/>
    <x v="714"/>
    <x v="714"/>
    <x v="0"/>
    <x v="739"/>
    <x v="10"/>
    <x v="58"/>
    <x v="1"/>
    <x v="2"/>
    <x v="8"/>
    <x v="2"/>
    <x v="6"/>
    <x v="0"/>
    <x v="78"/>
  </r>
  <r>
    <x v="740"/>
    <x v="13"/>
    <n v="3"/>
    <x v="3"/>
    <d v="2015-03-31T00:00:00"/>
    <x v="418"/>
    <x v="366"/>
    <x v="7"/>
    <x v="2"/>
    <x v="715"/>
    <x v="715"/>
    <x v="0"/>
    <x v="740"/>
    <x v="10"/>
    <x v="13"/>
    <x v="2"/>
    <x v="2"/>
    <x v="8"/>
    <x v="2"/>
    <x v="6"/>
    <x v="0"/>
    <x v="78"/>
  </r>
  <r>
    <x v="741"/>
    <x v="12"/>
    <n v="2"/>
    <x v="7"/>
    <d v="2015-03-31T00:00:00"/>
    <x v="418"/>
    <x v="362"/>
    <x v="4"/>
    <x v="1"/>
    <x v="716"/>
    <x v="716"/>
    <x v="0"/>
    <x v="741"/>
    <x v="4"/>
    <x v="12"/>
    <x v="1"/>
    <x v="2"/>
    <x v="8"/>
    <x v="2"/>
    <x v="6"/>
    <x v="0"/>
    <x v="92"/>
  </r>
  <r>
    <x v="742"/>
    <x v="9"/>
    <n v="2"/>
    <x v="7"/>
    <d v="2015-04-01T00:00:00"/>
    <x v="429"/>
    <x v="357"/>
    <x v="5"/>
    <x v="0"/>
    <x v="717"/>
    <x v="717"/>
    <x v="0"/>
    <x v="742"/>
    <x v="43"/>
    <x v="9"/>
    <x v="0"/>
    <x v="2"/>
    <x v="9"/>
    <x v="3"/>
    <x v="7"/>
    <x v="0"/>
    <x v="5"/>
  </r>
  <r>
    <x v="743"/>
    <x v="21"/>
    <n v="1"/>
    <x v="5"/>
    <d v="2015-04-01T00:00:00"/>
    <x v="420"/>
    <x v="357"/>
    <x v="5"/>
    <x v="1"/>
    <x v="718"/>
    <x v="96"/>
    <x v="3"/>
    <x v="743"/>
    <x v="8"/>
    <x v="21"/>
    <x v="1"/>
    <x v="2"/>
    <x v="9"/>
    <x v="3"/>
    <x v="7"/>
    <x v="0"/>
    <x v="59"/>
  </r>
  <r>
    <x v="744"/>
    <x v="40"/>
    <n v="1"/>
    <x v="5"/>
    <d v="2015-04-01T00:00:00"/>
    <x v="420"/>
    <x v="365"/>
    <x v="4"/>
    <x v="0"/>
    <x v="719"/>
    <x v="718"/>
    <x v="0"/>
    <x v="744"/>
    <x v="33"/>
    <x v="40"/>
    <x v="0"/>
    <x v="2"/>
    <x v="9"/>
    <x v="3"/>
    <x v="7"/>
    <x v="0"/>
    <x v="81"/>
  </r>
  <r>
    <x v="745"/>
    <x v="14"/>
    <n v="7"/>
    <x v="8"/>
    <d v="2015-04-01T00:00:00"/>
    <x v="420"/>
    <x v="366"/>
    <x v="12"/>
    <x v="0"/>
    <x v="720"/>
    <x v="719"/>
    <x v="4"/>
    <x v="745"/>
    <x v="8"/>
    <x v="14"/>
    <x v="0"/>
    <x v="2"/>
    <x v="9"/>
    <x v="3"/>
    <x v="7"/>
    <x v="0"/>
    <x v="63"/>
  </r>
  <r>
    <x v="746"/>
    <x v="61"/>
    <n v="2"/>
    <x v="7"/>
    <d v="2015-04-02T00:00:00"/>
    <x v="421"/>
    <x v="372"/>
    <x v="3"/>
    <x v="0"/>
    <x v="721"/>
    <x v="720"/>
    <x v="1"/>
    <x v="746"/>
    <x v="17"/>
    <x v="61"/>
    <x v="0"/>
    <x v="2"/>
    <x v="9"/>
    <x v="3"/>
    <x v="7"/>
    <x v="0"/>
    <x v="73"/>
  </r>
  <r>
    <x v="747"/>
    <x v="43"/>
    <n v="1"/>
    <x v="5"/>
    <d v="2015-04-02T00:00:00"/>
    <x v="430"/>
    <x v="370"/>
    <x v="2"/>
    <x v="0"/>
    <x v="722"/>
    <x v="721"/>
    <x v="0"/>
    <x v="747"/>
    <x v="5"/>
    <x v="43"/>
    <x v="0"/>
    <x v="2"/>
    <x v="9"/>
    <x v="3"/>
    <x v="7"/>
    <x v="0"/>
    <x v="96"/>
  </r>
  <r>
    <x v="748"/>
    <x v="21"/>
    <n v="4"/>
    <x v="2"/>
    <d v="2015-04-02T00:00:00"/>
    <x v="430"/>
    <x v="366"/>
    <x v="9"/>
    <x v="2"/>
    <x v="723"/>
    <x v="369"/>
    <x v="0"/>
    <x v="748"/>
    <x v="4"/>
    <x v="21"/>
    <x v="2"/>
    <x v="2"/>
    <x v="9"/>
    <x v="3"/>
    <x v="7"/>
    <x v="0"/>
    <x v="0"/>
  </r>
  <r>
    <x v="749"/>
    <x v="28"/>
    <n v="8"/>
    <x v="6"/>
    <d v="2015-04-03T00:00:00"/>
    <x v="431"/>
    <x v="373"/>
    <x v="7"/>
    <x v="2"/>
    <x v="724"/>
    <x v="722"/>
    <x v="0"/>
    <x v="749"/>
    <x v="8"/>
    <x v="28"/>
    <x v="2"/>
    <x v="2"/>
    <x v="9"/>
    <x v="3"/>
    <x v="7"/>
    <x v="0"/>
    <x v="42"/>
  </r>
  <r>
    <x v="750"/>
    <x v="63"/>
    <n v="8"/>
    <x v="6"/>
    <d v="2015-04-03T00:00:00"/>
    <x v="409"/>
    <x v="369"/>
    <x v="31"/>
    <x v="2"/>
    <x v="725"/>
    <x v="723"/>
    <x v="0"/>
    <x v="750"/>
    <x v="0"/>
    <x v="63"/>
    <x v="2"/>
    <x v="2"/>
    <x v="9"/>
    <x v="3"/>
    <x v="7"/>
    <x v="0"/>
    <x v="54"/>
  </r>
  <r>
    <x v="751"/>
    <x v="11"/>
    <n v="6"/>
    <x v="1"/>
    <d v="2015-04-03T00:00:00"/>
    <x v="432"/>
    <x v="366"/>
    <x v="3"/>
    <x v="2"/>
    <x v="726"/>
    <x v="724"/>
    <x v="1"/>
    <x v="751"/>
    <x v="5"/>
    <x v="11"/>
    <x v="2"/>
    <x v="2"/>
    <x v="9"/>
    <x v="3"/>
    <x v="7"/>
    <x v="0"/>
    <x v="83"/>
  </r>
  <r>
    <x v="752"/>
    <x v="13"/>
    <n v="2"/>
    <x v="7"/>
    <d v="2015-04-06T00:00:00"/>
    <x v="433"/>
    <x v="374"/>
    <x v="9"/>
    <x v="0"/>
    <x v="727"/>
    <x v="725"/>
    <x v="4"/>
    <x v="752"/>
    <x v="7"/>
    <x v="13"/>
    <x v="0"/>
    <x v="2"/>
    <x v="9"/>
    <x v="3"/>
    <x v="7"/>
    <x v="0"/>
    <x v="64"/>
  </r>
  <r>
    <x v="753"/>
    <x v="14"/>
    <n v="2"/>
    <x v="7"/>
    <d v="2015-04-06T00:00:00"/>
    <x v="433"/>
    <x v="374"/>
    <x v="9"/>
    <x v="2"/>
    <x v="728"/>
    <x v="726"/>
    <x v="0"/>
    <x v="753"/>
    <x v="10"/>
    <x v="14"/>
    <x v="2"/>
    <x v="2"/>
    <x v="9"/>
    <x v="3"/>
    <x v="7"/>
    <x v="0"/>
    <x v="78"/>
  </r>
  <r>
    <x v="754"/>
    <x v="45"/>
    <n v="4"/>
    <x v="2"/>
    <d v="2015-04-06T00:00:00"/>
    <x v="433"/>
    <x v="375"/>
    <x v="7"/>
    <x v="1"/>
    <x v="729"/>
    <x v="727"/>
    <x v="0"/>
    <x v="754"/>
    <x v="26"/>
    <x v="45"/>
    <x v="1"/>
    <x v="2"/>
    <x v="9"/>
    <x v="3"/>
    <x v="7"/>
    <x v="0"/>
    <x v="62"/>
  </r>
  <r>
    <x v="755"/>
    <x v="84"/>
    <n v="3"/>
    <x v="3"/>
    <d v="2015-04-06T00:00:00"/>
    <x v="433"/>
    <x v="349"/>
    <x v="4"/>
    <x v="0"/>
    <x v="730"/>
    <x v="728"/>
    <x v="0"/>
    <x v="755"/>
    <x v="18"/>
    <x v="84"/>
    <x v="0"/>
    <x v="2"/>
    <x v="9"/>
    <x v="3"/>
    <x v="7"/>
    <x v="0"/>
    <x v="70"/>
  </r>
  <r>
    <x v="756"/>
    <x v="80"/>
    <n v="3"/>
    <x v="3"/>
    <d v="2015-04-07T00:00:00"/>
    <x v="434"/>
    <x v="376"/>
    <x v="15"/>
    <x v="1"/>
    <x v="731"/>
    <x v="729"/>
    <x v="0"/>
    <x v="756"/>
    <x v="3"/>
    <x v="80"/>
    <x v="1"/>
    <x v="2"/>
    <x v="9"/>
    <x v="3"/>
    <x v="7"/>
    <x v="0"/>
    <x v="88"/>
  </r>
  <r>
    <x v="757"/>
    <x v="83"/>
    <n v="2"/>
    <x v="7"/>
    <d v="2015-04-07T00:00:00"/>
    <x v="434"/>
    <x v="366"/>
    <x v="6"/>
    <x v="1"/>
    <x v="361"/>
    <x v="730"/>
    <x v="0"/>
    <x v="757"/>
    <x v="33"/>
    <x v="83"/>
    <x v="1"/>
    <x v="2"/>
    <x v="9"/>
    <x v="3"/>
    <x v="7"/>
    <x v="0"/>
    <x v="70"/>
  </r>
  <r>
    <x v="758"/>
    <x v="79"/>
    <n v="3"/>
    <x v="3"/>
    <d v="2015-04-07T00:00:00"/>
    <x v="434"/>
    <x v="377"/>
    <x v="9"/>
    <x v="2"/>
    <x v="732"/>
    <x v="731"/>
    <x v="0"/>
    <x v="758"/>
    <x v="20"/>
    <x v="79"/>
    <x v="2"/>
    <x v="2"/>
    <x v="9"/>
    <x v="3"/>
    <x v="7"/>
    <x v="0"/>
    <x v="70"/>
  </r>
  <r>
    <x v="759"/>
    <x v="50"/>
    <n v="8"/>
    <x v="6"/>
    <d v="2015-04-08T00:00:00"/>
    <x v="425"/>
    <x v="373"/>
    <x v="1"/>
    <x v="2"/>
    <x v="733"/>
    <x v="732"/>
    <x v="0"/>
    <x v="759"/>
    <x v="12"/>
    <x v="50"/>
    <x v="2"/>
    <x v="2"/>
    <x v="9"/>
    <x v="3"/>
    <x v="7"/>
    <x v="0"/>
    <x v="98"/>
  </r>
  <r>
    <x v="760"/>
    <x v="9"/>
    <n v="7"/>
    <x v="8"/>
    <d v="2015-04-08T00:00:00"/>
    <x v="425"/>
    <x v="378"/>
    <x v="35"/>
    <x v="0"/>
    <x v="734"/>
    <x v="733"/>
    <x v="1"/>
    <x v="760"/>
    <x v="24"/>
    <x v="9"/>
    <x v="0"/>
    <x v="2"/>
    <x v="9"/>
    <x v="3"/>
    <x v="7"/>
    <x v="1"/>
    <x v="55"/>
  </r>
  <r>
    <x v="761"/>
    <x v="36"/>
    <n v="2"/>
    <x v="7"/>
    <d v="2015-04-08T00:00:00"/>
    <x v="425"/>
    <x v="366"/>
    <x v="4"/>
    <x v="1"/>
    <x v="735"/>
    <x v="734"/>
    <x v="0"/>
    <x v="761"/>
    <x v="0"/>
    <x v="36"/>
    <x v="1"/>
    <x v="2"/>
    <x v="9"/>
    <x v="3"/>
    <x v="7"/>
    <x v="2"/>
    <x v="54"/>
  </r>
  <r>
    <x v="762"/>
    <x v="30"/>
    <n v="2"/>
    <x v="7"/>
    <d v="2015-04-09T00:00:00"/>
    <x v="435"/>
    <x v="371"/>
    <x v="0"/>
    <x v="2"/>
    <x v="736"/>
    <x v="735"/>
    <x v="0"/>
    <x v="762"/>
    <x v="5"/>
    <x v="30"/>
    <x v="2"/>
    <x v="2"/>
    <x v="9"/>
    <x v="3"/>
    <x v="7"/>
    <x v="0"/>
    <x v="78"/>
  </r>
  <r>
    <x v="763"/>
    <x v="85"/>
    <n v="3"/>
    <x v="3"/>
    <d v="2015-04-09T00:00:00"/>
    <x v="435"/>
    <x v="373"/>
    <x v="2"/>
    <x v="1"/>
    <x v="632"/>
    <x v="736"/>
    <x v="1"/>
    <x v="763"/>
    <x v="4"/>
    <x v="85"/>
    <x v="1"/>
    <x v="2"/>
    <x v="9"/>
    <x v="3"/>
    <x v="7"/>
    <x v="0"/>
    <x v="104"/>
  </r>
  <r>
    <x v="764"/>
    <x v="17"/>
    <n v="1"/>
    <x v="5"/>
    <d v="2015-04-09T00:00:00"/>
    <x v="426"/>
    <x v="369"/>
    <x v="9"/>
    <x v="0"/>
    <x v="737"/>
    <x v="737"/>
    <x v="1"/>
    <x v="764"/>
    <x v="8"/>
    <x v="17"/>
    <x v="0"/>
    <x v="2"/>
    <x v="9"/>
    <x v="3"/>
    <x v="7"/>
    <x v="0"/>
    <x v="93"/>
  </r>
  <r>
    <x v="765"/>
    <x v="27"/>
    <n v="2"/>
    <x v="7"/>
    <d v="2015-04-09T00:00:00"/>
    <x v="435"/>
    <x v="366"/>
    <x v="13"/>
    <x v="1"/>
    <x v="738"/>
    <x v="738"/>
    <x v="0"/>
    <x v="765"/>
    <x v="2"/>
    <x v="27"/>
    <x v="1"/>
    <x v="2"/>
    <x v="9"/>
    <x v="3"/>
    <x v="7"/>
    <x v="0"/>
    <x v="97"/>
  </r>
  <r>
    <x v="766"/>
    <x v="67"/>
    <n v="2"/>
    <x v="7"/>
    <d v="2015-04-10T00:00:00"/>
    <x v="427"/>
    <x v="377"/>
    <x v="1"/>
    <x v="0"/>
    <x v="739"/>
    <x v="739"/>
    <x v="5"/>
    <x v="766"/>
    <x v="31"/>
    <x v="67"/>
    <x v="0"/>
    <x v="2"/>
    <x v="9"/>
    <x v="3"/>
    <x v="7"/>
    <x v="0"/>
    <x v="83"/>
  </r>
  <r>
    <x v="767"/>
    <x v="65"/>
    <n v="2"/>
    <x v="7"/>
    <d v="2015-04-10T00:00:00"/>
    <x v="428"/>
    <x v="376"/>
    <x v="7"/>
    <x v="2"/>
    <x v="740"/>
    <x v="740"/>
    <x v="0"/>
    <x v="767"/>
    <x v="6"/>
    <x v="65"/>
    <x v="2"/>
    <x v="2"/>
    <x v="9"/>
    <x v="3"/>
    <x v="7"/>
    <x v="0"/>
    <x v="74"/>
  </r>
  <r>
    <x v="768"/>
    <x v="55"/>
    <n v="9"/>
    <x v="4"/>
    <d v="2015-04-10T00:00:00"/>
    <x v="427"/>
    <x v="373"/>
    <x v="6"/>
    <x v="2"/>
    <x v="741"/>
    <x v="741"/>
    <x v="0"/>
    <x v="768"/>
    <x v="6"/>
    <x v="55"/>
    <x v="2"/>
    <x v="2"/>
    <x v="9"/>
    <x v="3"/>
    <x v="7"/>
    <x v="0"/>
    <x v="76"/>
  </r>
  <r>
    <x v="769"/>
    <x v="9"/>
    <n v="9"/>
    <x v="4"/>
    <d v="2015-04-13T00:00:00"/>
    <x v="436"/>
    <x v="376"/>
    <x v="3"/>
    <x v="2"/>
    <x v="742"/>
    <x v="742"/>
    <x v="0"/>
    <x v="769"/>
    <x v="7"/>
    <x v="9"/>
    <x v="2"/>
    <x v="2"/>
    <x v="9"/>
    <x v="3"/>
    <x v="7"/>
    <x v="0"/>
    <x v="5"/>
  </r>
  <r>
    <x v="770"/>
    <x v="38"/>
    <n v="4"/>
    <x v="2"/>
    <d v="2015-04-13T00:00:00"/>
    <x v="436"/>
    <x v="375"/>
    <x v="6"/>
    <x v="2"/>
    <x v="743"/>
    <x v="743"/>
    <x v="0"/>
    <x v="770"/>
    <x v="5"/>
    <x v="38"/>
    <x v="2"/>
    <x v="2"/>
    <x v="9"/>
    <x v="3"/>
    <x v="7"/>
    <x v="0"/>
    <x v="75"/>
  </r>
  <r>
    <x v="771"/>
    <x v="73"/>
    <n v="6"/>
    <x v="1"/>
    <d v="2015-04-13T00:00:00"/>
    <x v="436"/>
    <x v="378"/>
    <x v="35"/>
    <x v="0"/>
    <x v="744"/>
    <x v="744"/>
    <x v="0"/>
    <x v="771"/>
    <x v="35"/>
    <x v="73"/>
    <x v="0"/>
    <x v="2"/>
    <x v="9"/>
    <x v="3"/>
    <x v="7"/>
    <x v="1"/>
    <x v="102"/>
  </r>
  <r>
    <x v="772"/>
    <x v="11"/>
    <n v="2"/>
    <x v="7"/>
    <d v="2015-04-14T00:00:00"/>
    <x v="437"/>
    <x v="375"/>
    <x v="4"/>
    <x v="2"/>
    <x v="745"/>
    <x v="745"/>
    <x v="2"/>
    <x v="772"/>
    <x v="13"/>
    <x v="11"/>
    <x v="2"/>
    <x v="2"/>
    <x v="9"/>
    <x v="3"/>
    <x v="7"/>
    <x v="2"/>
    <x v="69"/>
  </r>
  <r>
    <x v="773"/>
    <x v="21"/>
    <n v="3"/>
    <x v="3"/>
    <d v="2015-04-14T00:00:00"/>
    <x v="437"/>
    <x v="371"/>
    <x v="3"/>
    <x v="1"/>
    <x v="746"/>
    <x v="746"/>
    <x v="4"/>
    <x v="773"/>
    <x v="38"/>
    <x v="21"/>
    <x v="1"/>
    <x v="2"/>
    <x v="9"/>
    <x v="3"/>
    <x v="7"/>
    <x v="0"/>
    <x v="59"/>
  </r>
  <r>
    <x v="774"/>
    <x v="2"/>
    <n v="9"/>
    <x v="4"/>
    <d v="2015-04-14T00:00:00"/>
    <x v="437"/>
    <x v="379"/>
    <x v="27"/>
    <x v="2"/>
    <x v="54"/>
    <x v="747"/>
    <x v="0"/>
    <x v="774"/>
    <x v="11"/>
    <x v="2"/>
    <x v="2"/>
    <x v="2"/>
    <x v="9"/>
    <x v="3"/>
    <x v="7"/>
    <x v="0"/>
    <x v="93"/>
  </r>
  <r>
    <x v="775"/>
    <x v="31"/>
    <n v="1"/>
    <x v="5"/>
    <d v="2015-04-14T00:00:00"/>
    <x v="418"/>
    <x v="364"/>
    <x v="7"/>
    <x v="2"/>
    <x v="747"/>
    <x v="616"/>
    <x v="0"/>
    <x v="775"/>
    <x v="18"/>
    <x v="31"/>
    <x v="2"/>
    <x v="2"/>
    <x v="9"/>
    <x v="3"/>
    <x v="7"/>
    <x v="0"/>
    <x v="78"/>
  </r>
  <r>
    <x v="776"/>
    <x v="58"/>
    <n v="4"/>
    <x v="2"/>
    <d v="2015-04-15T00:00:00"/>
    <x v="429"/>
    <x v="376"/>
    <x v="1"/>
    <x v="1"/>
    <x v="748"/>
    <x v="748"/>
    <x v="0"/>
    <x v="776"/>
    <x v="0"/>
    <x v="58"/>
    <x v="1"/>
    <x v="2"/>
    <x v="9"/>
    <x v="3"/>
    <x v="7"/>
    <x v="0"/>
    <x v="88"/>
  </r>
  <r>
    <x v="777"/>
    <x v="16"/>
    <n v="6"/>
    <x v="1"/>
    <d v="2015-04-15T00:00:00"/>
    <x v="429"/>
    <x v="364"/>
    <x v="12"/>
    <x v="0"/>
    <x v="749"/>
    <x v="749"/>
    <x v="5"/>
    <x v="777"/>
    <x v="2"/>
    <x v="16"/>
    <x v="0"/>
    <x v="2"/>
    <x v="9"/>
    <x v="3"/>
    <x v="7"/>
    <x v="0"/>
    <x v="70"/>
  </r>
  <r>
    <x v="778"/>
    <x v="70"/>
    <n v="4"/>
    <x v="2"/>
    <d v="2015-04-15T00:00:00"/>
    <x v="429"/>
    <x v="380"/>
    <x v="15"/>
    <x v="1"/>
    <x v="750"/>
    <x v="750"/>
    <x v="0"/>
    <x v="778"/>
    <x v="20"/>
    <x v="70"/>
    <x v="1"/>
    <x v="2"/>
    <x v="9"/>
    <x v="3"/>
    <x v="7"/>
    <x v="0"/>
    <x v="67"/>
  </r>
  <r>
    <x v="779"/>
    <x v="66"/>
    <n v="1"/>
    <x v="5"/>
    <d v="2015-04-16T00:00:00"/>
    <x v="438"/>
    <x v="376"/>
    <x v="2"/>
    <x v="1"/>
    <x v="751"/>
    <x v="751"/>
    <x v="4"/>
    <x v="779"/>
    <x v="12"/>
    <x v="66"/>
    <x v="1"/>
    <x v="2"/>
    <x v="9"/>
    <x v="3"/>
    <x v="7"/>
    <x v="0"/>
    <x v="54"/>
  </r>
  <r>
    <x v="780"/>
    <x v="44"/>
    <n v="2"/>
    <x v="7"/>
    <d v="2015-04-16T00:00:00"/>
    <x v="438"/>
    <x v="381"/>
    <x v="5"/>
    <x v="1"/>
    <x v="752"/>
    <x v="752"/>
    <x v="0"/>
    <x v="780"/>
    <x v="11"/>
    <x v="44"/>
    <x v="1"/>
    <x v="2"/>
    <x v="9"/>
    <x v="3"/>
    <x v="7"/>
    <x v="0"/>
    <x v="46"/>
  </r>
  <r>
    <x v="781"/>
    <x v="5"/>
    <n v="4"/>
    <x v="2"/>
    <d v="2015-04-16T00:00:00"/>
    <x v="438"/>
    <x v="382"/>
    <x v="8"/>
    <x v="1"/>
    <x v="753"/>
    <x v="753"/>
    <x v="0"/>
    <x v="781"/>
    <x v="5"/>
    <x v="5"/>
    <x v="1"/>
    <x v="2"/>
    <x v="9"/>
    <x v="3"/>
    <x v="7"/>
    <x v="0"/>
    <x v="75"/>
  </r>
  <r>
    <x v="782"/>
    <x v="45"/>
    <n v="7"/>
    <x v="8"/>
    <d v="2015-04-17T00:00:00"/>
    <x v="431"/>
    <x v="382"/>
    <x v="7"/>
    <x v="2"/>
    <x v="754"/>
    <x v="754"/>
    <x v="4"/>
    <x v="782"/>
    <x v="16"/>
    <x v="45"/>
    <x v="2"/>
    <x v="2"/>
    <x v="9"/>
    <x v="3"/>
    <x v="7"/>
    <x v="0"/>
    <x v="59"/>
  </r>
  <r>
    <x v="783"/>
    <x v="45"/>
    <n v="6"/>
    <x v="1"/>
    <d v="2015-04-17T00:00:00"/>
    <x v="431"/>
    <x v="364"/>
    <x v="3"/>
    <x v="2"/>
    <x v="755"/>
    <x v="755"/>
    <x v="0"/>
    <x v="783"/>
    <x v="15"/>
    <x v="45"/>
    <x v="2"/>
    <x v="2"/>
    <x v="9"/>
    <x v="3"/>
    <x v="7"/>
    <x v="0"/>
    <x v="70"/>
  </r>
  <r>
    <x v="784"/>
    <x v="19"/>
    <n v="2"/>
    <x v="7"/>
    <d v="2015-04-17T00:00:00"/>
    <x v="431"/>
    <x v="367"/>
    <x v="5"/>
    <x v="0"/>
    <x v="756"/>
    <x v="756"/>
    <x v="0"/>
    <x v="784"/>
    <x v="11"/>
    <x v="19"/>
    <x v="0"/>
    <x v="2"/>
    <x v="9"/>
    <x v="3"/>
    <x v="7"/>
    <x v="0"/>
    <x v="59"/>
  </r>
  <r>
    <x v="785"/>
    <x v="6"/>
    <n v="7"/>
    <x v="8"/>
    <d v="2015-04-17T00:00:00"/>
    <x v="431"/>
    <x v="367"/>
    <x v="5"/>
    <x v="0"/>
    <x v="757"/>
    <x v="757"/>
    <x v="5"/>
    <x v="785"/>
    <x v="24"/>
    <x v="6"/>
    <x v="0"/>
    <x v="2"/>
    <x v="9"/>
    <x v="3"/>
    <x v="7"/>
    <x v="0"/>
    <x v="94"/>
  </r>
  <r>
    <x v="786"/>
    <x v="37"/>
    <n v="8"/>
    <x v="6"/>
    <d v="2015-04-20T00:00:00"/>
    <x v="439"/>
    <x v="382"/>
    <x v="3"/>
    <x v="1"/>
    <x v="758"/>
    <x v="758"/>
    <x v="5"/>
    <x v="786"/>
    <x v="6"/>
    <x v="37"/>
    <x v="1"/>
    <x v="2"/>
    <x v="9"/>
    <x v="3"/>
    <x v="7"/>
    <x v="0"/>
    <x v="5"/>
  </r>
  <r>
    <x v="787"/>
    <x v="4"/>
    <n v="2"/>
    <x v="7"/>
    <d v="2015-04-20T00:00:00"/>
    <x v="440"/>
    <x v="364"/>
    <x v="2"/>
    <x v="2"/>
    <x v="759"/>
    <x v="759"/>
    <x v="0"/>
    <x v="787"/>
    <x v="2"/>
    <x v="4"/>
    <x v="2"/>
    <x v="2"/>
    <x v="9"/>
    <x v="3"/>
    <x v="7"/>
    <x v="0"/>
    <x v="70"/>
  </r>
  <r>
    <x v="788"/>
    <x v="57"/>
    <n v="8"/>
    <x v="6"/>
    <d v="2015-04-20T00:00:00"/>
    <x v="440"/>
    <x v="381"/>
    <x v="4"/>
    <x v="0"/>
    <x v="760"/>
    <x v="760"/>
    <x v="0"/>
    <x v="788"/>
    <x v="23"/>
    <x v="57"/>
    <x v="0"/>
    <x v="2"/>
    <x v="9"/>
    <x v="3"/>
    <x v="7"/>
    <x v="0"/>
    <x v="62"/>
  </r>
  <r>
    <x v="789"/>
    <x v="36"/>
    <n v="7"/>
    <x v="8"/>
    <d v="2015-04-21T00:00:00"/>
    <x v="441"/>
    <x v="382"/>
    <x v="5"/>
    <x v="1"/>
    <x v="761"/>
    <x v="761"/>
    <x v="0"/>
    <x v="789"/>
    <x v="18"/>
    <x v="36"/>
    <x v="1"/>
    <x v="2"/>
    <x v="9"/>
    <x v="3"/>
    <x v="7"/>
    <x v="0"/>
    <x v="77"/>
  </r>
  <r>
    <x v="790"/>
    <x v="4"/>
    <n v="1"/>
    <x v="5"/>
    <d v="2015-04-21T00:00:00"/>
    <x v="441"/>
    <x v="383"/>
    <x v="12"/>
    <x v="2"/>
    <x v="752"/>
    <x v="762"/>
    <x v="3"/>
    <x v="790"/>
    <x v="21"/>
    <x v="4"/>
    <x v="2"/>
    <x v="2"/>
    <x v="9"/>
    <x v="3"/>
    <x v="7"/>
    <x v="0"/>
    <x v="95"/>
  </r>
  <r>
    <x v="791"/>
    <x v="67"/>
    <n v="1"/>
    <x v="5"/>
    <d v="2015-04-21T00:00:00"/>
    <x v="441"/>
    <x v="378"/>
    <x v="35"/>
    <x v="2"/>
    <x v="762"/>
    <x v="763"/>
    <x v="0"/>
    <x v="791"/>
    <x v="5"/>
    <x v="67"/>
    <x v="2"/>
    <x v="2"/>
    <x v="9"/>
    <x v="3"/>
    <x v="7"/>
    <x v="1"/>
    <x v="55"/>
  </r>
  <r>
    <x v="792"/>
    <x v="79"/>
    <n v="4"/>
    <x v="2"/>
    <d v="2015-04-22T00:00:00"/>
    <x v="442"/>
    <x v="378"/>
    <x v="35"/>
    <x v="0"/>
    <x v="763"/>
    <x v="268"/>
    <x v="0"/>
    <x v="792"/>
    <x v="5"/>
    <x v="79"/>
    <x v="0"/>
    <x v="2"/>
    <x v="9"/>
    <x v="3"/>
    <x v="7"/>
    <x v="2"/>
    <x v="5"/>
  </r>
  <r>
    <x v="793"/>
    <x v="5"/>
    <n v="3"/>
    <x v="3"/>
    <d v="2015-04-22T00:00:00"/>
    <x v="442"/>
    <x v="380"/>
    <x v="5"/>
    <x v="2"/>
    <x v="764"/>
    <x v="764"/>
    <x v="3"/>
    <x v="793"/>
    <x v="12"/>
    <x v="5"/>
    <x v="2"/>
    <x v="2"/>
    <x v="9"/>
    <x v="3"/>
    <x v="7"/>
    <x v="2"/>
    <x v="59"/>
  </r>
  <r>
    <x v="794"/>
    <x v="32"/>
    <n v="2"/>
    <x v="7"/>
    <d v="2015-04-22T00:00:00"/>
    <x v="425"/>
    <x v="384"/>
    <x v="12"/>
    <x v="1"/>
    <x v="765"/>
    <x v="765"/>
    <x v="0"/>
    <x v="794"/>
    <x v="6"/>
    <x v="32"/>
    <x v="1"/>
    <x v="2"/>
    <x v="9"/>
    <x v="3"/>
    <x v="7"/>
    <x v="0"/>
    <x v="84"/>
  </r>
  <r>
    <x v="795"/>
    <x v="87"/>
    <n v="5"/>
    <x v="0"/>
    <d v="2015-04-22T00:00:00"/>
    <x v="442"/>
    <x v="385"/>
    <x v="3"/>
    <x v="2"/>
    <x v="766"/>
    <x v="293"/>
    <x v="0"/>
    <x v="795"/>
    <x v="2"/>
    <x v="87"/>
    <x v="2"/>
    <x v="2"/>
    <x v="9"/>
    <x v="3"/>
    <x v="7"/>
    <x v="0"/>
    <x v="72"/>
  </r>
  <r>
    <x v="796"/>
    <x v="63"/>
    <n v="4"/>
    <x v="2"/>
    <d v="2015-04-23T00:00:00"/>
    <x v="443"/>
    <x v="384"/>
    <x v="9"/>
    <x v="1"/>
    <x v="767"/>
    <x v="766"/>
    <x v="0"/>
    <x v="796"/>
    <x v="0"/>
    <x v="63"/>
    <x v="1"/>
    <x v="2"/>
    <x v="9"/>
    <x v="3"/>
    <x v="7"/>
    <x v="0"/>
    <x v="60"/>
  </r>
  <r>
    <x v="797"/>
    <x v="66"/>
    <n v="6"/>
    <x v="1"/>
    <d v="2015-04-23T00:00:00"/>
    <x v="443"/>
    <x v="378"/>
    <x v="35"/>
    <x v="2"/>
    <x v="768"/>
    <x v="767"/>
    <x v="0"/>
    <x v="797"/>
    <x v="6"/>
    <x v="66"/>
    <x v="2"/>
    <x v="2"/>
    <x v="9"/>
    <x v="3"/>
    <x v="7"/>
    <x v="1"/>
    <x v="85"/>
  </r>
  <r>
    <x v="798"/>
    <x v="35"/>
    <n v="8"/>
    <x v="6"/>
    <d v="2015-04-23T00:00:00"/>
    <x v="443"/>
    <x v="364"/>
    <x v="13"/>
    <x v="2"/>
    <x v="769"/>
    <x v="768"/>
    <x v="1"/>
    <x v="798"/>
    <x v="5"/>
    <x v="35"/>
    <x v="2"/>
    <x v="2"/>
    <x v="9"/>
    <x v="3"/>
    <x v="7"/>
    <x v="2"/>
    <x v="75"/>
  </r>
  <r>
    <x v="799"/>
    <x v="58"/>
    <n v="7"/>
    <x v="8"/>
    <d v="2015-04-24T00:00:00"/>
    <x v="444"/>
    <x v="384"/>
    <x v="3"/>
    <x v="0"/>
    <x v="770"/>
    <x v="769"/>
    <x v="4"/>
    <x v="799"/>
    <x v="7"/>
    <x v="58"/>
    <x v="0"/>
    <x v="2"/>
    <x v="9"/>
    <x v="3"/>
    <x v="7"/>
    <x v="0"/>
    <x v="70"/>
  </r>
  <r>
    <x v="800"/>
    <x v="66"/>
    <n v="7"/>
    <x v="8"/>
    <d v="2015-04-24T00:00:00"/>
    <x v="444"/>
    <x v="383"/>
    <x v="5"/>
    <x v="0"/>
    <x v="771"/>
    <x v="770"/>
    <x v="0"/>
    <x v="800"/>
    <x v="29"/>
    <x v="66"/>
    <x v="0"/>
    <x v="2"/>
    <x v="9"/>
    <x v="3"/>
    <x v="7"/>
    <x v="0"/>
    <x v="76"/>
  </r>
  <r>
    <x v="801"/>
    <x v="71"/>
    <n v="3"/>
    <x v="3"/>
    <d v="2015-04-24T00:00:00"/>
    <x v="444"/>
    <x v="379"/>
    <x v="7"/>
    <x v="1"/>
    <x v="772"/>
    <x v="771"/>
    <x v="3"/>
    <x v="801"/>
    <x v="2"/>
    <x v="71"/>
    <x v="1"/>
    <x v="2"/>
    <x v="9"/>
    <x v="3"/>
    <x v="7"/>
    <x v="0"/>
    <x v="59"/>
  </r>
  <r>
    <x v="802"/>
    <x v="14"/>
    <n v="8"/>
    <x v="6"/>
    <d v="2015-04-27T00:00:00"/>
    <x v="445"/>
    <x v="386"/>
    <x v="9"/>
    <x v="2"/>
    <x v="773"/>
    <x v="772"/>
    <x v="5"/>
    <x v="802"/>
    <x v="8"/>
    <x v="14"/>
    <x v="2"/>
    <x v="2"/>
    <x v="9"/>
    <x v="3"/>
    <x v="7"/>
    <x v="0"/>
    <x v="70"/>
  </r>
  <r>
    <x v="803"/>
    <x v="53"/>
    <n v="7"/>
    <x v="8"/>
    <d v="2015-04-27T00:00:00"/>
    <x v="445"/>
    <x v="378"/>
    <x v="35"/>
    <x v="0"/>
    <x v="774"/>
    <x v="619"/>
    <x v="3"/>
    <x v="803"/>
    <x v="2"/>
    <x v="53"/>
    <x v="0"/>
    <x v="2"/>
    <x v="9"/>
    <x v="3"/>
    <x v="7"/>
    <x v="1"/>
    <x v="54"/>
  </r>
  <r>
    <x v="804"/>
    <x v="2"/>
    <n v="3"/>
    <x v="3"/>
    <d v="2015-04-27T00:00:00"/>
    <x v="445"/>
    <x v="384"/>
    <x v="2"/>
    <x v="1"/>
    <x v="775"/>
    <x v="773"/>
    <x v="3"/>
    <x v="804"/>
    <x v="12"/>
    <x v="2"/>
    <x v="1"/>
    <x v="2"/>
    <x v="9"/>
    <x v="3"/>
    <x v="7"/>
    <x v="2"/>
    <x v="61"/>
  </r>
  <r>
    <x v="805"/>
    <x v="54"/>
    <n v="2"/>
    <x v="7"/>
    <d v="2015-04-27T00:00:00"/>
    <x v="445"/>
    <x v="385"/>
    <x v="4"/>
    <x v="2"/>
    <x v="641"/>
    <x v="774"/>
    <x v="3"/>
    <x v="805"/>
    <x v="11"/>
    <x v="54"/>
    <x v="2"/>
    <x v="2"/>
    <x v="9"/>
    <x v="3"/>
    <x v="7"/>
    <x v="0"/>
    <x v="67"/>
  </r>
  <r>
    <x v="806"/>
    <x v="78"/>
    <n v="8"/>
    <x v="6"/>
    <d v="2015-04-28T00:00:00"/>
    <x v="446"/>
    <x v="378"/>
    <x v="35"/>
    <x v="1"/>
    <x v="776"/>
    <x v="775"/>
    <x v="0"/>
    <x v="806"/>
    <x v="2"/>
    <x v="78"/>
    <x v="1"/>
    <x v="2"/>
    <x v="9"/>
    <x v="3"/>
    <x v="7"/>
    <x v="1"/>
    <x v="85"/>
  </r>
  <r>
    <x v="807"/>
    <x v="8"/>
    <n v="7"/>
    <x v="8"/>
    <d v="2015-04-28T00:00:00"/>
    <x v="446"/>
    <x v="386"/>
    <x v="3"/>
    <x v="2"/>
    <x v="777"/>
    <x v="776"/>
    <x v="0"/>
    <x v="807"/>
    <x v="6"/>
    <x v="8"/>
    <x v="2"/>
    <x v="2"/>
    <x v="9"/>
    <x v="3"/>
    <x v="7"/>
    <x v="2"/>
    <x v="54"/>
  </r>
  <r>
    <x v="808"/>
    <x v="58"/>
    <n v="8"/>
    <x v="6"/>
    <d v="2015-04-28T00:00:00"/>
    <x v="437"/>
    <x v="384"/>
    <x v="6"/>
    <x v="2"/>
    <x v="778"/>
    <x v="777"/>
    <x v="0"/>
    <x v="808"/>
    <x v="4"/>
    <x v="58"/>
    <x v="2"/>
    <x v="2"/>
    <x v="9"/>
    <x v="3"/>
    <x v="7"/>
    <x v="0"/>
    <x v="78"/>
  </r>
  <r>
    <x v="809"/>
    <x v="77"/>
    <n v="3"/>
    <x v="3"/>
    <d v="2015-04-29T00:00:00"/>
    <x v="447"/>
    <x v="384"/>
    <x v="4"/>
    <x v="0"/>
    <x v="779"/>
    <x v="421"/>
    <x v="0"/>
    <x v="809"/>
    <x v="35"/>
    <x v="77"/>
    <x v="0"/>
    <x v="2"/>
    <x v="9"/>
    <x v="3"/>
    <x v="7"/>
    <x v="0"/>
    <x v="77"/>
  </r>
  <r>
    <x v="810"/>
    <x v="76"/>
    <n v="9"/>
    <x v="4"/>
    <d v="2015-04-29T00:00:00"/>
    <x v="447"/>
    <x v="378"/>
    <x v="35"/>
    <x v="0"/>
    <x v="780"/>
    <x v="646"/>
    <x v="0"/>
    <x v="810"/>
    <x v="35"/>
    <x v="76"/>
    <x v="0"/>
    <x v="2"/>
    <x v="9"/>
    <x v="3"/>
    <x v="7"/>
    <x v="1"/>
    <x v="5"/>
  </r>
  <r>
    <x v="811"/>
    <x v="29"/>
    <n v="2"/>
    <x v="7"/>
    <d v="2015-04-29T00:00:00"/>
    <x v="448"/>
    <x v="378"/>
    <x v="35"/>
    <x v="2"/>
    <x v="781"/>
    <x v="778"/>
    <x v="0"/>
    <x v="811"/>
    <x v="12"/>
    <x v="29"/>
    <x v="2"/>
    <x v="2"/>
    <x v="9"/>
    <x v="3"/>
    <x v="7"/>
    <x v="2"/>
    <x v="62"/>
  </r>
  <r>
    <x v="812"/>
    <x v="70"/>
    <n v="2"/>
    <x v="7"/>
    <d v="2015-04-30T00:00:00"/>
    <x v="449"/>
    <x v="379"/>
    <x v="2"/>
    <x v="2"/>
    <x v="782"/>
    <x v="779"/>
    <x v="0"/>
    <x v="812"/>
    <x v="18"/>
    <x v="70"/>
    <x v="2"/>
    <x v="2"/>
    <x v="9"/>
    <x v="3"/>
    <x v="7"/>
    <x v="2"/>
    <x v="106"/>
  </r>
  <r>
    <x v="813"/>
    <x v="79"/>
    <n v="4"/>
    <x v="2"/>
    <d v="2015-04-30T00:00:00"/>
    <x v="450"/>
    <x v="378"/>
    <x v="35"/>
    <x v="0"/>
    <x v="709"/>
    <x v="780"/>
    <x v="0"/>
    <x v="813"/>
    <x v="6"/>
    <x v="79"/>
    <x v="0"/>
    <x v="2"/>
    <x v="9"/>
    <x v="3"/>
    <x v="7"/>
    <x v="1"/>
    <x v="106"/>
  </r>
  <r>
    <x v="814"/>
    <x v="30"/>
    <n v="4"/>
    <x v="2"/>
    <d v="2015-04-30T00:00:00"/>
    <x v="449"/>
    <x v="378"/>
    <x v="35"/>
    <x v="2"/>
    <x v="783"/>
    <x v="781"/>
    <x v="3"/>
    <x v="814"/>
    <x v="2"/>
    <x v="30"/>
    <x v="2"/>
    <x v="2"/>
    <x v="9"/>
    <x v="3"/>
    <x v="7"/>
    <x v="2"/>
    <x v="94"/>
  </r>
  <r>
    <x v="815"/>
    <x v="34"/>
    <n v="3"/>
    <x v="3"/>
    <d v="2015-04-30T00:00:00"/>
    <x v="449"/>
    <x v="387"/>
    <x v="5"/>
    <x v="2"/>
    <x v="784"/>
    <x v="782"/>
    <x v="0"/>
    <x v="815"/>
    <x v="12"/>
    <x v="34"/>
    <x v="2"/>
    <x v="2"/>
    <x v="9"/>
    <x v="3"/>
    <x v="7"/>
    <x v="2"/>
    <x v="0"/>
  </r>
  <r>
    <x v="816"/>
    <x v="45"/>
    <n v="1"/>
    <x v="5"/>
    <d v="2015-05-01T00:00:00"/>
    <x v="451"/>
    <x v="379"/>
    <x v="6"/>
    <x v="1"/>
    <x v="785"/>
    <x v="783"/>
    <x v="5"/>
    <x v="816"/>
    <x v="47"/>
    <x v="45"/>
    <x v="1"/>
    <x v="2"/>
    <x v="10"/>
    <x v="3"/>
    <x v="7"/>
    <x v="0"/>
    <x v="71"/>
  </r>
  <r>
    <x v="817"/>
    <x v="28"/>
    <n v="8"/>
    <x v="6"/>
    <d v="2015-05-01T00:00:00"/>
    <x v="451"/>
    <x v="378"/>
    <x v="35"/>
    <x v="1"/>
    <x v="786"/>
    <x v="784"/>
    <x v="4"/>
    <x v="817"/>
    <x v="18"/>
    <x v="28"/>
    <x v="1"/>
    <x v="2"/>
    <x v="10"/>
    <x v="3"/>
    <x v="7"/>
    <x v="1"/>
    <x v="74"/>
  </r>
  <r>
    <x v="818"/>
    <x v="19"/>
    <n v="7"/>
    <x v="8"/>
    <d v="2015-05-01T00:00:00"/>
    <x v="451"/>
    <x v="379"/>
    <x v="6"/>
    <x v="2"/>
    <x v="787"/>
    <x v="785"/>
    <x v="0"/>
    <x v="818"/>
    <x v="35"/>
    <x v="19"/>
    <x v="2"/>
    <x v="2"/>
    <x v="10"/>
    <x v="3"/>
    <x v="7"/>
    <x v="2"/>
    <x v="79"/>
  </r>
  <r>
    <x v="819"/>
    <x v="57"/>
    <n v="1"/>
    <x v="5"/>
    <d v="2015-05-04T00:00:00"/>
    <x v="440"/>
    <x v="387"/>
    <x v="4"/>
    <x v="2"/>
    <x v="788"/>
    <x v="786"/>
    <x v="0"/>
    <x v="819"/>
    <x v="1"/>
    <x v="57"/>
    <x v="2"/>
    <x v="2"/>
    <x v="10"/>
    <x v="3"/>
    <x v="7"/>
    <x v="0"/>
    <x v="83"/>
  </r>
  <r>
    <x v="820"/>
    <x v="62"/>
    <n v="8"/>
    <x v="6"/>
    <d v="2015-05-04T00:00:00"/>
    <x v="439"/>
    <x v="378"/>
    <x v="35"/>
    <x v="2"/>
    <x v="789"/>
    <x v="787"/>
    <x v="2"/>
    <x v="820"/>
    <x v="20"/>
    <x v="62"/>
    <x v="2"/>
    <x v="2"/>
    <x v="10"/>
    <x v="3"/>
    <x v="7"/>
    <x v="1"/>
    <x v="55"/>
  </r>
  <r>
    <x v="821"/>
    <x v="23"/>
    <n v="1"/>
    <x v="5"/>
    <d v="2015-05-04T00:00:00"/>
    <x v="439"/>
    <x v="387"/>
    <x v="4"/>
    <x v="2"/>
    <x v="790"/>
    <x v="176"/>
    <x v="0"/>
    <x v="821"/>
    <x v="5"/>
    <x v="23"/>
    <x v="2"/>
    <x v="2"/>
    <x v="10"/>
    <x v="3"/>
    <x v="7"/>
    <x v="2"/>
    <x v="70"/>
  </r>
  <r>
    <x v="822"/>
    <x v="26"/>
    <n v="2"/>
    <x v="7"/>
    <d v="2015-05-05T00:00:00"/>
    <x v="452"/>
    <x v="378"/>
    <x v="35"/>
    <x v="1"/>
    <x v="791"/>
    <x v="788"/>
    <x v="2"/>
    <x v="822"/>
    <x v="4"/>
    <x v="26"/>
    <x v="1"/>
    <x v="2"/>
    <x v="10"/>
    <x v="3"/>
    <x v="7"/>
    <x v="1"/>
    <x v="70"/>
  </r>
  <r>
    <x v="823"/>
    <x v="28"/>
    <n v="1"/>
    <x v="5"/>
    <d v="2015-05-05T00:00:00"/>
    <x v="452"/>
    <x v="378"/>
    <x v="35"/>
    <x v="1"/>
    <x v="792"/>
    <x v="789"/>
    <x v="1"/>
    <x v="823"/>
    <x v="6"/>
    <x v="28"/>
    <x v="1"/>
    <x v="2"/>
    <x v="10"/>
    <x v="3"/>
    <x v="7"/>
    <x v="2"/>
    <x v="78"/>
  </r>
  <r>
    <x v="824"/>
    <x v="9"/>
    <n v="4"/>
    <x v="2"/>
    <d v="2015-05-05T00:00:00"/>
    <x v="452"/>
    <x v="378"/>
    <x v="35"/>
    <x v="2"/>
    <x v="793"/>
    <x v="790"/>
    <x v="0"/>
    <x v="824"/>
    <x v="20"/>
    <x v="9"/>
    <x v="2"/>
    <x v="2"/>
    <x v="10"/>
    <x v="3"/>
    <x v="7"/>
    <x v="2"/>
    <x v="59"/>
  </r>
  <r>
    <x v="825"/>
    <x v="43"/>
    <n v="2"/>
    <x v="7"/>
    <d v="2015-05-05T00:00:00"/>
    <x v="452"/>
    <x v="378"/>
    <x v="35"/>
    <x v="2"/>
    <x v="794"/>
    <x v="791"/>
    <x v="0"/>
    <x v="825"/>
    <x v="2"/>
    <x v="43"/>
    <x v="2"/>
    <x v="2"/>
    <x v="10"/>
    <x v="3"/>
    <x v="7"/>
    <x v="2"/>
    <x v="72"/>
  </r>
  <r>
    <x v="826"/>
    <x v="51"/>
    <n v="7"/>
    <x v="8"/>
    <d v="2015-05-06T00:00:00"/>
    <x v="453"/>
    <x v="378"/>
    <x v="35"/>
    <x v="2"/>
    <x v="795"/>
    <x v="792"/>
    <x v="1"/>
    <x v="826"/>
    <x v="19"/>
    <x v="51"/>
    <x v="2"/>
    <x v="2"/>
    <x v="10"/>
    <x v="3"/>
    <x v="7"/>
    <x v="2"/>
    <x v="79"/>
  </r>
  <r>
    <x v="827"/>
    <x v="6"/>
    <n v="8"/>
    <x v="6"/>
    <d v="2015-05-06T00:00:00"/>
    <x v="453"/>
    <x v="378"/>
    <x v="35"/>
    <x v="2"/>
    <x v="796"/>
    <x v="793"/>
    <x v="2"/>
    <x v="827"/>
    <x v="2"/>
    <x v="6"/>
    <x v="2"/>
    <x v="2"/>
    <x v="10"/>
    <x v="3"/>
    <x v="7"/>
    <x v="2"/>
    <x v="59"/>
  </r>
  <r>
    <x v="828"/>
    <x v="48"/>
    <n v="4"/>
    <x v="2"/>
    <d v="2015-05-06T00:00:00"/>
    <x v="453"/>
    <x v="378"/>
    <x v="35"/>
    <x v="2"/>
    <x v="797"/>
    <x v="794"/>
    <x v="4"/>
    <x v="828"/>
    <x v="5"/>
    <x v="48"/>
    <x v="2"/>
    <x v="2"/>
    <x v="10"/>
    <x v="3"/>
    <x v="7"/>
    <x v="2"/>
    <x v="92"/>
  </r>
  <r>
    <x v="829"/>
    <x v="13"/>
    <n v="1"/>
    <x v="5"/>
    <d v="2015-05-06T00:00:00"/>
    <x v="453"/>
    <x v="378"/>
    <x v="35"/>
    <x v="2"/>
    <x v="798"/>
    <x v="795"/>
    <x v="3"/>
    <x v="829"/>
    <x v="13"/>
    <x v="13"/>
    <x v="2"/>
    <x v="2"/>
    <x v="10"/>
    <x v="3"/>
    <x v="7"/>
    <x v="2"/>
    <x v="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A903EE-FBF5-42FE-B33A-B10AC8B51A15}"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B28" firstHeaderRow="1" firstDataRow="1" firstDataCol="1"/>
  <pivotFields count="8">
    <pivotField numFmtId="1" showAll="0"/>
    <pivotField showAll="0">
      <items count="78">
        <item x="16"/>
        <item x="2"/>
        <item x="39"/>
        <item x="59"/>
        <item x="17"/>
        <item x="0"/>
        <item x="1"/>
        <item x="38"/>
        <item x="3"/>
        <item x="4"/>
        <item x="47"/>
        <item x="3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54"/>
        <item x="15"/>
        <item x="52"/>
        <item x="10"/>
        <item x="11"/>
        <item x="58"/>
        <item x="56"/>
        <item x="74"/>
        <item x="72"/>
        <item x="44"/>
        <item x="27"/>
        <item x="33"/>
        <item x="26"/>
        <item x="67"/>
        <item x="41"/>
        <item x="19"/>
        <item x="20"/>
        <item x="60"/>
        <item x="45"/>
        <item x="34"/>
        <item x="61"/>
        <item x="18"/>
        <item x="28"/>
        <item x="13"/>
        <item x="53"/>
        <item x="22"/>
        <item x="6"/>
        <item x="49"/>
        <item x="62"/>
        <item x="63"/>
        <item x="46"/>
        <item t="default"/>
      </items>
    </pivotField>
    <pivotField showAll="0"/>
    <pivotField numFmtId="1" showAll="0"/>
    <pivotField numFmtId="1"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numFmtId="1" showAll="0"/>
    <pivotField dataField="1" numFmtId="164" showAll="0"/>
  </pivotFields>
  <rowFields count="1">
    <field x="5"/>
  </rowFields>
  <rowItems count="3">
    <i>
      <x v="1"/>
    </i>
    <i>
      <x/>
    </i>
    <i t="grand">
      <x/>
    </i>
  </rowItems>
  <colItems count="1">
    <i/>
  </colItems>
  <dataFields count="1">
    <dataField name="Sum of Sales" fld="7" showDataAs="percentOfTotal" baseField="5" baseItem="0" numFmtId="9"/>
  </dataFields>
  <formats count="1">
    <format dxfId="173">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 chart="2" format="5">
      <pivotArea type="data" outline="0" fieldPosition="0">
        <references count="2">
          <reference field="4294967294" count="1" selected="0">
            <x v="0"/>
          </reference>
          <reference field="5"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AB0110-3CA3-4B61-A27D-C10AC9161281}"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0:B129" firstHeaderRow="1" firstDataRow="1" firstDataCol="1"/>
  <pivotFields count="22">
    <pivotField numFmtId="1" showAll="0"/>
    <pivotField showAll="0"/>
    <pivotField numFmtId="164" showAll="0"/>
    <pivotField showAll="0">
      <items count="10">
        <item x="7"/>
        <item x="4"/>
        <item x="3"/>
        <item x="6"/>
        <item x="2"/>
        <item x="1"/>
        <item x="5"/>
        <item x="8"/>
        <item x="0"/>
        <item t="default"/>
      </items>
    </pivotField>
    <pivotField numFmtId="14" showAll="0"/>
    <pivotField numFmtId="14" showAll="0"/>
    <pivotField showAll="0"/>
    <pivotField showAll="0"/>
    <pivotField numFmtId="1" showAll="0"/>
    <pivotField numFmtId="2" showAll="0"/>
    <pivotField dataField="1" numFmtId="2" showAll="0"/>
    <pivotField showAll="0"/>
    <pivotField numFmtId="2" showAll="0"/>
    <pivotField numFmtId="1" showAll="0"/>
    <pivotField showAll="0">
      <items count="90">
        <item x="85"/>
        <item x="39"/>
        <item x="59"/>
        <item x="55"/>
        <item x="25"/>
        <item x="76"/>
        <item x="15"/>
        <item x="46"/>
        <item x="48"/>
        <item x="66"/>
        <item x="31"/>
        <item x="78"/>
        <item x="10"/>
        <item x="5"/>
        <item x="32"/>
        <item x="72"/>
        <item x="35"/>
        <item x="57"/>
        <item x="41"/>
        <item x="58"/>
        <item x="9"/>
        <item x="52"/>
        <item x="68"/>
        <item x="14"/>
        <item x="86"/>
        <item x="70"/>
        <item x="17"/>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16"/>
        <item x="7"/>
        <item x="19"/>
        <item x="83"/>
        <item x="63"/>
        <item t="default"/>
      </items>
    </pivotField>
    <pivotField showAll="0">
      <items count="4">
        <item x="0"/>
        <item x="1"/>
        <item x="2"/>
        <item t="default"/>
      </items>
    </pivotField>
    <pivotField showAll="0"/>
    <pivotField showAll="0"/>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items count="4">
        <item h="1" x="1"/>
        <item x="0"/>
        <item h="1" x="2"/>
        <item t="default"/>
      </items>
    </pivotField>
    <pivotField showAll="0"/>
  </pivotFields>
  <rowFields count="1">
    <field x="19"/>
  </rowFields>
  <rowItems count="9">
    <i>
      <x v="6"/>
    </i>
    <i>
      <x v="5"/>
    </i>
    <i>
      <x v="4"/>
    </i>
    <i>
      <x v="3"/>
    </i>
    <i>
      <x v="7"/>
    </i>
    <i>
      <x v="2"/>
    </i>
    <i>
      <x v="1"/>
    </i>
    <i>
      <x/>
    </i>
    <i t="grand">
      <x/>
    </i>
  </rowItems>
  <colItems count="1">
    <i/>
  </colItems>
  <dataFields count="1">
    <dataField name="Sum of Sales" fld="10" baseField="0" baseItem="0" numFmtId="165"/>
  </dataFields>
  <formats count="2">
    <format dxfId="175">
      <pivotArea outline="0" collapsedLevelsAreSubtotals="1" fieldPosition="0"/>
    </format>
    <format dxfId="17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85807-1D75-4DE7-A81C-5EE8A571E198}" name="PivotTable9"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0">
  <location ref="A142:B232" firstHeaderRow="1" firstDataRow="1" firstDataCol="1"/>
  <pivotFields count="22">
    <pivotField numFmtId="1" showAll="0"/>
    <pivotField showAll="0"/>
    <pivotField numFmtId="164" showAll="0"/>
    <pivotField showAll="0">
      <items count="10">
        <item x="7"/>
        <item x="4"/>
        <item x="3"/>
        <item x="6"/>
        <item x="2"/>
        <item x="1"/>
        <item x="5"/>
        <item x="8"/>
        <item x="0"/>
        <item t="default"/>
      </items>
    </pivotField>
    <pivotField numFmtId="14" showAll="0"/>
    <pivotField numFmtId="14" showAll="0"/>
    <pivotField showAll="0"/>
    <pivotField showAll="0"/>
    <pivotField numFmtId="1" showAll="0"/>
    <pivotField numFmtId="2" showAll="0"/>
    <pivotField dataField="1" numFmtId="2" showAll="0"/>
    <pivotField showAll="0"/>
    <pivotField numFmtId="2" showAll="0"/>
    <pivotField numFmtId="1" showAll="0"/>
    <pivotField axis="axisRow" showAll="0" sortType="descending">
      <items count="90">
        <item x="85"/>
        <item x="39"/>
        <item x="59"/>
        <item x="55"/>
        <item x="25"/>
        <item x="76"/>
        <item x="15"/>
        <item x="46"/>
        <item x="48"/>
        <item x="66"/>
        <item x="31"/>
        <item x="78"/>
        <item x="10"/>
        <item x="5"/>
        <item x="32"/>
        <item x="72"/>
        <item x="35"/>
        <item x="57"/>
        <item x="41"/>
        <item x="58"/>
        <item x="9"/>
        <item x="52"/>
        <item x="68"/>
        <item x="14"/>
        <item x="86"/>
        <item x="70"/>
        <item x="17"/>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16"/>
        <item x="7"/>
        <item x="19"/>
        <item x="83"/>
        <item x="6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items count="9">
        <item x="0"/>
        <item x="1"/>
        <item x="2"/>
        <item x="3"/>
        <item x="4"/>
        <item x="5"/>
        <item x="6"/>
        <item x="7"/>
        <item t="default"/>
      </items>
    </pivotField>
    <pivotField showAll="0"/>
    <pivotField showAll="0"/>
  </pivotFields>
  <rowFields count="1">
    <field x="14"/>
  </rowFields>
  <rowItems count="90">
    <i>
      <x v="61"/>
    </i>
    <i>
      <x v="20"/>
    </i>
    <i>
      <x v="69"/>
    </i>
    <i>
      <x v="63"/>
    </i>
    <i>
      <x v="36"/>
    </i>
    <i>
      <x v="33"/>
    </i>
    <i>
      <x v="38"/>
    </i>
    <i>
      <x v="23"/>
    </i>
    <i>
      <x v="50"/>
    </i>
    <i>
      <x v="86"/>
    </i>
    <i>
      <x v="26"/>
    </i>
    <i>
      <x v="60"/>
    </i>
    <i>
      <x v="4"/>
    </i>
    <i>
      <x v="74"/>
    </i>
    <i>
      <x v="57"/>
    </i>
    <i>
      <x v="34"/>
    </i>
    <i>
      <x v="8"/>
    </i>
    <i>
      <x v="9"/>
    </i>
    <i>
      <x v="66"/>
    </i>
    <i>
      <x v="43"/>
    </i>
    <i>
      <x v="6"/>
    </i>
    <i>
      <x v="31"/>
    </i>
    <i>
      <x v="71"/>
    </i>
    <i>
      <x v="46"/>
    </i>
    <i>
      <x v="70"/>
    </i>
    <i>
      <x v="45"/>
    </i>
    <i>
      <x v="81"/>
    </i>
    <i>
      <x v="84"/>
    </i>
    <i>
      <x v="54"/>
    </i>
    <i>
      <x v="19"/>
    </i>
    <i>
      <x v="3"/>
    </i>
    <i>
      <x v="55"/>
    </i>
    <i>
      <x v="65"/>
    </i>
    <i>
      <x v="13"/>
    </i>
    <i>
      <x v="22"/>
    </i>
    <i>
      <x v="29"/>
    </i>
    <i>
      <x v="73"/>
    </i>
    <i>
      <x v="78"/>
    </i>
    <i>
      <x v="49"/>
    </i>
    <i>
      <x v="16"/>
    </i>
    <i>
      <x v="40"/>
    </i>
    <i>
      <x v="82"/>
    </i>
    <i>
      <x v="30"/>
    </i>
    <i>
      <x v="48"/>
    </i>
    <i>
      <x v="64"/>
    </i>
    <i>
      <x v="2"/>
    </i>
    <i>
      <x v="79"/>
    </i>
    <i>
      <x v="59"/>
    </i>
    <i>
      <x v="27"/>
    </i>
    <i>
      <x v="37"/>
    </i>
    <i>
      <x v="10"/>
    </i>
    <i>
      <x v="85"/>
    </i>
    <i>
      <x v="68"/>
    </i>
    <i>
      <x v="58"/>
    </i>
    <i>
      <x v="51"/>
    </i>
    <i>
      <x v="77"/>
    </i>
    <i>
      <x/>
    </i>
    <i>
      <x v="47"/>
    </i>
    <i>
      <x v="56"/>
    </i>
    <i>
      <x v="7"/>
    </i>
    <i>
      <x v="21"/>
    </i>
    <i>
      <x v="14"/>
    </i>
    <i>
      <x v="17"/>
    </i>
    <i>
      <x v="88"/>
    </i>
    <i>
      <x v="53"/>
    </i>
    <i>
      <x v="75"/>
    </i>
    <i>
      <x v="5"/>
    </i>
    <i>
      <x v="24"/>
    </i>
    <i>
      <x v="87"/>
    </i>
    <i>
      <x v="44"/>
    </i>
    <i>
      <x v="35"/>
    </i>
    <i>
      <x v="62"/>
    </i>
    <i>
      <x v="72"/>
    </i>
    <i>
      <x v="39"/>
    </i>
    <i>
      <x v="76"/>
    </i>
    <i>
      <x v="11"/>
    </i>
    <i>
      <x v="15"/>
    </i>
    <i>
      <x v="18"/>
    </i>
    <i>
      <x v="80"/>
    </i>
    <i>
      <x v="25"/>
    </i>
    <i>
      <x v="32"/>
    </i>
    <i>
      <x v="83"/>
    </i>
    <i>
      <x v="67"/>
    </i>
    <i>
      <x v="1"/>
    </i>
    <i>
      <x v="28"/>
    </i>
    <i>
      <x v="52"/>
    </i>
    <i>
      <x v="41"/>
    </i>
    <i>
      <x v="42"/>
    </i>
    <i>
      <x v="12"/>
    </i>
    <i t="grand">
      <x/>
    </i>
  </rowItems>
  <colItems count="1">
    <i/>
  </colItems>
  <dataFields count="1">
    <dataField name="Sum of Sales" fld="10" baseField="0" baseItem="0" numFmtId="166"/>
  </dataFields>
  <formats count="4">
    <format dxfId="179">
      <pivotArea outline="0" collapsedLevelsAreSubtotals="1" fieldPosition="0"/>
    </format>
    <format dxfId="178">
      <pivotArea dataOnly="0" labelOnly="1" outline="0" axis="axisValues" fieldPosition="0"/>
    </format>
    <format dxfId="177">
      <pivotArea outline="0" collapsedLevelsAreSubtotals="1" fieldPosition="0"/>
    </format>
    <format dxfId="176">
      <pivotArea dataOnly="0" labelOnly="1" outline="0" axis="axisValues" fieldPosition="0"/>
    </format>
  </formats>
  <chartFormats count="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E88DD6-7327-4BFF-AB34-6B46215A6C2D}"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8:B116" firstHeaderRow="1" firstDataRow="1" firstDataCol="1"/>
  <pivotFields count="8">
    <pivotField numFmtId="1" showAll="0"/>
    <pivotField axis="axisRow" showAll="0" sortType="descending">
      <items count="78">
        <item x="16"/>
        <item x="2"/>
        <item x="39"/>
        <item x="59"/>
        <item x="17"/>
        <item x="0"/>
        <item x="1"/>
        <item x="38"/>
        <item x="3"/>
        <item x="4"/>
        <item x="47"/>
        <item x="37"/>
        <item x="57"/>
        <item x="51"/>
        <item x="70"/>
        <item x="32"/>
        <item x="14"/>
        <item x="55"/>
        <item x="30"/>
        <item x="5"/>
        <item x="36"/>
        <item x="23"/>
        <item x="68"/>
        <item x="43"/>
        <item x="25"/>
        <item x="21"/>
        <item x="9"/>
        <item x="35"/>
        <item x="42"/>
        <item x="40"/>
        <item x="12"/>
        <item x="75"/>
        <item x="66"/>
        <item x="73"/>
        <item x="64"/>
        <item x="65"/>
        <item x="50"/>
        <item x="31"/>
        <item x="48"/>
        <item x="8"/>
        <item x="71"/>
        <item x="29"/>
        <item x="7"/>
        <item x="24"/>
        <item x="76"/>
        <item x="69"/>
        <item x="54"/>
        <item x="15"/>
        <item x="52"/>
        <item x="10"/>
        <item x="11"/>
        <item x="58"/>
        <item x="56"/>
        <item x="74"/>
        <item x="72"/>
        <item x="44"/>
        <item x="27"/>
        <item x="33"/>
        <item x="26"/>
        <item x="67"/>
        <item x="41"/>
        <item x="19"/>
        <item x="20"/>
        <item x="60"/>
        <item x="45"/>
        <item x="34"/>
        <item x="61"/>
        <item x="18"/>
        <item x="28"/>
        <item x="13"/>
        <item x="53"/>
        <item x="22"/>
        <item x="6"/>
        <item x="49"/>
        <item x="62"/>
        <item x="63"/>
        <item x="46"/>
        <item t="default"/>
      </items>
      <autoSortScope>
        <pivotArea dataOnly="0" outline="0" fieldPosition="0">
          <references count="1">
            <reference field="4294967294" count="1" selected="0">
              <x v="0"/>
            </reference>
          </references>
        </pivotArea>
      </autoSortScope>
    </pivotField>
    <pivotField showAll="0"/>
    <pivotField numFmtId="1" showAll="0"/>
    <pivotField numFmtId="1" showAll="0"/>
    <pivotField showAll="0">
      <items count="3">
        <item x="1"/>
        <item x="0"/>
        <item t="default"/>
      </items>
    </pivotField>
    <pivotField numFmtId="1" showAll="0"/>
    <pivotField dataField="1" numFmtId="164" showAll="0"/>
  </pivotFields>
  <rowFields count="1">
    <field x="1"/>
  </rowFields>
  <rowItems count="78">
    <i>
      <x v="11"/>
    </i>
    <i>
      <x v="68"/>
    </i>
    <i>
      <x v="51"/>
    </i>
    <i>
      <x v="66"/>
    </i>
    <i>
      <x v="3"/>
    </i>
    <i>
      <x v="17"/>
    </i>
    <i>
      <x v="36"/>
    </i>
    <i>
      <x/>
    </i>
    <i>
      <x v="4"/>
    </i>
    <i>
      <x v="56"/>
    </i>
    <i>
      <x v="40"/>
    </i>
    <i>
      <x v="28"/>
    </i>
    <i>
      <x v="61"/>
    </i>
    <i>
      <x v="72"/>
    </i>
    <i>
      <x v="75"/>
    </i>
    <i>
      <x v="22"/>
    </i>
    <i>
      <x v="26"/>
    </i>
    <i>
      <x v="48"/>
    </i>
    <i>
      <x v="24"/>
    </i>
    <i>
      <x v="14"/>
    </i>
    <i>
      <x v="2"/>
    </i>
    <i>
      <x v="46"/>
    </i>
    <i>
      <x v="47"/>
    </i>
    <i>
      <x v="74"/>
    </i>
    <i>
      <x v="6"/>
    </i>
    <i>
      <x v="31"/>
    </i>
    <i>
      <x v="58"/>
    </i>
    <i>
      <x v="18"/>
    </i>
    <i>
      <x v="63"/>
    </i>
    <i>
      <x v="34"/>
    </i>
    <i>
      <x v="65"/>
    </i>
    <i>
      <x v="27"/>
    </i>
    <i>
      <x v="41"/>
    </i>
    <i>
      <x v="49"/>
    </i>
    <i>
      <x v="5"/>
    </i>
    <i>
      <x v="42"/>
    </i>
    <i>
      <x v="7"/>
    </i>
    <i>
      <x v="50"/>
    </i>
    <i>
      <x v="45"/>
    </i>
    <i>
      <x v="23"/>
    </i>
    <i>
      <x v="38"/>
    </i>
    <i>
      <x v="44"/>
    </i>
    <i>
      <x v="62"/>
    </i>
    <i>
      <x v="59"/>
    </i>
    <i>
      <x v="29"/>
    </i>
    <i>
      <x v="60"/>
    </i>
    <i>
      <x v="8"/>
    </i>
    <i>
      <x v="37"/>
    </i>
    <i>
      <x v="53"/>
    </i>
    <i>
      <x v="69"/>
    </i>
    <i>
      <x v="52"/>
    </i>
    <i>
      <x v="39"/>
    </i>
    <i>
      <x v="19"/>
    </i>
    <i>
      <x v="25"/>
    </i>
    <i>
      <x v="57"/>
    </i>
    <i>
      <x v="64"/>
    </i>
    <i>
      <x v="12"/>
    </i>
    <i>
      <x v="67"/>
    </i>
    <i>
      <x v="9"/>
    </i>
    <i>
      <x v="30"/>
    </i>
    <i>
      <x v="70"/>
    </i>
    <i>
      <x v="71"/>
    </i>
    <i>
      <x v="21"/>
    </i>
    <i>
      <x v="55"/>
    </i>
    <i>
      <x v="54"/>
    </i>
    <i>
      <x v="76"/>
    </i>
    <i>
      <x v="43"/>
    </i>
    <i>
      <x v="73"/>
    </i>
    <i>
      <x v="35"/>
    </i>
    <i>
      <x v="13"/>
    </i>
    <i>
      <x v="1"/>
    </i>
    <i>
      <x v="20"/>
    </i>
    <i>
      <x v="33"/>
    </i>
    <i>
      <x v="32"/>
    </i>
    <i>
      <x v="16"/>
    </i>
    <i>
      <x v="15"/>
    </i>
    <i>
      <x v="10"/>
    </i>
    <i t="grand">
      <x/>
    </i>
  </rowItems>
  <colItems count="1">
    <i/>
  </colItems>
  <dataFields count="1">
    <dataField name="Sum of Sales" fld="7" baseField="0" baseItem="0" numFmtId="166"/>
  </dataFields>
  <formats count="4">
    <format dxfId="183">
      <pivotArea outline="0" collapsedLevelsAreSubtotals="1" fieldPosition="0"/>
    </format>
    <format dxfId="182">
      <pivotArea dataOnly="0" labelOnly="1" outline="0" axis="axisValues" fieldPosition="0"/>
    </format>
    <format dxfId="181">
      <pivotArea outline="0" collapsedLevelsAreSubtotals="1" fieldPosition="0"/>
    </format>
    <format dxfId="18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5F17DA-BE17-46C4-836D-08B69B13F25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35:B245" firstHeaderRow="1" firstDataRow="1" firstDataCol="1"/>
  <pivotFields count="22">
    <pivotField numFmtId="1" showAll="0"/>
    <pivotField showAll="0"/>
    <pivotField numFmtId="1" showAll="0"/>
    <pivotField axis="axisRow" showAll="0" sortType="descending">
      <items count="10">
        <item x="7"/>
        <item x="4"/>
        <item x="3"/>
        <item x="6"/>
        <item x="2"/>
        <item x="1"/>
        <item x="5"/>
        <item x="8"/>
        <item x="0"/>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numFmtId="1" showAll="0"/>
    <pivotField numFmtId="2" showAll="0"/>
    <pivotField dataField="1" numFmtId="2" showAll="0"/>
    <pivotField showAll="0"/>
    <pivotField numFmtId="2" showAll="0"/>
    <pivotField numFmtId="1" showAll="0"/>
    <pivotField showAll="0">
      <items count="90">
        <item x="85"/>
        <item x="39"/>
        <item x="59"/>
        <item x="55"/>
        <item x="25"/>
        <item x="76"/>
        <item x="15"/>
        <item x="46"/>
        <item x="48"/>
        <item x="66"/>
        <item x="31"/>
        <item x="78"/>
        <item x="10"/>
        <item x="5"/>
        <item x="32"/>
        <item x="72"/>
        <item x="35"/>
        <item x="57"/>
        <item x="41"/>
        <item x="58"/>
        <item x="9"/>
        <item x="52"/>
        <item x="68"/>
        <item x="14"/>
        <item x="86"/>
        <item x="70"/>
        <item x="17"/>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16"/>
        <item x="7"/>
        <item x="19"/>
        <item x="83"/>
        <item x="63"/>
        <item t="default"/>
      </items>
    </pivotField>
    <pivotField showAll="0">
      <items count="4">
        <item x="0"/>
        <item x="1"/>
        <item x="2"/>
        <item t="default"/>
      </items>
    </pivotField>
    <pivotField showAll="0"/>
    <pivotField showAll="0"/>
    <pivotField showAll="0"/>
    <pivotField showAll="0">
      <items count="9">
        <item x="0"/>
        <item x="1"/>
        <item x="2"/>
        <item x="3"/>
        <item x="4"/>
        <item x="5"/>
        <item x="6"/>
        <item x="7"/>
        <item t="default"/>
      </items>
    </pivotField>
    <pivotField showAll="0">
      <items count="4">
        <item x="1"/>
        <item x="0"/>
        <item x="2"/>
        <item t="default"/>
      </items>
    </pivotField>
    <pivotField showAll="0"/>
  </pivotFields>
  <rowFields count="1">
    <field x="3"/>
  </rowFields>
  <rowItems count="10">
    <i>
      <x v="4"/>
    </i>
    <i>
      <x v="2"/>
    </i>
    <i>
      <x v="6"/>
    </i>
    <i>
      <x/>
    </i>
    <i>
      <x v="3"/>
    </i>
    <i>
      <x v="7"/>
    </i>
    <i>
      <x v="1"/>
    </i>
    <i>
      <x v="5"/>
    </i>
    <i>
      <x v="8"/>
    </i>
    <i t="grand">
      <x/>
    </i>
  </rowItems>
  <colItems count="1">
    <i/>
  </colItems>
  <dataFields count="1">
    <dataField name="Sum of Sales" fld="10" baseField="0" baseItem="0" numFmtId="166"/>
  </dataFields>
  <formats count="4">
    <format dxfId="187">
      <pivotArea outline="0" collapsedLevelsAreSubtotals="1" fieldPosition="0"/>
    </format>
    <format dxfId="186">
      <pivotArea dataOnly="0" labelOnly="1" outline="0" axis="axisValues" fieldPosition="0"/>
    </format>
    <format dxfId="185">
      <pivotArea outline="0" collapsedLevelsAreSubtotals="1" fieldPosition="0"/>
    </format>
    <format dxfId="18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E64B7C-84D2-4F97-90F7-AFEC69F4D03F}"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22">
    <pivotField numFmtId="1" showAll="0"/>
    <pivotField showAll="0"/>
    <pivotField numFmtId="164" showAll="0"/>
    <pivotField showAll="0">
      <items count="10">
        <item x="7"/>
        <item x="4"/>
        <item x="3"/>
        <item x="6"/>
        <item x="2"/>
        <item x="1"/>
        <item x="5"/>
        <item x="8"/>
        <item x="0"/>
        <item t="default"/>
      </items>
    </pivotField>
    <pivotField numFmtId="14" showAll="0"/>
    <pivotField numFmtId="14" showAll="0"/>
    <pivotField showAll="0"/>
    <pivotField showAll="0"/>
    <pivotField numFmtId="1" showAll="0"/>
    <pivotField numFmtId="2" showAll="0"/>
    <pivotField numFmtId="2" showAll="0"/>
    <pivotField showAll="0"/>
    <pivotField numFmtId="2" showAll="0"/>
    <pivotField numFmtId="1" showAll="0"/>
    <pivotField showAll="0">
      <items count="90">
        <item x="85"/>
        <item x="39"/>
        <item x="59"/>
        <item x="55"/>
        <item x="25"/>
        <item x="76"/>
        <item x="15"/>
        <item x="46"/>
        <item x="48"/>
        <item x="66"/>
        <item x="31"/>
        <item x="78"/>
        <item x="10"/>
        <item x="5"/>
        <item x="32"/>
        <item x="72"/>
        <item x="35"/>
        <item x="57"/>
        <item x="41"/>
        <item x="58"/>
        <item x="9"/>
        <item x="52"/>
        <item x="68"/>
        <item x="14"/>
        <item x="86"/>
        <item x="70"/>
        <item x="17"/>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16"/>
        <item x="7"/>
        <item x="19"/>
        <item x="83"/>
        <item x="63"/>
        <item t="default"/>
      </items>
    </pivotField>
    <pivotField showAll="0">
      <items count="4">
        <item x="0"/>
        <item x="1"/>
        <item x="2"/>
        <item t="default"/>
      </items>
    </pivotField>
    <pivotField showAll="0"/>
    <pivotField showAll="0"/>
    <pivotField showAll="0"/>
    <pivotField showAll="0">
      <items count="9">
        <item x="0"/>
        <item x="1"/>
        <item x="2"/>
        <item x="3"/>
        <item x="4"/>
        <item x="5"/>
        <item x="6"/>
        <item x="7"/>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dataField="1" showAll="0"/>
  </pivotFields>
  <rowFields count="1">
    <field x="20"/>
  </rowFields>
  <rowItems count="4">
    <i>
      <x v="1"/>
    </i>
    <i>
      <x v="2"/>
    </i>
    <i>
      <x/>
    </i>
    <i t="grand">
      <x/>
    </i>
  </rowItems>
  <colItems count="1">
    <i/>
  </colItems>
  <dataFields count="1">
    <dataField name="Sum of unit price" fld="21" showDataAs="percentOfTotal" baseField="17" baseItem="1" numFmtId="9"/>
  </dataFields>
  <formats count="1">
    <format dxfId="18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2"/>
          </reference>
        </references>
      </pivotArea>
    </chartFormat>
    <chartFormat chart="0" format="3">
      <pivotArea type="data" outline="0" fieldPosition="0">
        <references count="2">
          <reference field="4294967294" count="1" selected="0">
            <x v="0"/>
          </reference>
          <reference field="2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0" count="1" selected="0">
            <x v="1"/>
          </reference>
        </references>
      </pivotArea>
    </chartFormat>
    <chartFormat chart="3" format="6">
      <pivotArea type="data" outline="0" fieldPosition="0">
        <references count="2">
          <reference field="4294967294" count="1" selected="0">
            <x v="0"/>
          </reference>
          <reference field="20" count="1" selected="0">
            <x v="2"/>
          </reference>
        </references>
      </pivotArea>
    </chartFormat>
    <chartFormat chart="3" format="7">
      <pivotArea type="data" outline="0" fieldPosition="0">
        <references count="2">
          <reference field="4294967294" count="1" selected="0">
            <x v="0"/>
          </reference>
          <reference field="20"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20" count="1" selected="0">
            <x v="1"/>
          </reference>
        </references>
      </pivotArea>
    </chartFormat>
    <chartFormat chart="7" format="10">
      <pivotArea type="data" outline="0" fieldPosition="0">
        <references count="2">
          <reference field="4294967294" count="1" selected="0">
            <x v="0"/>
          </reference>
          <reference field="20" count="1" selected="0">
            <x v="2"/>
          </reference>
        </references>
      </pivotArea>
    </chartFormat>
    <chartFormat chart="7" format="11">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32C8332-CB2B-49F3-B3D5-DB7057E9FA50}" name="PivotTable8" cacheId="5"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9">
  <location ref="A134:B138" firstHeaderRow="1" firstDataRow="1" firstDataCol="1"/>
  <pivotFields count="22">
    <pivotField numFmtId="1" showAll="0"/>
    <pivotField showAll="0"/>
    <pivotField numFmtId="164" showAll="0"/>
    <pivotField showAll="0">
      <items count="10">
        <item x="7"/>
        <item x="4"/>
        <item x="3"/>
        <item x="6"/>
        <item x="2"/>
        <item x="1"/>
        <item x="5"/>
        <item x="8"/>
        <item x="0"/>
        <item t="default"/>
      </items>
    </pivotField>
    <pivotField numFmtId="14" showAll="0"/>
    <pivotField numFmtId="14" showAll="0"/>
    <pivotField showAll="0"/>
    <pivotField showAll="0"/>
    <pivotField numFmtId="1" showAll="0"/>
    <pivotField numFmtId="2" showAll="0"/>
    <pivotField numFmtId="2" showAll="0"/>
    <pivotField showAll="0"/>
    <pivotField dataField="1" numFmtId="2" showAll="0"/>
    <pivotField numFmtId="1" showAll="0"/>
    <pivotField showAll="0">
      <items count="90">
        <item x="85"/>
        <item x="39"/>
        <item x="59"/>
        <item x="55"/>
        <item x="25"/>
        <item x="76"/>
        <item x="15"/>
        <item x="46"/>
        <item x="48"/>
        <item x="66"/>
        <item x="31"/>
        <item x="78"/>
        <item x="10"/>
        <item x="5"/>
        <item x="32"/>
        <item x="72"/>
        <item x="35"/>
        <item x="57"/>
        <item x="41"/>
        <item x="58"/>
        <item x="9"/>
        <item x="52"/>
        <item x="68"/>
        <item x="14"/>
        <item x="86"/>
        <item x="70"/>
        <item x="17"/>
        <item x="47"/>
        <item x="60"/>
        <item x="36"/>
        <item x="71"/>
        <item x="79"/>
        <item x="18"/>
        <item x="2"/>
        <item x="8"/>
        <item x="64"/>
        <item x="34"/>
        <item x="42"/>
        <item x="44"/>
        <item x="88"/>
        <item x="53"/>
        <item x="75"/>
        <item x="74"/>
        <item x="26"/>
        <item x="82"/>
        <item x="28"/>
        <item x="67"/>
        <item x="38"/>
        <item x="22"/>
        <item x="80"/>
        <item x="49"/>
        <item x="24"/>
        <item x="77"/>
        <item x="69"/>
        <item x="37"/>
        <item x="11"/>
        <item x="43"/>
        <item x="54"/>
        <item x="50"/>
        <item x="12"/>
        <item x="62"/>
        <item x="21"/>
        <item x="73"/>
        <item x="13"/>
        <item x="30"/>
        <item x="29"/>
        <item x="6"/>
        <item x="27"/>
        <item x="65"/>
        <item x="45"/>
        <item x="56"/>
        <item x="51"/>
        <item x="87"/>
        <item x="20"/>
        <item x="4"/>
        <item x="40"/>
        <item x="84"/>
        <item x="1"/>
        <item x="23"/>
        <item x="33"/>
        <item x="81"/>
        <item x="61"/>
        <item x="3"/>
        <item x="0"/>
        <item x="16"/>
        <item x="7"/>
        <item x="19"/>
        <item x="83"/>
        <item x="63"/>
        <item t="default"/>
      </items>
    </pivotField>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
        <item x="0"/>
        <item x="1"/>
        <item x="2"/>
        <item x="3"/>
        <item x="4"/>
        <item x="5"/>
        <item x="6"/>
        <item x="7"/>
        <item t="default"/>
      </items>
    </pivotField>
    <pivotField showAll="0"/>
    <pivotField showAll="0"/>
  </pivotFields>
  <rowFields count="1">
    <field x="15"/>
  </rowFields>
  <rowItems count="4">
    <i>
      <x v="2"/>
    </i>
    <i>
      <x/>
    </i>
    <i>
      <x v="1"/>
    </i>
    <i t="grand">
      <x/>
    </i>
  </rowItems>
  <colItems count="1">
    <i/>
  </colItems>
  <dataFields count="1">
    <dataField name="Sum of total with freight" fld="12" baseField="12" baseItem="0" numFmtId="166"/>
  </dataFields>
  <formats count="3">
    <format dxfId="191">
      <pivotArea outline="0" collapsedLevelsAreSubtotals="1" fieldPosition="0"/>
    </format>
    <format dxfId="190">
      <pivotArea outline="0" collapsedLevelsAreSubtotals="1" fieldPosition="0"/>
    </format>
    <format dxfId="189">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FCC540-90D9-4428-8493-E9F3941F696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50:B340" firstHeaderRow="1" firstDataRow="1" firstDataCol="1"/>
  <pivotFields count="22">
    <pivotField numFmtId="1" showAll="0"/>
    <pivotField showAll="0"/>
    <pivotField numFmtId="1" showAll="0"/>
    <pivotField showAll="0">
      <items count="10">
        <item x="7"/>
        <item x="4"/>
        <item x="3"/>
        <item x="6"/>
        <item x="2"/>
        <item x="1"/>
        <item x="5"/>
        <item x="8"/>
        <item x="0"/>
        <item t="default"/>
      </items>
    </pivotField>
    <pivotField numFmtId="14" showAll="0"/>
    <pivotField numFmtId="14" showAll="0"/>
    <pivotField showAll="0"/>
    <pivotField showAll="0"/>
    <pivotField numFmtId="1" showAll="0"/>
    <pivotField numFmtId="2" showAll="0"/>
    <pivotField numFmtId="2" showAll="0">
      <items count="797">
        <item h="1" x="522"/>
        <item h="1" x="546"/>
        <item h="1" x="334"/>
        <item x="509"/>
        <item h="1" x="634"/>
        <item h="1" x="636"/>
        <item h="1" x="619"/>
        <item h="1" x="554"/>
        <item h="1" x="421"/>
        <item h="1" x="23"/>
        <item h="1" x="350"/>
        <item h="1" x="173"/>
        <item h="1" x="481"/>
        <item h="1" x="496"/>
        <item h="1" x="378"/>
        <item h="1" x="367"/>
        <item h="1" x="692"/>
        <item h="1" x="761"/>
        <item h="1" x="430"/>
        <item h="1" x="718"/>
        <item h="1" x="623"/>
        <item h="1" x="337"/>
        <item h="1" x="123"/>
        <item h="1" x="685"/>
        <item h="1" x="744"/>
        <item h="1" x="40"/>
        <item h="1" x="142"/>
        <item h="1" x="33"/>
        <item h="1" x="786"/>
        <item h="1" x="495"/>
        <item h="1" x="83"/>
        <item h="1" x="60"/>
        <item h="1" x="456"/>
        <item h="1" x="519"/>
        <item h="1" x="604"/>
        <item h="1" x="11"/>
        <item h="1" x="166"/>
        <item h="1" x="130"/>
        <item h="1" x="698"/>
        <item h="1" x="642"/>
        <item h="1" x="279"/>
        <item h="1" x="74"/>
        <item h="1" x="446"/>
        <item h="1" x="362"/>
        <item h="1" x="47"/>
        <item h="1" x="635"/>
        <item h="1" x="409"/>
        <item h="1" x="689"/>
        <item h="1" x="118"/>
        <item h="1" x="104"/>
        <item h="1" x="257"/>
        <item h="1" x="663"/>
        <item h="1" x="286"/>
        <item h="1" x="548"/>
        <item h="1" x="101"/>
        <item h="1" x="333"/>
        <item h="1" x="73"/>
        <item h="1" x="86"/>
        <item h="1" x="232"/>
        <item h="1" x="253"/>
        <item h="1" x="249"/>
        <item h="1" x="617"/>
        <item h="1" x="402"/>
        <item h="1" x="316"/>
        <item h="1" x="34"/>
        <item h="1" x="212"/>
        <item h="1" x="581"/>
        <item h="1" x="607"/>
        <item h="1" x="75"/>
        <item h="1" x="137"/>
        <item h="1" x="196"/>
        <item h="1" x="210"/>
        <item h="1" x="454"/>
        <item h="1" x="226"/>
        <item h="1" x="65"/>
        <item h="1" x="549"/>
        <item h="1" x="784"/>
        <item h="1" x="244"/>
        <item h="1" x="533"/>
        <item h="1" x="179"/>
        <item h="1" x="268"/>
        <item h="1" x="293"/>
        <item h="1" x="578"/>
        <item h="1" x="216"/>
        <item h="1" x="679"/>
        <item h="1" x="518"/>
        <item h="1" x="165"/>
        <item h="1" x="269"/>
        <item h="1" x="483"/>
        <item h="1" x="223"/>
        <item h="1" x="352"/>
        <item h="1" x="792"/>
        <item h="1" x="217"/>
        <item h="1" x="512"/>
        <item h="1" x="560"/>
        <item h="1" x="256"/>
        <item h="1" x="296"/>
        <item h="1" x="70"/>
        <item h="1" x="739"/>
        <item h="1" x="677"/>
        <item h="1" x="197"/>
        <item h="1" x="707"/>
        <item h="1" x="562"/>
        <item h="1" x="700"/>
        <item h="1" x="494"/>
        <item h="1" x="240"/>
        <item h="1" x="690"/>
        <item h="1" x="779"/>
        <item h="1" x="63"/>
        <item h="1" x="749"/>
        <item h="1" x="771"/>
        <item h="1" x="243"/>
        <item h="1" x="601"/>
        <item h="1" x="88"/>
        <item h="1" x="470"/>
        <item h="1" x="69"/>
        <item h="1" x="701"/>
        <item h="1" x="27"/>
        <item h="1" x="729"/>
        <item h="1" x="357"/>
        <item h="1" x="791"/>
        <item h="1" x="775"/>
        <item h="1" x="329"/>
        <item h="1" x="534"/>
        <item h="1" x="327"/>
        <item h="1" x="399"/>
        <item h="1" x="485"/>
        <item h="1" x="160"/>
        <item h="1" x="501"/>
        <item h="1" x="185"/>
        <item h="1" x="728"/>
        <item h="1" x="731"/>
        <item h="1" x="330"/>
        <item h="1" x="205"/>
        <item h="1" x="163"/>
        <item h="1" x="62"/>
        <item h="1" x="610"/>
        <item h="1" x="127"/>
        <item h="1" x="177"/>
        <item h="1" x="640"/>
        <item h="1" x="513"/>
        <item h="1" x="18"/>
        <item h="1" x="51"/>
        <item h="1" x="31"/>
        <item h="1" x="265"/>
        <item h="1" x="93"/>
        <item h="1" x="360"/>
        <item h="1" x="287"/>
        <item h="1" x="176"/>
        <item h="1" x="738"/>
        <item h="1" x="100"/>
        <item h="1" x="652"/>
        <item h="1" x="627"/>
        <item h="1" x="395"/>
        <item h="1" x="429"/>
        <item h="1" x="451"/>
        <item h="1" x="234"/>
        <item h="1" x="525"/>
        <item h="1" x="655"/>
        <item h="1" x="276"/>
        <item h="1" x="188"/>
        <item h="1" x="398"/>
        <item h="1" x="128"/>
        <item h="1" x="532"/>
        <item h="1" x="156"/>
        <item h="1" x="117"/>
        <item h="1" x="765"/>
        <item h="1" x="781"/>
        <item h="1" x="204"/>
        <item h="1" x="420"/>
        <item h="1" x="254"/>
        <item h="1" x="292"/>
        <item h="1" x="28"/>
        <item h="1" x="59"/>
        <item h="1" x="201"/>
        <item h="1" x="641"/>
        <item h="1" x="110"/>
        <item h="1" x="702"/>
        <item h="1" x="238"/>
        <item h="1" x="545"/>
        <item h="1" x="0"/>
        <item h="1" x="600"/>
        <item h="1" x="145"/>
        <item h="1" x="199"/>
        <item h="1" x="537"/>
        <item h="1" x="115"/>
        <item h="1" x="13"/>
        <item h="1" x="375"/>
        <item h="1" x="645"/>
        <item h="1" x="189"/>
        <item h="1" x="670"/>
        <item h="1" x="682"/>
        <item h="1" x="126"/>
        <item h="1" x="361"/>
        <item h="1" x="282"/>
        <item h="1" x="468"/>
        <item h="1" x="290"/>
        <item h="1" x="228"/>
        <item h="1" x="436"/>
        <item h="1" x="570"/>
        <item h="1" x="660"/>
        <item h="1" x="326"/>
        <item h="1" x="41"/>
        <item h="1" x="372"/>
        <item h="1" x="348"/>
        <item h="1" x="107"/>
        <item h="1" x="475"/>
        <item h="1" x="789"/>
        <item h="1" x="183"/>
        <item h="1" x="310"/>
        <item h="1" x="741"/>
        <item h="1" x="347"/>
        <item h="1" x="43"/>
        <item h="1" x="793"/>
        <item h="1" x="58"/>
        <item h="1" x="386"/>
        <item h="1" x="503"/>
        <item h="1" x="780"/>
        <item h="1" x="661"/>
        <item h="1" x="72"/>
        <item h="1" x="340"/>
        <item h="1" x="67"/>
        <item h="1" x="194"/>
        <item h="1" x="8"/>
        <item h="1" x="597"/>
        <item h="1" x="307"/>
        <item h="1" x="248"/>
        <item h="1" x="770"/>
        <item h="1" x="260"/>
        <item h="1" x="423"/>
        <item h="1" x="479"/>
        <item h="1" x="649"/>
        <item h="1" x="26"/>
        <item h="1" x="758"/>
        <item h="1" x="650"/>
        <item h="1" x="465"/>
        <item h="1" x="319"/>
        <item h="1" x="6"/>
        <item h="1" x="207"/>
        <item h="1" x="227"/>
        <item h="1" x="369"/>
        <item h="1" x="408"/>
        <item h="1" x="342"/>
        <item h="1" x="106"/>
        <item h="1" x="325"/>
        <item h="1" x="416"/>
        <item h="1" x="246"/>
        <item h="1" x="599"/>
        <item h="1" x="14"/>
        <item h="1" x="730"/>
        <item h="1" x="379"/>
        <item h="1" x="766"/>
        <item h="1" x="332"/>
        <item h="1" x="450"/>
        <item h="1" x="401"/>
        <item h="1" x="552"/>
        <item h="1" x="403"/>
        <item h="1" x="624"/>
        <item h="1" x="52"/>
        <item h="1" x="241"/>
        <item h="1" x="615"/>
        <item h="1" x="32"/>
        <item h="1" x="505"/>
        <item h="1" x="734"/>
        <item h="1" x="669"/>
        <item h="1" x="740"/>
        <item h="1" x="591"/>
        <item h="1" x="415"/>
        <item h="1" x="588"/>
        <item h="1" x="383"/>
        <item h="1" x="186"/>
        <item h="1" x="745"/>
        <item h="1" x="394"/>
        <item h="1" x="673"/>
        <item h="1" x="469"/>
        <item h="1" x="313"/>
        <item h="1" x="442"/>
        <item h="1" x="102"/>
        <item h="1" x="21"/>
        <item h="1" x="671"/>
        <item h="1" x="735"/>
        <item h="1" x="595"/>
        <item h="1" x="178"/>
        <item h="1" x="3"/>
        <item h="1" x="471"/>
        <item h="1" x="426"/>
        <item h="1" x="643"/>
        <item h="1" x="233"/>
        <item h="1" x="644"/>
        <item h="1" x="686"/>
        <item h="1" x="559"/>
        <item h="1" x="298"/>
        <item h="1" x="723"/>
        <item h="1" x="651"/>
        <item h="1" x="136"/>
        <item h="1" x="16"/>
        <item h="1" x="389"/>
        <item h="1" x="461"/>
        <item h="1" x="387"/>
        <item h="1" x="611"/>
        <item h="1" x="675"/>
        <item h="1" x="213"/>
        <item h="1" x="148"/>
        <item h="1" x="703"/>
        <item h="1" x="218"/>
        <item h="1" x="345"/>
        <item h="1" x="167"/>
        <item h="1" x="710"/>
        <item h="1" x="530"/>
        <item h="1" x="564"/>
        <item h="1" x="528"/>
        <item h="1" x="762"/>
        <item h="1" x="582"/>
        <item h="1" x="486"/>
        <item h="1" x="657"/>
        <item h="1" x="658"/>
        <item h="1" x="255"/>
        <item h="1" x="632"/>
        <item h="1" x="53"/>
        <item h="1" x="230"/>
        <item h="1" x="368"/>
        <item h="1" x="322"/>
        <item h="1" x="648"/>
        <item h="1" x="688"/>
        <item h="1" x="794"/>
        <item h="1" x="280"/>
        <item h="1" x="666"/>
        <item h="1" x="662"/>
        <item h="1" x="432"/>
        <item h="1" x="161"/>
        <item h="1" x="444"/>
        <item h="1" x="335"/>
        <item h="1" x="358"/>
        <item h="1" x="772"/>
        <item h="1" x="339"/>
        <item h="1" x="424"/>
        <item h="1" x="99"/>
        <item h="1" x="390"/>
        <item h="1" x="250"/>
        <item h="1" x="769"/>
        <item h="1" x="273"/>
        <item h="1" x="39"/>
        <item h="1" x="577"/>
        <item h="1" x="557"/>
        <item h="1" x="119"/>
        <item h="1" x="304"/>
        <item h="1" x="324"/>
        <item h="1" x="565"/>
        <item h="1" x="464"/>
        <item h="1" x="573"/>
        <item h="1" x="694"/>
        <item h="1" x="45"/>
        <item h="1" x="184"/>
        <item h="1" x="550"/>
        <item h="1" x="154"/>
        <item h="1" x="646"/>
        <item h="1" x="626"/>
        <item h="1" x="437"/>
        <item h="1" x="131"/>
        <item h="1" x="637"/>
        <item h="1" x="129"/>
        <item h="1" x="516"/>
        <item h="1" x="85"/>
        <item h="1" x="751"/>
        <item h="1" x="439"/>
        <item h="1" x="300"/>
        <item h="1" x="236"/>
        <item h="1" x="317"/>
        <item h="1" x="618"/>
        <item h="1" x="134"/>
        <item h="1" x="377"/>
        <item h="1" x="725"/>
        <item h="1" x="571"/>
        <item h="1" x="696"/>
        <item h="1" x="242"/>
        <item h="1" x="198"/>
        <item h="1" x="612"/>
        <item h="1" x="418"/>
        <item h="1" x="668"/>
        <item h="1" x="466"/>
        <item h="1" x="785"/>
        <item h="1" x="586"/>
        <item h="1" x="566"/>
        <item h="1" x="638"/>
        <item h="1" x="736"/>
        <item h="1" x="90"/>
        <item h="1" x="720"/>
        <item h="1" x="277"/>
        <item h="1" x="116"/>
        <item h="1" x="56"/>
        <item h="1" x="219"/>
        <item h="1" x="311"/>
        <item h="1" x="162"/>
        <item h="1" x="587"/>
        <item h="1" x="580"/>
        <item h="1" x="521"/>
        <item h="1" x="78"/>
        <item h="1" x="443"/>
        <item h="1" x="480"/>
        <item h="1" x="328"/>
        <item h="1" x="709"/>
        <item h="1" x="174"/>
        <item h="1" x="676"/>
        <item h="1" x="750"/>
        <item h="1" x="563"/>
        <item h="1" x="195"/>
        <item h="1" x="222"/>
        <item h="1" x="48"/>
        <item h="1" x="138"/>
        <item h="1" x="356"/>
        <item h="1" x="575"/>
        <item h="1" x="308"/>
        <item h="1" x="190"/>
        <item h="1" x="596"/>
        <item h="1" x="491"/>
        <item h="1" x="400"/>
        <item h="1" x="603"/>
        <item h="1" x="695"/>
        <item h="1" x="338"/>
        <item h="1" x="20"/>
        <item h="1" x="108"/>
        <item h="1" x="584"/>
        <item h="1" x="122"/>
        <item h="1" x="55"/>
        <item h="1" x="9"/>
        <item h="1" x="654"/>
        <item h="1" x="354"/>
        <item h="1" x="558"/>
        <item h="1" x="274"/>
        <item h="1" x="305"/>
        <item h="1" x="109"/>
        <item h="1" x="80"/>
        <item h="1" x="36"/>
        <item h="1" x="664"/>
        <item h="1" x="17"/>
        <item h="1" x="344"/>
        <item h="1" x="374"/>
        <item h="1" x="71"/>
        <item h="1" x="542"/>
        <item h="1" x="158"/>
        <item h="1" x="172"/>
        <item h="1" x="721"/>
        <item h="1" x="724"/>
        <item h="1" x="29"/>
        <item h="1" x="621"/>
        <item h="1" x="406"/>
        <item h="1" x="139"/>
        <item h="1" x="458"/>
        <item h="1" x="312"/>
        <item h="1" x="224"/>
        <item h="1" x="795"/>
        <item h="1" x="366"/>
        <item h="1" x="427"/>
        <item h="1" x="462"/>
        <item h="1" x="235"/>
        <item h="1" x="753"/>
        <item h="1" x="428"/>
        <item h="1" x="411"/>
        <item h="1" x="412"/>
        <item h="1" x="44"/>
        <item h="1" x="473"/>
        <item h="1" x="705"/>
        <item h="1" x="767"/>
        <item h="1" x="132"/>
        <item h="1" x="382"/>
        <item h="1" x="221"/>
        <item h="1" x="773"/>
        <item h="1" x="520"/>
        <item h="1" x="370"/>
        <item h="1" x="782"/>
        <item h="1" x="716"/>
        <item h="1" x="125"/>
        <item h="1" x="391"/>
        <item h="1" x="22"/>
        <item h="1" x="620"/>
        <item h="1" x="245"/>
        <item h="1" x="252"/>
        <item h="1" x="371"/>
        <item h="1" x="747"/>
        <item h="1" x="364"/>
        <item h="1" x="433"/>
        <item h="1" x="678"/>
        <item h="1" x="697"/>
        <item h="1" x="547"/>
        <item h="1" x="247"/>
        <item h="1" x="35"/>
        <item h="1" x="482"/>
        <item h="1" x="49"/>
        <item h="1" x="422"/>
        <item h="1" x="572"/>
        <item h="1" x="396"/>
        <item h="1" x="143"/>
        <item h="1" x="180"/>
        <item h="1" x="523"/>
        <item h="1" x="5"/>
        <item h="1" x="393"/>
        <item h="1" x="653"/>
        <item h="1" x="24"/>
        <item h="1" x="477"/>
        <item h="1" x="539"/>
        <item h="1" x="231"/>
        <item h="1" x="510"/>
        <item h="1" x="351"/>
        <item h="1" x="768"/>
        <item h="1" x="524"/>
        <item h="1" x="30"/>
        <item h="1" x="77"/>
        <item h="1" x="478"/>
        <item h="1" x="616"/>
        <item h="1" x="320"/>
        <item h="1" x="275"/>
        <item h="1" x="373"/>
        <item h="1" x="291"/>
        <item h="1" x="12"/>
        <item h="1" x="225"/>
        <item h="1" x="237"/>
        <item h="1" x="507"/>
        <item h="1" x="526"/>
        <item h="1" x="392"/>
        <item h="1" x="414"/>
        <item h="1" x="211"/>
        <item h="1" x="614"/>
        <item h="1" x="301"/>
        <item h="1" x="114"/>
        <item h="1" x="2"/>
        <item h="1" x="538"/>
        <item h="1" x="467"/>
        <item h="1" x="743"/>
        <item h="1" x="95"/>
        <item h="1" x="492"/>
        <item h="1" x="155"/>
        <item h="1" x="214"/>
        <item h="1" x="64"/>
        <item h="1" x="10"/>
        <item h="1" x="98"/>
        <item h="1" x="159"/>
        <item h="1" x="472"/>
        <item h="1" x="788"/>
        <item h="1" x="606"/>
        <item h="1" x="493"/>
        <item h="1" x="447"/>
        <item h="1" x="453"/>
        <item h="1" x="500"/>
        <item h="1" x="284"/>
        <item h="1" x="82"/>
        <item h="1" x="209"/>
        <item h="1" x="684"/>
        <item h="1" x="299"/>
        <item h="1" x="511"/>
        <item h="1" x="120"/>
        <item h="1" x="760"/>
        <item h="1" x="551"/>
        <item h="1" x="407"/>
        <item h="1" x="171"/>
        <item h="1" x="776"/>
        <item h="1" x="302"/>
        <item h="1" x="699"/>
        <item h="1" x="37"/>
        <item h="1" x="759"/>
        <item h="1" x="192"/>
        <item h="1" x="314"/>
        <item h="1" x="61"/>
        <item h="1" x="687"/>
        <item h="1" x="567"/>
        <item h="1" x="150"/>
        <item h="1" x="431"/>
        <item h="1" x="764"/>
        <item h="1" x="397"/>
        <item h="1" x="84"/>
        <item h="1" x="553"/>
        <item h="1" x="667"/>
        <item h="1" x="193"/>
        <item h="1" x="295"/>
        <item h="1" x="711"/>
        <item h="1" x="79"/>
        <item h="1" x="727"/>
        <item h="1" x="169"/>
        <item h="1" x="220"/>
        <item h="1" x="285"/>
        <item h="1" x="531"/>
        <item h="1" x="157"/>
        <item h="1" x="140"/>
        <item h="1" x="659"/>
        <item h="1" x="778"/>
        <item h="1" x="200"/>
        <item h="1" x="94"/>
        <item h="1" x="474"/>
        <item h="1" x="1"/>
        <item h="1" x="15"/>
        <item h="1" x="722"/>
        <item h="1" x="46"/>
        <item h="1" x="476"/>
        <item h="1" x="182"/>
        <item h="1" x="452"/>
        <item h="1" x="147"/>
        <item h="1" x="489"/>
        <item h="1" x="605"/>
        <item h="1" x="639"/>
        <item h="1" x="410"/>
        <item h="1" x="656"/>
        <item h="1" x="576"/>
        <item h="1" x="283"/>
        <item h="1" x="261"/>
        <item h="1" x="289"/>
        <item h="1" x="497"/>
        <item h="1" x="613"/>
        <item h="1" x="748"/>
        <item h="1" x="568"/>
        <item h="1" x="608"/>
        <item h="1" x="498"/>
        <item h="1" x="341"/>
        <item h="1" x="187"/>
        <item h="1" x="203"/>
        <item h="1" x="712"/>
        <item h="1" x="787"/>
        <item h="1" x="515"/>
        <item h="1" x="87"/>
        <item h="1" x="25"/>
        <item h="1" x="113"/>
        <item h="1" x="594"/>
        <item h="1" x="251"/>
        <item h="1" x="693"/>
        <item h="1" x="388"/>
        <item h="1" x="609"/>
        <item h="1" x="440"/>
        <item h="1" x="321"/>
        <item h="1" x="628"/>
        <item h="1" x="141"/>
        <item h="1" x="66"/>
        <item h="1" x="170"/>
        <item h="1" x="146"/>
        <item h="1" x="164"/>
        <item h="1" x="306"/>
        <item h="1" x="323"/>
        <item h="1" x="535"/>
        <item h="1" x="752"/>
        <item h="1" x="42"/>
        <item h="1" x="490"/>
        <item h="1" x="460"/>
        <item h="1" x="713"/>
        <item h="1" x="281"/>
        <item h="1" x="135"/>
        <item h="1" x="593"/>
        <item h="1" x="704"/>
        <item h="1" x="331"/>
        <item h="1" x="665"/>
        <item h="1" x="543"/>
        <item h="1" x="349"/>
        <item h="1" x="506"/>
        <item h="1" x="96"/>
        <item h="1" x="417"/>
        <item h="1" x="508"/>
        <item h="1" x="488"/>
        <item h="1" x="267"/>
        <item h="1" x="270"/>
        <item h="1" x="536"/>
        <item h="1" x="680"/>
        <item h="1" x="264"/>
        <item h="1" x="346"/>
        <item h="1" x="121"/>
        <item h="1" x="755"/>
        <item h="1" x="92"/>
        <item h="1" x="271"/>
        <item h="1" x="318"/>
        <item h="1" x="89"/>
        <item h="1" x="7"/>
        <item h="1" x="149"/>
        <item h="1" x="215"/>
        <item h="1" x="315"/>
        <item h="1" x="449"/>
        <item h="1" x="259"/>
        <item h="1" x="144"/>
        <item h="1" x="589"/>
        <item h="1" x="527"/>
        <item h="1" x="732"/>
        <item h="1" x="50"/>
        <item h="1" x="206"/>
        <item h="1" x="569"/>
        <item h="1" x="365"/>
        <item h="1" x="54"/>
        <item h="1" x="153"/>
        <item h="1" x="385"/>
        <item h="1" x="672"/>
        <item h="1" x="630"/>
        <item h="1" x="384"/>
        <item h="1" x="726"/>
        <item h="1" x="714"/>
        <item h="1" x="544"/>
        <item h="1" x="376"/>
        <item h="1" x="294"/>
        <item h="1" x="737"/>
        <item h="1" x="561"/>
        <item h="1" x="459"/>
        <item h="1" x="68"/>
        <item h="1" x="309"/>
        <item h="1" x="448"/>
        <item h="1" x="133"/>
        <item h="1" x="502"/>
        <item h="1" x="97"/>
        <item h="1" x="541"/>
        <item h="1" x="303"/>
        <item h="1" x="592"/>
        <item h="1" x="590"/>
        <item h="1" x="38"/>
        <item h="1" x="540"/>
        <item h="1" x="774"/>
        <item h="1" x="151"/>
        <item h="1" x="499"/>
        <item h="1" x="763"/>
        <item h="1" x="484"/>
        <item h="1" x="336"/>
        <item h="1" x="622"/>
        <item h="1" x="435"/>
        <item h="1" x="239"/>
        <item h="1" x="272"/>
        <item h="1" x="757"/>
        <item h="1" x="91"/>
        <item h="1" x="455"/>
        <item h="1" x="445"/>
        <item h="1" x="463"/>
        <item h="1" x="111"/>
        <item h="1" x="598"/>
        <item h="1" x="19"/>
        <item h="1" x="297"/>
        <item h="1" x="715"/>
        <item h="1" x="691"/>
        <item h="1" x="4"/>
        <item h="1" x="514"/>
        <item h="1" x="529"/>
        <item h="1" x="777"/>
        <item h="1" x="57"/>
        <item h="1" x="583"/>
        <item h="1" x="419"/>
        <item h="1" x="202"/>
        <item h="1" x="152"/>
        <item h="1" x="208"/>
        <item h="1" x="674"/>
        <item h="1" x="353"/>
        <item h="1" x="266"/>
        <item h="1" x="278"/>
        <item h="1" x="717"/>
        <item h="1" x="783"/>
        <item h="1" x="504"/>
        <item h="1" x="404"/>
        <item h="1" x="681"/>
        <item h="1" x="683"/>
        <item h="1" x="457"/>
        <item h="1" x="405"/>
        <item h="1" x="487"/>
        <item h="1" x="81"/>
        <item h="1" x="579"/>
        <item h="1" x="413"/>
        <item h="1" x="733"/>
        <item h="1" x="574"/>
        <item h="1" x="258"/>
        <item h="1" x="343"/>
        <item h="1" x="363"/>
        <item h="1" x="706"/>
        <item h="1" x="441"/>
        <item h="1" x="719"/>
        <item h="1" x="181"/>
        <item h="1" x="191"/>
        <item h="1" x="585"/>
        <item h="1" x="434"/>
        <item h="1" x="381"/>
        <item h="1" x="790"/>
        <item h="1" x="425"/>
        <item h="1" x="76"/>
        <item h="1" x="103"/>
        <item h="1" x="629"/>
        <item h="1" x="380"/>
        <item h="1" x="647"/>
        <item h="1" x="746"/>
        <item h="1" x="359"/>
        <item h="1" x="631"/>
        <item h="1" x="355"/>
        <item h="1" x="517"/>
        <item h="1" x="742"/>
        <item h="1" x="112"/>
        <item h="1" x="555"/>
        <item h="1" x="105"/>
        <item h="1" x="262"/>
        <item h="1" x="756"/>
        <item h="1" x="175"/>
        <item h="1" x="124"/>
        <item h="1" x="263"/>
        <item h="1" x="438"/>
        <item h="1" x="288"/>
        <item h="1" x="229"/>
        <item h="1" x="633"/>
        <item h="1" x="556"/>
        <item h="1" x="168"/>
        <item h="1" x="625"/>
        <item h="1" x="754"/>
        <item h="1" x="708"/>
        <item h="1" x="602"/>
        <item t="default"/>
      </items>
    </pivotField>
    <pivotField dataField="1" showAll="0">
      <items count="7">
        <item x="0"/>
        <item x="1"/>
        <item x="5"/>
        <item x="2"/>
        <item x="3"/>
        <item x="4"/>
        <item t="default"/>
      </items>
    </pivotField>
    <pivotField numFmtId="2" showAll="0"/>
    <pivotField axis="axisRow" numFmtId="1" showAll="0" sortType="descending">
      <items count="49">
        <item x="14"/>
        <item x="33"/>
        <item x="35"/>
        <item x="18"/>
        <item x="21"/>
        <item x="3"/>
        <item x="23"/>
        <item x="20"/>
        <item x="1"/>
        <item x="2"/>
        <item x="38"/>
        <item x="0"/>
        <item x="19"/>
        <item x="6"/>
        <item x="9"/>
        <item x="17"/>
        <item x="5"/>
        <item x="22"/>
        <item x="13"/>
        <item x="7"/>
        <item x="31"/>
        <item x="12"/>
        <item x="30"/>
        <item x="42"/>
        <item x="11"/>
        <item x="25"/>
        <item x="36"/>
        <item x="4"/>
        <item x="29"/>
        <item x="41"/>
        <item x="15"/>
        <item x="39"/>
        <item x="32"/>
        <item x="8"/>
        <item x="44"/>
        <item x="27"/>
        <item x="37"/>
        <item x="26"/>
        <item x="10"/>
        <item x="43"/>
        <item x="24"/>
        <item x="47"/>
        <item x="28"/>
        <item x="46"/>
        <item x="40"/>
        <item x="16"/>
        <item x="45"/>
        <item x="34"/>
        <item t="default"/>
      </items>
      <autoSortScope>
        <pivotArea dataOnly="0" outline="0" fieldPosition="0">
          <references count="1">
            <reference field="4294967294" count="1" selected="0">
              <x v="0"/>
            </reference>
          </references>
        </pivotArea>
      </autoSortScope>
    </pivotField>
    <pivotField axis="axisRow" showAll="0" sortType="descending">
      <items count="90">
        <item sd="0" x="85"/>
        <item sd="0" x="39"/>
        <item sd="0" x="59"/>
        <item sd="0" x="55"/>
        <item sd="0" x="25"/>
        <item sd="0" x="76"/>
        <item sd="0" x="15"/>
        <item sd="0" x="46"/>
        <item sd="0" x="48"/>
        <item sd="0" x="66"/>
        <item sd="0" x="31"/>
        <item sd="0" x="78"/>
        <item sd="0" x="10"/>
        <item sd="0" x="5"/>
        <item sd="0" x="32"/>
        <item sd="0" x="72"/>
        <item sd="0" x="35"/>
        <item sd="0" x="57"/>
        <item sd="0" x="41"/>
        <item sd="0" x="58"/>
        <item sd="0" x="9"/>
        <item sd="0" x="52"/>
        <item sd="0" x="68"/>
        <item sd="0" x="14"/>
        <item sd="0" x="86"/>
        <item sd="0" x="70"/>
        <item sd="0" x="17"/>
        <item sd="0" x="47"/>
        <item sd="0" x="60"/>
        <item sd="0" x="36"/>
        <item sd="0" x="71"/>
        <item sd="0" x="79"/>
        <item sd="0" x="18"/>
        <item sd="0" x="2"/>
        <item sd="0" x="8"/>
        <item sd="0" x="64"/>
        <item sd="0" x="34"/>
        <item sd="0" x="42"/>
        <item sd="0" x="44"/>
        <item sd="0" x="88"/>
        <item sd="0" x="53"/>
        <item sd="0" x="75"/>
        <item sd="0" x="74"/>
        <item sd="0" x="26"/>
        <item sd="0" x="82"/>
        <item sd="0" x="28"/>
        <item sd="0" x="67"/>
        <item sd="0" x="38"/>
        <item sd="0" x="22"/>
        <item sd="0" x="80"/>
        <item sd="0" x="49"/>
        <item sd="0" x="24"/>
        <item sd="0" x="77"/>
        <item sd="0" x="69"/>
        <item sd="0" x="37"/>
        <item sd="0" x="11"/>
        <item sd="0" x="43"/>
        <item sd="0" x="54"/>
        <item sd="0" x="50"/>
        <item sd="0" x="12"/>
        <item sd="0" x="62"/>
        <item sd="0" x="21"/>
        <item sd="0" x="73"/>
        <item sd="0" x="13"/>
        <item sd="0" x="30"/>
        <item sd="0" x="29"/>
        <item sd="0" x="6"/>
        <item sd="0" x="27"/>
        <item sd="0" x="65"/>
        <item sd="0" x="45"/>
        <item sd="0" x="56"/>
        <item sd="0" x="51"/>
        <item sd="0" x="87"/>
        <item sd="0" x="20"/>
        <item sd="0" x="4"/>
        <item sd="0" x="40"/>
        <item sd="0" x="84"/>
        <item sd="0" x="1"/>
        <item sd="0" x="23"/>
        <item sd="0" x="33"/>
        <item sd="0" x="81"/>
        <item sd="0" x="61"/>
        <item sd="0" x="3"/>
        <item sd="0" x="0"/>
        <item sd="0" x="16"/>
        <item sd="0" x="7"/>
        <item sd="0" x="19"/>
        <item sd="0" x="83"/>
        <item sd="0" x="63"/>
        <item t="default" sd="0"/>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items count="9">
        <item x="0"/>
        <item x="1"/>
        <item x="2"/>
        <item x="3"/>
        <item x="4"/>
        <item x="5"/>
        <item x="6"/>
        <item x="7"/>
        <item t="default"/>
      </items>
    </pivotField>
    <pivotField showAll="0">
      <items count="4">
        <item x="1"/>
        <item x="0"/>
        <item x="2"/>
        <item t="default"/>
      </items>
    </pivotField>
    <pivotField showAll="0"/>
  </pivotFields>
  <rowFields count="2">
    <field x="14"/>
    <field x="13"/>
  </rowFields>
  <rowItems count="90">
    <i>
      <x v="69"/>
    </i>
    <i>
      <x v="61"/>
    </i>
    <i>
      <x v="20"/>
    </i>
    <i>
      <x v="36"/>
    </i>
    <i>
      <x v="40"/>
    </i>
    <i>
      <x v="23"/>
    </i>
    <i>
      <x v="43"/>
    </i>
    <i>
      <x v="63"/>
    </i>
    <i>
      <x v="45"/>
    </i>
    <i>
      <x v="9"/>
    </i>
    <i>
      <x v="64"/>
    </i>
    <i>
      <x v="57"/>
    </i>
    <i>
      <x v="46"/>
    </i>
    <i>
      <x v="16"/>
    </i>
    <i>
      <x v="82"/>
    </i>
    <i>
      <x v="60"/>
    </i>
    <i>
      <x v="8"/>
    </i>
    <i>
      <x v="33"/>
    </i>
    <i>
      <x v="30"/>
    </i>
    <i>
      <x v="4"/>
    </i>
    <i>
      <x v="27"/>
    </i>
    <i>
      <x v="34"/>
    </i>
    <i>
      <x v="70"/>
    </i>
    <i>
      <x v="84"/>
    </i>
    <i>
      <x v="26"/>
    </i>
    <i>
      <x v="81"/>
    </i>
    <i>
      <x v="50"/>
    </i>
    <i>
      <x v="86"/>
    </i>
    <i>
      <x v="31"/>
    </i>
    <i>
      <x v="38"/>
    </i>
    <i>
      <x v="65"/>
    </i>
    <i>
      <x v="55"/>
    </i>
    <i>
      <x v="66"/>
    </i>
    <i>
      <x v="13"/>
    </i>
    <i>
      <x v="54"/>
    </i>
    <i>
      <x v="85"/>
    </i>
    <i>
      <x v="77"/>
    </i>
    <i>
      <x v="59"/>
    </i>
    <i>
      <x v="71"/>
    </i>
    <i>
      <x v="73"/>
    </i>
    <i>
      <x v="7"/>
    </i>
    <i>
      <x v="49"/>
    </i>
    <i>
      <x v="21"/>
    </i>
    <i>
      <x v="3"/>
    </i>
    <i>
      <x v="74"/>
    </i>
    <i>
      <x v="2"/>
    </i>
    <i>
      <x v="79"/>
    </i>
    <i>
      <x v="44"/>
    </i>
    <i>
      <x v="48"/>
    </i>
    <i>
      <x/>
    </i>
    <i>
      <x v="19"/>
    </i>
    <i>
      <x v="29"/>
    </i>
    <i>
      <x v="58"/>
    </i>
    <i>
      <x v="6"/>
    </i>
    <i>
      <x v="18"/>
    </i>
    <i>
      <x v="25"/>
    </i>
    <i>
      <x v="12"/>
    </i>
    <i>
      <x v="1"/>
    </i>
    <i>
      <x v="87"/>
    </i>
    <i>
      <x v="56"/>
    </i>
    <i>
      <x v="53"/>
    </i>
    <i>
      <x v="28"/>
    </i>
    <i>
      <x v="42"/>
    </i>
    <i>
      <x v="51"/>
    </i>
    <i>
      <x v="11"/>
    </i>
    <i>
      <x v="52"/>
    </i>
    <i>
      <x v="24"/>
    </i>
    <i>
      <x v="14"/>
    </i>
    <i>
      <x v="37"/>
    </i>
    <i>
      <x v="39"/>
    </i>
    <i>
      <x v="72"/>
    </i>
    <i>
      <x v="75"/>
    </i>
    <i>
      <x v="41"/>
    </i>
    <i>
      <x v="15"/>
    </i>
    <i>
      <x v="76"/>
    </i>
    <i>
      <x v="62"/>
    </i>
    <i>
      <x v="78"/>
    </i>
    <i>
      <x v="32"/>
    </i>
    <i>
      <x v="80"/>
    </i>
    <i>
      <x v="10"/>
    </i>
    <i>
      <x v="83"/>
    </i>
    <i>
      <x v="5"/>
    </i>
    <i>
      <x v="22"/>
    </i>
    <i>
      <x v="17"/>
    </i>
    <i>
      <x v="47"/>
    </i>
    <i>
      <x v="35"/>
    </i>
    <i>
      <x v="88"/>
    </i>
    <i>
      <x v="67"/>
    </i>
    <i>
      <x v="68"/>
    </i>
    <i t="grand">
      <x/>
    </i>
  </rowItems>
  <colItems count="1">
    <i/>
  </colItems>
  <dataFields count="1">
    <dataField name="Sum of Discount" fld="11" showDataAs="percentOfTotal" baseField="0" baseItem="0" numFmtId="9"/>
  </dataFields>
  <formats count="3">
    <format dxfId="81">
      <pivotArea dataOnly="0" labelOnly="1" outline="0" axis="axisValues" fieldPosition="0"/>
    </format>
    <format dxfId="82">
      <pivotArea outline="0" fieldPosition="0">
        <references count="1">
          <reference field="4294967294" count="1">
            <x v="0"/>
          </reference>
        </references>
      </pivotArea>
    </format>
    <format dxfId="83">
      <pivotArea outline="0" collapsedLevelsAreSubtotals="1" fieldPosition="0"/>
    </format>
  </formats>
  <chartFormats count="3">
    <chartFormat chart="5"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C3228118-2B23-4319-9646-4CC723E2591B}" sourceName="productName">
  <pivotTables>
    <pivotTable tabId="9" name="PivotTable6"/>
    <pivotTable tabId="9" name="PivotTable5"/>
  </pivotTables>
  <data>
    <tabular pivotCacheId="1757110817">
      <items count="77">
        <i x="16" s="1"/>
        <i x="2" s="1"/>
        <i x="39" s="1"/>
        <i x="59" s="1"/>
        <i x="17" s="1"/>
        <i x="0" s="1"/>
        <i x="1" s="1"/>
        <i x="38" s="1"/>
        <i x="3" s="1"/>
        <i x="4" s="1"/>
        <i x="47" s="1"/>
        <i x="37" s="1"/>
        <i x="57" s="1"/>
        <i x="51" s="1"/>
        <i x="70" s="1"/>
        <i x="32" s="1"/>
        <i x="14" s="1"/>
        <i x="55" s="1"/>
        <i x="30" s="1"/>
        <i x="5" s="1"/>
        <i x="36" s="1"/>
        <i x="23" s="1"/>
        <i x="68" s="1"/>
        <i x="43" s="1"/>
        <i x="25" s="1"/>
        <i x="21" s="1"/>
        <i x="9" s="1"/>
        <i x="35" s="1"/>
        <i x="42" s="1"/>
        <i x="40" s="1"/>
        <i x="12" s="1"/>
        <i x="75" s="1"/>
        <i x="66" s="1"/>
        <i x="73" s="1"/>
        <i x="64" s="1"/>
        <i x="65" s="1"/>
        <i x="50" s="1"/>
        <i x="31" s="1"/>
        <i x="48" s="1"/>
        <i x="8" s="1"/>
        <i x="71" s="1"/>
        <i x="29" s="1"/>
        <i x="7" s="1"/>
        <i x="24" s="1"/>
        <i x="76" s="1"/>
        <i x="69" s="1"/>
        <i x="54" s="1"/>
        <i x="15" s="1"/>
        <i x="52" s="1"/>
        <i x="10" s="1"/>
        <i x="11" s="1"/>
        <i x="58" s="1"/>
        <i x="56" s="1"/>
        <i x="74" s="1"/>
        <i x="72" s="1"/>
        <i x="44" s="1"/>
        <i x="27" s="1"/>
        <i x="33" s="1"/>
        <i x="26" s="1"/>
        <i x="67" s="1"/>
        <i x="41" s="1"/>
        <i x="19" s="1"/>
        <i x="20" s="1"/>
        <i x="60" s="1"/>
        <i x="45" s="1"/>
        <i x="34" s="1"/>
        <i x="61" s="1"/>
        <i x="18" s="1"/>
        <i x="28" s="1"/>
        <i x="13" s="1"/>
        <i x="53" s="1"/>
        <i x="22" s="1"/>
        <i x="6" s="1"/>
        <i x="49" s="1"/>
        <i x="62" s="1"/>
        <i x="63" s="1"/>
        <i x="4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Availability" xr10:uid="{7A79D6A3-3F7A-4E55-95B6-7C0E7CAE3FB3}" sourceName="Product Availability">
  <pivotTables>
    <pivotTable tabId="9" name="PivotTable5"/>
    <pivotTable tabId="9" name="PivotTable6"/>
  </pivotTables>
  <data>
    <tabular pivotCacheId="175711081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CF71BEA-95E0-452F-BFBA-6A76867FA29F}" sourceName="Delivery Status">
  <pivotTables>
    <pivotTable tabId="9" name="PivotTable2"/>
    <pivotTable tabId="9" name="PivotTable1"/>
    <pivotTable tabId="9" name="PivotTable3"/>
  </pivotTables>
  <data>
    <tabular pivotCacheId="8342943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er_name" xr10:uid="{C2C6E827-9CEC-4946-A7B7-5A97F8CCEC32}" sourceName="shipper name">
  <pivotTables>
    <pivotTable tabId="9" name="PivotTable8"/>
    <pivotTable tabId="9" name="PivotTable1"/>
    <pivotTable tabId="9" name="PivotTable2"/>
    <pivotTable tabId="9" name="PivotTable3"/>
    <pivotTable tabId="9" name="PivotTable7"/>
    <pivotTable tabId="9" name="PivotTable9"/>
  </pivotTables>
  <data>
    <tabular pivotCacheId="83429434">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D25B0C92-15EB-48F3-AD42-B5DD3C9A1A8E}" sourceName="Customer name">
  <pivotTables>
    <pivotTable tabId="9" name="PivotTable9"/>
    <pivotTable tabId="9" name="PivotTable1"/>
    <pivotTable tabId="9" name="PivotTable2"/>
    <pivotTable tabId="9" name="PivotTable3"/>
    <pivotTable tabId="9" name="PivotTable7"/>
    <pivotTable tabId="9" name="PivotTable8"/>
  </pivotTables>
  <data>
    <tabular pivotCacheId="83429434">
      <items count="89">
        <i x="85" s="1"/>
        <i x="39" s="1"/>
        <i x="59" s="1"/>
        <i x="55" s="1"/>
        <i x="25" s="1"/>
        <i x="76" s="1"/>
        <i x="15" s="1"/>
        <i x="46" s="1"/>
        <i x="48" s="1"/>
        <i x="66" s="1"/>
        <i x="31" s="1"/>
        <i x="78" s="1"/>
        <i x="10" s="1"/>
        <i x="5" s="1"/>
        <i x="32" s="1"/>
        <i x="72" s="1"/>
        <i x="35" s="1"/>
        <i x="57" s="1"/>
        <i x="41" s="1"/>
        <i x="58" s="1"/>
        <i x="9" s="1"/>
        <i x="52" s="1"/>
        <i x="68" s="1"/>
        <i x="14" s="1"/>
        <i x="86" s="1"/>
        <i x="70" s="1"/>
        <i x="17" s="1"/>
        <i x="47" s="1"/>
        <i x="60" s="1"/>
        <i x="36" s="1"/>
        <i x="71" s="1"/>
        <i x="79" s="1"/>
        <i x="18" s="1"/>
        <i x="2" s="1"/>
        <i x="8" s="1"/>
        <i x="64" s="1"/>
        <i x="34" s="1"/>
        <i x="42" s="1"/>
        <i x="44" s="1"/>
        <i x="88" s="1"/>
        <i x="53" s="1"/>
        <i x="75" s="1"/>
        <i x="74" s="1"/>
        <i x="26" s="1"/>
        <i x="82" s="1"/>
        <i x="28" s="1"/>
        <i x="67" s="1"/>
        <i x="38" s="1"/>
        <i x="22" s="1"/>
        <i x="80" s="1"/>
        <i x="49" s="1"/>
        <i x="24" s="1"/>
        <i x="77" s="1"/>
        <i x="69" s="1"/>
        <i x="37" s="1"/>
        <i x="11" s="1"/>
        <i x="43" s="1"/>
        <i x="54" s="1"/>
        <i x="50" s="1"/>
        <i x="12" s="1"/>
        <i x="62" s="1"/>
        <i x="21" s="1"/>
        <i x="73" s="1"/>
        <i x="13" s="1"/>
        <i x="30" s="1"/>
        <i x="29" s="1"/>
        <i x="6" s="1"/>
        <i x="27" s="1"/>
        <i x="65" s="1"/>
        <i x="45" s="1"/>
        <i x="56" s="1"/>
        <i x="51" s="1"/>
        <i x="87" s="1"/>
        <i x="20" s="1"/>
        <i x="4" s="1"/>
        <i x="40" s="1"/>
        <i x="84" s="1"/>
        <i x="1" s="1"/>
        <i x="23" s="1"/>
        <i x="33" s="1"/>
        <i x="81" s="1"/>
        <i x="61" s="1"/>
        <i x="3" s="1"/>
        <i x="0" s="1"/>
        <i x="16" s="1"/>
        <i x="7" s="1"/>
        <i x="19" s="1"/>
        <i x="83" s="1"/>
        <i x="6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F8A29ABA-17FD-4E73-8583-D1CAD47842B0}" sourceName="Employee Name">
  <pivotTables>
    <pivotTable tabId="9" name="PivotTable1"/>
    <pivotTable tabId="9" name="PivotTable2"/>
    <pivotTable tabId="9" name="PivotTable3"/>
    <pivotTable tabId="9" name="PivotTable7"/>
    <pivotTable tabId="9" name="PivotTable8"/>
    <pivotTable tabId="9" name="PivotTable9"/>
  </pivotTables>
  <data>
    <tabular pivotCacheId="83429434">
      <items count="9">
        <i x="7" s="1"/>
        <i x="4" s="1"/>
        <i x="3" s="1"/>
        <i x="6" s="1"/>
        <i x="2" s="1"/>
        <i x="1" s="1"/>
        <i x="5" s="1"/>
        <i x="8"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quarter" xr10:uid="{E19F559C-7AE7-4B5A-A010-DF0ACAD10ADA}" sourceName="year-quarter">
  <pivotTables>
    <pivotTable tabId="9" name="PivotTable3"/>
    <pivotTable tabId="9" name="PivotTable1"/>
    <pivotTable tabId="9" name="PivotTable2"/>
    <pivotTable tabId="9" name="PivotTable7"/>
    <pivotTable tabId="9" name="PivotTable8"/>
    <pivotTable tabId="9" name="PivotTable9"/>
  </pivotTables>
  <data>
    <tabular pivotCacheId="83429434">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1" xr10:uid="{D420BCF6-BE2A-48F4-849C-70008FD67FFE}" cache="Slicer_productName" caption="productName" rowHeight="249238"/>
  <slicer name="Product Availability" xr10:uid="{D4EA3228-ADFE-4E8B-A18A-548CE55ACED0}" cache="Slicer_Product_Availability" caption="Product Availability" rowHeight="249238"/>
  <slicer name="Delivery Status" xr10:uid="{6B06B5C1-1C03-4389-AAB2-A5905440AFC7}" cache="Slicer_Delivery_Status" caption="Delivery Status" rowHeight="249238"/>
  <slicer name="shipper name" xr10:uid="{303834FC-A35B-4D4B-BA43-5886AA2A8235}" cache="Slicer_shipper_name" caption="shipper name" rowHeight="249238"/>
  <slicer name="Customer name" xr10:uid="{F1896D65-9595-46D6-AC1E-CF5636CECB9E}" cache="Slicer_Customer_name" caption="Customer name" rowHeight="249238"/>
  <slicer name="Employee Name" xr10:uid="{CE4F87A2-6A21-4073-9941-75F4C9B75DB0}" cache="Slicer_Employee_Name" caption="Employee Name" rowHeight="249238"/>
  <slicer name="year-quarter" xr10:uid="{F66CC5E9-72BF-4A34-AF29-37F72B3DE7EF}" cache="Slicer_year_quarter" caption="year-quarter" rowHeight="24923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4C4265F7-7575-4976-96B7-C7D46A643EEA}" cache="Slicer_productName" caption="productName"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BCC25F-FA70-43A5-AD55-67634D5404ED}" name="Table1" displayName="Table1" ref="A1:V831" totalsRowShown="0" headerRowDxfId="172">
  <sortState xmlns:xlrd2="http://schemas.microsoft.com/office/spreadsheetml/2017/richdata2" ref="A2:V831">
    <sortCondition ref="A2:A831"/>
  </sortState>
  <tableColumns count="22">
    <tableColumn id="1" xr3:uid="{361DD12A-45D9-4E1C-9AF2-9372877983F1}" name="orderID" dataDxfId="171"/>
    <tableColumn id="2" xr3:uid="{AE5CED26-4BB2-449B-9E55-1EED1592EEF2}" name="CustomerID" dataDxfId="170"/>
    <tableColumn id="3" xr3:uid="{28568FE6-9FF7-4DED-B9F7-8096CE881540}" name="EmployeeID" dataDxfId="169"/>
    <tableColumn id="10" xr3:uid="{0C828A1C-809B-4539-A3F1-282CFF134CB0}" name="Employee Name" dataDxfId="168">
      <calculatedColumnFormula>_xlfn.XLOOKUP(Table1[[#This Row],[EmployeeID]],Table4[employeeID],Table4[employeeName])</calculatedColumnFormula>
    </tableColumn>
    <tableColumn id="4" xr3:uid="{5B20E82F-AB89-45EF-B5EE-04EEF8675CD4}" name="OrderDate" dataDxfId="167"/>
    <tableColumn id="5" xr3:uid="{48F97E9A-7774-4A1F-B14B-E983065A19C4}" name="RequiredDate" dataDxfId="166"/>
    <tableColumn id="6" xr3:uid="{A3CD978F-E336-4FC9-917D-C63F3EE4A186}" name="ShippedDate" dataDxfId="165"/>
    <tableColumn id="14" xr3:uid="{96B17AC7-F993-4B54-B792-7E15F3A772D1}" name="Days to ship" dataDxfId="164">
      <calculatedColumnFormula>IF(Table1[[#This Row],[ShippedDate]]="","",IF(Table1[[#This Row],[OrderDate]]="","",Table1[[#This Row],[ShippedDate]]-Table1[[#This Row],[OrderDate]]))</calculatedColumnFormula>
    </tableColumn>
    <tableColumn id="7" xr3:uid="{4A9A1379-31E4-4EF5-8C68-3BD557CD60B7}" name="shipperID" dataDxfId="163"/>
    <tableColumn id="8" xr3:uid="{1817DB2A-5590-4B76-81A7-785E253C033C}" name="freight" dataDxfId="162"/>
    <tableColumn id="9" xr3:uid="{C66DDB0B-348D-434D-9E49-9535ED2AEDD0}" name="Sales" dataDxfId="161">
      <calculatedColumnFormula>SUMIF(order_details!A:A,Table1[[#This Row],[orderID]],order_details!F:F)</calculatedColumnFormula>
    </tableColumn>
    <tableColumn id="13" xr3:uid="{A0FE1BEE-0342-4591-AC15-5669B3206849}" name="Discount" dataDxfId="160">
      <calculatedColumnFormula>_xlfn.XLOOKUP(Table1[[#This Row],[orderID]],Table3[orderID],Table3[discount])</calculatedColumnFormula>
    </tableColumn>
    <tableColumn id="21" xr3:uid="{4504DB81-2AE9-4633-954B-CEDA04ACBDA2}" name="total with freight" dataDxfId="159">
      <calculatedColumnFormula>SUM(Table1[[#This Row],[Sales]],Table1[[#This Row],[freight]])</calculatedColumnFormula>
    </tableColumn>
    <tableColumn id="22" xr3:uid="{901D29DD-8906-4B2E-84CC-8ED8C5E949D1}" name="quantity" dataDxfId="158">
      <calculatedColumnFormula>_xlfn.XLOOKUP(Table1[[#This Row],[orderID]],Table3[orderID],Table3[quantity])</calculatedColumnFormula>
    </tableColumn>
    <tableColumn id="11" xr3:uid="{2155B0B7-77E4-43CE-99FB-FA9DC5F5A9F4}" name="Customer name" dataDxfId="157">
      <calculatedColumnFormula>_xlfn.XLOOKUP(Table1[[#This Row],[CustomerID]],customers!A:A,customers!B:B)</calculatedColumnFormula>
    </tableColumn>
    <tableColumn id="12" xr3:uid="{EF840201-4839-46F6-80AC-3F6BF7B1D96B}" name="shipper name" dataDxfId="156">
      <calculatedColumnFormula>_xlfn.XLOOKUP(Table1[[#This Row],[shipperID]],Table6[shipperID],Table6[companyName])</calculatedColumnFormula>
    </tableColumn>
    <tableColumn id="17" xr3:uid="{49391979-B2BA-4586-BF1D-24C59B99B5AE}" name="year" dataDxfId="155">
      <calculatedColumnFormula>YEAR(Table1[[#This Row],[OrderDate]])</calculatedColumnFormula>
    </tableColumn>
    <tableColumn id="18" xr3:uid="{D664F9E4-3023-4EE2-9031-073508F2AA23}" name="month" dataDxfId="154">
      <calculatedColumnFormula>MONTH(Table1[[#This Row],[OrderDate]])</calculatedColumnFormula>
    </tableColumn>
    <tableColumn id="19" xr3:uid="{5A287C27-B2E2-4D81-AF6B-8DBBEEBCA86E}" name="Quarter" dataDxfId="153">
      <calculatedColumnFormula>"Q"&amp;ROUNDUP(Table1[[#This Row],[month]]/3,0)</calculatedColumnFormula>
    </tableColumn>
    <tableColumn id="20" xr3:uid="{C7862AA3-0772-4D57-A55C-355C615095D2}" name="year-quarter" dataDxfId="152">
      <calculatedColumnFormula>CONCATENATE(Table1[[#This Row],[year]],"-",Table1[[#This Row],[Quarter]])</calculatedColumnFormula>
    </tableColumn>
    <tableColumn id="23" xr3:uid="{36D9EB5C-A649-4904-B09E-F5995A44A21B}" name="Delivery Status" dataDxfId="151">
      <calculatedColumnFormula>IF(H1="","Pending",IF(Table1[[#This Row],[Days to ship]]&lt;Table1[[#This Row],[RequiredDate]],"On Time","Late"))</calculatedColumnFormula>
    </tableColumn>
    <tableColumn id="24" xr3:uid="{BDD5939C-F188-450A-A06C-6BDB6CFFEC3A}" name="unit price" dataDxfId="150">
      <calculatedColumnFormula>_xlfn.XLOOKUP(Table1[[#This Row],[orderID]],Table3[orderID],Table3[unitPrice])</calculatedColumnFormula>
    </tableColumn>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A5D314-C81F-476F-BEE8-373BA964F93D}" name="Table2" displayName="Table2" ref="A1:H78" totalsRowShown="0">
  <autoFilter ref="A1:H78" xr:uid="{4FA5D314-C81F-476F-BEE8-373BA964F93D}"/>
  <tableColumns count="8">
    <tableColumn id="1" xr3:uid="{FDD57A3C-B1E7-46ED-A9BD-34E11AA49ECB}" name="productID" dataDxfId="149"/>
    <tableColumn id="2" xr3:uid="{E9E9C310-D944-413E-A0B0-8304DC21CCB0}" name="productName" dataDxfId="148"/>
    <tableColumn id="3" xr3:uid="{C23F154D-D6DD-4F82-94BF-B3A98B5E8069}" name="quantityPerUnit"/>
    <tableColumn id="4" xr3:uid="{36318127-1891-45C1-AFD3-5E7BE600AE33}" name="unitPrice" dataDxfId="147"/>
    <tableColumn id="5" xr3:uid="{62AFF239-BBF6-45EF-B4EA-925A6A3405CD}" name="discontinued" dataDxfId="146"/>
    <tableColumn id="7" xr3:uid="{D3B1EF61-9E2B-4586-BC53-623321D13FF6}" name="Product Availability" dataDxfId="145">
      <calculatedColumnFormula>IF(Table2[[#This Row],[discontinued]]=0,"Available"," Not Available")</calculatedColumnFormula>
    </tableColumn>
    <tableColumn id="6" xr3:uid="{B17542B0-6A3D-418F-98A5-52BAA3D7AB7D}" name="categoryID" dataDxfId="144"/>
    <tableColumn id="8" xr3:uid="{997E0B68-6CE9-4F82-AE6F-963F495FF6AF}" name="Sales" dataDxfId="143">
      <calculatedColumnFormula>SUMIF(order_details!B:B,Table2[[#This Row],[productID]],order_details!F:F)</calculatedColumnFormula>
    </tableColumn>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F75163-ED91-45EF-B546-DA39577E33D4}" name="Table3" displayName="Table3" ref="A1:F2156" totalsRowShown="0">
  <tableColumns count="6">
    <tableColumn id="1" xr3:uid="{FEDFC010-B0B8-4F02-A981-12903966CB0A}" name="orderID" dataDxfId="142"/>
    <tableColumn id="2" xr3:uid="{CA7EFEF4-0A9D-4D0E-8E4C-48FDFF88AC87}" name="productID" dataDxfId="141"/>
    <tableColumn id="3" xr3:uid="{D3E1EBDF-2103-49DB-9290-BAD5CCE7BEEF}" name="unitPrice" dataDxfId="140"/>
    <tableColumn id="4" xr3:uid="{E97A2611-FCB2-45FE-87AD-DBC37FF34CC2}" name="quantity" dataDxfId="139"/>
    <tableColumn id="5" xr3:uid="{2C351775-6E47-43C4-B275-A9BE274FF7D9}" name="discount" dataCellStyle="Percent"/>
    <tableColumn id="6" xr3:uid="{8B51F951-6EDA-4F87-8DD0-B90430DCC3D8}" name="Sales" dataDxfId="138">
      <calculatedColumnFormula>C2*D2*(1-E2)</calculatedColumnFormula>
    </tableColumn>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9A0BAC-F59E-4CD5-92BD-E879EABEC284}" name="Table4" displayName="Table4" ref="A1:F10" totalsRowShown="0">
  <autoFilter ref="A1:F10" xr:uid="{539A0BAC-F59E-4CD5-92BD-E879EABEC284}"/>
  <tableColumns count="6">
    <tableColumn id="1" xr3:uid="{D36ABE09-ABBD-4FC7-ADE3-E492BE45C8FA}" name="employeeID" dataDxfId="137"/>
    <tableColumn id="2" xr3:uid="{906FB013-9A4D-4671-9F28-CE6434AB5495}" name="employeeName" dataDxfId="136"/>
    <tableColumn id="3" xr3:uid="{7D502318-9298-4F57-9EC0-9B3D43951E7B}" name="title" dataDxfId="135"/>
    <tableColumn id="4" xr3:uid="{B0BD124E-C5AF-4463-999A-A5F8853FADC9}" name="city" dataDxfId="134"/>
    <tableColumn id="5" xr3:uid="{C39A49B0-1F59-40A1-AD16-3937A742A47C}" name="country" dataDxfId="133"/>
    <tableColumn id="6" xr3:uid="{3BD5D68B-3F16-49EE-9B9D-B1FD5D7A7081}" name="reportsTo" dataDxfId="132"/>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4D02F9-97D2-4119-817D-B536E022165F}" name="Table5" displayName="Table5" ref="A1:F92" totalsRowShown="0">
  <autoFilter ref="A1:F92" xr:uid="{DE4D02F9-97D2-4119-817D-B536E022165F}"/>
  <tableColumns count="6">
    <tableColumn id="1" xr3:uid="{91DD6C7E-3516-4C54-8AC6-62A76D1D82EE}" name="customerID" dataDxfId="131"/>
    <tableColumn id="2" xr3:uid="{6842482C-4A77-4F54-9E74-E9A3DF9D8621}" name="companyName" dataDxfId="130"/>
    <tableColumn id="3" xr3:uid="{F9999766-308C-4438-A808-B74CF70910EE}" name="contactName" dataDxfId="129"/>
    <tableColumn id="4" xr3:uid="{D39F7A32-27C6-4875-87F7-EA3A1411B8AD}" name="contactTitle" dataDxfId="128"/>
    <tableColumn id="5" xr3:uid="{175F88C0-DA40-4A46-B4C4-FE13B3B73ECD}" name="city" dataDxfId="127"/>
    <tableColumn id="6" xr3:uid="{7F0DCA82-C03E-4BD2-A35B-3D2240F484F6}" name="country" dataDxfId="126"/>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A82A4F8-3EFA-4066-8D7D-123C5962587B}" name="Table6" displayName="Table6" ref="A1:B4" totalsRowShown="0" headerRowDxfId="125" dataDxfId="124">
  <autoFilter ref="A1:B4" xr:uid="{0A82A4F8-3EFA-4066-8D7D-123C5962587B}"/>
  <tableColumns count="2">
    <tableColumn id="1" xr3:uid="{348255B4-A23A-4FC6-B45D-1115E2C87223}" name="shipperID" dataDxfId="123"/>
    <tableColumn id="2" xr3:uid="{F44C3D4D-63C2-4647-8ED0-20C13EE7D9C7}" name="companyName" dataDxfId="122"/>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B6D8ADA-61AA-44A9-97BC-84AD027CC158}" name="Table7" displayName="Table7" ref="A1:C9" totalsRowShown="0">
  <autoFilter ref="A1:C9" xr:uid="{3B6D8ADA-61AA-44A9-97BC-84AD027CC158}"/>
  <tableColumns count="3">
    <tableColumn id="1" xr3:uid="{45393CA0-74CB-4206-A985-B48D6CA54D54}" name="categoryID" dataDxfId="121"/>
    <tableColumn id="2" xr3:uid="{2017607D-C8D0-4529-96AD-CE0D8CD4BF5F}" name="categoryName" dataDxfId="120"/>
    <tableColumn id="3" xr3:uid="{69B8B16C-41D0-41D5-888A-C6A7E0C81C04}" name="description" dataDxfId="119"/>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86CFC-9AA6-4486-888F-5C45C147FD29}">
  <dimension ref="A3:B340"/>
  <sheetViews>
    <sheetView topLeftCell="A250" zoomScaleNormal="100" workbookViewId="0">
      <selection activeCell="AD265" sqref="AD265"/>
      <extLst>
        <ext xmlns:xlsdti="http://schemas.microsoft.com/office/spreadsheetml/2023/showDataTypeIcons" uri="{77bfe23e-c014-4d31-8a63-9c772dbf06b6}">
          <xlsdti:showDataTypeIcons visible="0"/>
        </ext>
      </extLst>
    </sheetView>
  </sheetViews>
  <sheetFormatPr defaultRowHeight="14.25" x14ac:dyDescent="0.45"/>
  <cols>
    <col min="1" max="1" width="14.59765625" bestFit="1" customWidth="1"/>
    <col min="2" max="2" width="11" bestFit="1" customWidth="1"/>
    <col min="3" max="3" width="4.19921875" bestFit="1" customWidth="1"/>
    <col min="4" max="26" width="3.19921875" bestFit="1" customWidth="1"/>
    <col min="27" max="27" width="3.73046875" bestFit="1" customWidth="1"/>
    <col min="28" max="34" width="3.19921875" bestFit="1" customWidth="1"/>
    <col min="35" max="35" width="3.73046875" bestFit="1" customWidth="1"/>
    <col min="36" max="40" width="3.19921875" bestFit="1" customWidth="1"/>
    <col min="41" max="41" width="3.73046875" bestFit="1" customWidth="1"/>
    <col min="42" max="49" width="3.19921875" bestFit="1" customWidth="1"/>
    <col min="50" max="50" width="9.86328125" bestFit="1" customWidth="1"/>
  </cols>
  <sheetData>
    <row r="3" spans="1:2" x14ac:dyDescent="0.45">
      <c r="A3" s="7" t="s">
        <v>593</v>
      </c>
      <c r="B3" t="s">
        <v>592</v>
      </c>
    </row>
    <row r="4" spans="1:2" x14ac:dyDescent="0.45">
      <c r="A4" s="8" t="s">
        <v>595</v>
      </c>
      <c r="B4" s="9">
        <v>0.96835981905634672</v>
      </c>
    </row>
    <row r="5" spans="1:2" x14ac:dyDescent="0.45">
      <c r="A5" s="8" t="s">
        <v>596</v>
      </c>
      <c r="B5" s="9">
        <v>2.0046771090079067E-2</v>
      </c>
    </row>
    <row r="6" spans="1:2" x14ac:dyDescent="0.45">
      <c r="A6" s="8" t="s">
        <v>594</v>
      </c>
      <c r="B6" s="9">
        <v>1.1593409853574266E-2</v>
      </c>
    </row>
    <row r="7" spans="1:2" x14ac:dyDescent="0.45">
      <c r="A7" s="8" t="s">
        <v>597</v>
      </c>
      <c r="B7" s="9">
        <v>1</v>
      </c>
    </row>
    <row r="25" spans="1:2" x14ac:dyDescent="0.45">
      <c r="A25" s="7" t="s">
        <v>593</v>
      </c>
      <c r="B25" t="s">
        <v>598</v>
      </c>
    </row>
    <row r="26" spans="1:2" x14ac:dyDescent="0.45">
      <c r="A26" s="8" t="s">
        <v>600</v>
      </c>
      <c r="B26" s="9">
        <v>0.85385373340884119</v>
      </c>
    </row>
    <row r="27" spans="1:2" x14ac:dyDescent="0.45">
      <c r="A27" s="8" t="s">
        <v>599</v>
      </c>
      <c r="B27" s="9">
        <v>0.14614626659115867</v>
      </c>
    </row>
    <row r="28" spans="1:2" x14ac:dyDescent="0.45">
      <c r="A28" s="8" t="s">
        <v>597</v>
      </c>
      <c r="B28" s="9">
        <v>1</v>
      </c>
    </row>
    <row r="38" spans="1:2" x14ac:dyDescent="0.45">
      <c r="A38" s="7" t="s">
        <v>593</v>
      </c>
      <c r="B38" s="11" t="s">
        <v>598</v>
      </c>
    </row>
    <row r="39" spans="1:2" x14ac:dyDescent="0.45">
      <c r="A39" s="8" t="s">
        <v>78</v>
      </c>
      <c r="B39" s="11">
        <v>141396.73499999999</v>
      </c>
    </row>
    <row r="40" spans="1:2" x14ac:dyDescent="0.45">
      <c r="A40" s="8" t="s">
        <v>62</v>
      </c>
      <c r="B40" s="11">
        <v>80368.672000000006</v>
      </c>
    </row>
    <row r="41" spans="1:2" x14ac:dyDescent="0.45">
      <c r="A41" s="8" t="s">
        <v>119</v>
      </c>
      <c r="B41" s="11">
        <v>71155.7</v>
      </c>
    </row>
    <row r="42" spans="1:2" x14ac:dyDescent="0.45">
      <c r="A42" s="8" t="s">
        <v>125</v>
      </c>
      <c r="B42" s="11">
        <v>47234.97</v>
      </c>
    </row>
    <row r="43" spans="1:2" x14ac:dyDescent="0.45">
      <c r="A43" s="8" t="s">
        <v>121</v>
      </c>
      <c r="B43" s="11">
        <v>46825.48</v>
      </c>
    </row>
    <row r="44" spans="1:2" x14ac:dyDescent="0.45">
      <c r="A44" s="8" t="s">
        <v>114</v>
      </c>
      <c r="B44" s="11">
        <v>42593.06</v>
      </c>
    </row>
    <row r="45" spans="1:2" x14ac:dyDescent="0.45">
      <c r="A45" s="8" t="s">
        <v>104</v>
      </c>
      <c r="B45" s="11">
        <v>41819.65</v>
      </c>
    </row>
    <row r="46" spans="1:2" x14ac:dyDescent="0.45">
      <c r="A46" s="8" t="s">
        <v>38</v>
      </c>
      <c r="B46" s="11">
        <v>32698.379999999997</v>
      </c>
    </row>
    <row r="47" spans="1:2" x14ac:dyDescent="0.45">
      <c r="A47" s="8" t="s">
        <v>40</v>
      </c>
      <c r="B47" s="11">
        <v>29171.875</v>
      </c>
    </row>
    <row r="48" spans="1:2" x14ac:dyDescent="0.45">
      <c r="A48" s="8" t="s">
        <v>60</v>
      </c>
      <c r="B48" s="11">
        <v>25696.640000000007</v>
      </c>
    </row>
    <row r="49" spans="1:2" x14ac:dyDescent="0.45">
      <c r="A49" s="8" t="s">
        <v>143</v>
      </c>
      <c r="B49" s="11">
        <v>24900.13</v>
      </c>
    </row>
    <row r="50" spans="1:2" x14ac:dyDescent="0.45">
      <c r="A50" s="8" t="s">
        <v>88</v>
      </c>
      <c r="B50" s="11">
        <v>23526.699999999997</v>
      </c>
    </row>
    <row r="51" spans="1:2" x14ac:dyDescent="0.45">
      <c r="A51" s="8" t="s">
        <v>44</v>
      </c>
      <c r="B51" s="11">
        <v>22563.359999999997</v>
      </c>
    </row>
    <row r="52" spans="1:2" x14ac:dyDescent="0.45">
      <c r="A52" s="8" t="s">
        <v>18</v>
      </c>
      <c r="B52" s="11">
        <v>22044.3</v>
      </c>
    </row>
    <row r="53" spans="1:2" x14ac:dyDescent="0.45">
      <c r="A53" s="8" t="s">
        <v>129</v>
      </c>
      <c r="B53" s="11">
        <v>21957.967500000002</v>
      </c>
    </row>
    <row r="54" spans="1:2" x14ac:dyDescent="0.45">
      <c r="A54" s="8" t="s">
        <v>138</v>
      </c>
      <c r="B54" s="11">
        <v>21942.36</v>
      </c>
    </row>
    <row r="55" spans="1:2" x14ac:dyDescent="0.45">
      <c r="A55" s="8" t="s">
        <v>24</v>
      </c>
      <c r="B55" s="11">
        <v>20867.340000000004</v>
      </c>
    </row>
    <row r="56" spans="1:2" x14ac:dyDescent="0.45">
      <c r="A56" s="8" t="s">
        <v>108</v>
      </c>
      <c r="B56" s="11">
        <v>20574.170000000006</v>
      </c>
    </row>
    <row r="57" spans="1:2" x14ac:dyDescent="0.45">
      <c r="A57" s="8" t="s">
        <v>56</v>
      </c>
      <c r="B57" s="11">
        <v>19849.144500000002</v>
      </c>
    </row>
    <row r="58" spans="1:2" x14ac:dyDescent="0.45">
      <c r="A58" s="8" t="s">
        <v>142</v>
      </c>
      <c r="B58" s="11">
        <v>19551.024999999998</v>
      </c>
    </row>
    <row r="59" spans="1:2" x14ac:dyDescent="0.45">
      <c r="A59" s="8" t="s">
        <v>82</v>
      </c>
      <c r="B59" s="11">
        <v>17910.63</v>
      </c>
    </row>
    <row r="60" spans="1:2" x14ac:dyDescent="0.45">
      <c r="A60" s="8" t="s">
        <v>112</v>
      </c>
      <c r="B60" s="11">
        <v>17426.400000000001</v>
      </c>
    </row>
    <row r="61" spans="1:2" x14ac:dyDescent="0.45">
      <c r="A61" s="8" t="s">
        <v>36</v>
      </c>
      <c r="B61" s="11">
        <v>17215.775499999996</v>
      </c>
    </row>
    <row r="62" spans="1:2" x14ac:dyDescent="0.45">
      <c r="A62" s="8" t="s">
        <v>127</v>
      </c>
      <c r="B62" s="11">
        <v>16701.095000000001</v>
      </c>
    </row>
    <row r="63" spans="1:2" x14ac:dyDescent="0.45">
      <c r="A63" s="8" t="s">
        <v>8</v>
      </c>
      <c r="B63" s="11">
        <v>16355.96</v>
      </c>
    </row>
    <row r="64" spans="1:2" x14ac:dyDescent="0.45">
      <c r="A64" s="8" t="s">
        <v>149</v>
      </c>
      <c r="B64" s="11">
        <v>15760.44</v>
      </c>
    </row>
    <row r="65" spans="1:2" x14ac:dyDescent="0.45">
      <c r="A65" s="8" t="s">
        <v>58</v>
      </c>
      <c r="B65" s="11">
        <v>15099.875</v>
      </c>
    </row>
    <row r="66" spans="1:2" x14ac:dyDescent="0.45">
      <c r="A66" s="8" t="s">
        <v>66</v>
      </c>
      <c r="B66" s="11">
        <v>14920.875</v>
      </c>
    </row>
    <row r="67" spans="1:2" x14ac:dyDescent="0.45">
      <c r="A67" s="8" t="s">
        <v>123</v>
      </c>
      <c r="B67" s="11">
        <v>14352.6</v>
      </c>
    </row>
    <row r="68" spans="1:2" x14ac:dyDescent="0.45">
      <c r="A68" s="8" t="s">
        <v>131</v>
      </c>
      <c r="B68" s="11">
        <v>13869.890000000001</v>
      </c>
    </row>
    <row r="69" spans="1:2" x14ac:dyDescent="0.45">
      <c r="A69" s="8" t="s">
        <v>73</v>
      </c>
      <c r="B69" s="11">
        <v>13643.999999999998</v>
      </c>
    </row>
    <row r="70" spans="1:2" x14ac:dyDescent="0.45">
      <c r="A70" s="8" t="s">
        <v>74</v>
      </c>
      <c r="B70" s="11">
        <v>13458.460000000001</v>
      </c>
    </row>
    <row r="71" spans="1:2" x14ac:dyDescent="0.45">
      <c r="A71" s="8" t="s">
        <v>64</v>
      </c>
      <c r="B71" s="11">
        <v>13424.197500000002</v>
      </c>
    </row>
    <row r="72" spans="1:2" x14ac:dyDescent="0.45">
      <c r="A72" s="8" t="s">
        <v>26</v>
      </c>
      <c r="B72" s="11">
        <v>12901.77</v>
      </c>
    </row>
    <row r="73" spans="1:2" x14ac:dyDescent="0.45">
      <c r="A73" s="8" t="s">
        <v>6</v>
      </c>
      <c r="B73" s="11">
        <v>12788.1</v>
      </c>
    </row>
    <row r="74" spans="1:2" x14ac:dyDescent="0.45">
      <c r="A74" s="8" t="s">
        <v>20</v>
      </c>
      <c r="B74" s="11">
        <v>12772</v>
      </c>
    </row>
    <row r="75" spans="1:2" x14ac:dyDescent="0.45">
      <c r="A75" s="8" t="s">
        <v>80</v>
      </c>
      <c r="B75" s="11">
        <v>12294.54</v>
      </c>
    </row>
    <row r="76" spans="1:2" x14ac:dyDescent="0.45">
      <c r="A76" s="8" t="s">
        <v>28</v>
      </c>
      <c r="B76" s="11">
        <v>12257.660000000002</v>
      </c>
    </row>
    <row r="77" spans="1:2" x14ac:dyDescent="0.45">
      <c r="A77" s="8" t="s">
        <v>140</v>
      </c>
      <c r="B77" s="11">
        <v>10672.65</v>
      </c>
    </row>
    <row r="78" spans="1:2" x14ac:dyDescent="0.45">
      <c r="A78" s="8" t="s">
        <v>90</v>
      </c>
      <c r="B78" s="11">
        <v>9915.9450000000015</v>
      </c>
    </row>
    <row r="79" spans="1:2" x14ac:dyDescent="0.45">
      <c r="A79" s="8" t="s">
        <v>100</v>
      </c>
      <c r="B79" s="11">
        <v>9244.6</v>
      </c>
    </row>
    <row r="80" spans="1:2" x14ac:dyDescent="0.45">
      <c r="A80" s="8" t="s">
        <v>151</v>
      </c>
      <c r="B80" s="11">
        <v>9171.6299999999992</v>
      </c>
    </row>
    <row r="81" spans="1:2" x14ac:dyDescent="0.45">
      <c r="A81" s="8" t="s">
        <v>46</v>
      </c>
      <c r="B81" s="11">
        <v>9104</v>
      </c>
    </row>
    <row r="82" spans="1:2" x14ac:dyDescent="0.45">
      <c r="A82" s="8" t="s">
        <v>136</v>
      </c>
      <c r="B82" s="11">
        <v>8714</v>
      </c>
    </row>
    <row r="83" spans="1:2" x14ac:dyDescent="0.45">
      <c r="A83" s="8" t="s">
        <v>84</v>
      </c>
      <c r="B83" s="11">
        <v>8680.3450000000048</v>
      </c>
    </row>
    <row r="84" spans="1:2" x14ac:dyDescent="0.45">
      <c r="A84" s="8" t="s">
        <v>86</v>
      </c>
      <c r="B84" s="11">
        <v>8575</v>
      </c>
    </row>
    <row r="85" spans="1:2" x14ac:dyDescent="0.45">
      <c r="A85" s="8" t="s">
        <v>12</v>
      </c>
      <c r="B85" s="11">
        <v>8567.9000000000015</v>
      </c>
    </row>
    <row r="86" spans="1:2" x14ac:dyDescent="0.45">
      <c r="A86" s="8" t="s">
        <v>68</v>
      </c>
      <c r="B86" s="11">
        <v>8404.16</v>
      </c>
    </row>
    <row r="87" spans="1:2" x14ac:dyDescent="0.45">
      <c r="A87" s="8" t="s">
        <v>147</v>
      </c>
      <c r="B87" s="11">
        <v>8177.4899999999989</v>
      </c>
    </row>
    <row r="88" spans="1:2" x14ac:dyDescent="0.45">
      <c r="A88" s="8" t="s">
        <v>32</v>
      </c>
      <c r="B88" s="11">
        <v>7991.4899999999989</v>
      </c>
    </row>
    <row r="89" spans="1:2" x14ac:dyDescent="0.45">
      <c r="A89" s="8" t="s">
        <v>116</v>
      </c>
      <c r="B89" s="11">
        <v>7661.5499999999993</v>
      </c>
    </row>
    <row r="90" spans="1:2" x14ac:dyDescent="0.45">
      <c r="A90" s="8" t="s">
        <v>22</v>
      </c>
      <c r="B90" s="11">
        <v>7226.5</v>
      </c>
    </row>
    <row r="91" spans="1:2" x14ac:dyDescent="0.45">
      <c r="A91" s="8" t="s">
        <v>16</v>
      </c>
      <c r="B91" s="11">
        <v>7137</v>
      </c>
    </row>
    <row r="92" spans="1:2" x14ac:dyDescent="0.45">
      <c r="A92" s="8" t="s">
        <v>48</v>
      </c>
      <c r="B92" s="11">
        <v>7122.3600000000006</v>
      </c>
    </row>
    <row r="93" spans="1:2" x14ac:dyDescent="0.45">
      <c r="A93" s="8" t="s">
        <v>72</v>
      </c>
      <c r="B93" s="11">
        <v>6350.4</v>
      </c>
    </row>
    <row r="94" spans="1:2" x14ac:dyDescent="0.45">
      <c r="A94" s="8" t="s">
        <v>94</v>
      </c>
      <c r="B94" s="11">
        <v>5882.9999999999991</v>
      </c>
    </row>
    <row r="95" spans="1:2" x14ac:dyDescent="0.45">
      <c r="A95" s="8" t="s">
        <v>117</v>
      </c>
      <c r="B95" s="11">
        <v>5881.6749999999993</v>
      </c>
    </row>
    <row r="96" spans="1:2" x14ac:dyDescent="0.45">
      <c r="A96" s="8" t="s">
        <v>42</v>
      </c>
      <c r="B96" s="11">
        <v>5862.6199999999981</v>
      </c>
    </row>
    <row r="97" spans="1:2" x14ac:dyDescent="0.45">
      <c r="A97" s="8" t="s">
        <v>14</v>
      </c>
      <c r="B97" s="11">
        <v>5347.2000000000007</v>
      </c>
    </row>
    <row r="98" spans="1:2" x14ac:dyDescent="0.45">
      <c r="A98" s="8" t="s">
        <v>30</v>
      </c>
      <c r="B98" s="11">
        <v>4960.4400000000005</v>
      </c>
    </row>
    <row r="99" spans="1:2" x14ac:dyDescent="0.45">
      <c r="A99" s="8" t="s">
        <v>110</v>
      </c>
      <c r="B99" s="11">
        <v>4728.2375000000002</v>
      </c>
    </row>
    <row r="100" spans="1:2" x14ac:dyDescent="0.45">
      <c r="A100" s="8" t="s">
        <v>50</v>
      </c>
      <c r="B100" s="11">
        <v>4601.7</v>
      </c>
    </row>
    <row r="101" spans="1:2" x14ac:dyDescent="0.45">
      <c r="A101" s="8" t="s">
        <v>52</v>
      </c>
      <c r="B101" s="11">
        <v>4504.3649999999998</v>
      </c>
    </row>
    <row r="102" spans="1:2" x14ac:dyDescent="0.45">
      <c r="A102" s="8" t="s">
        <v>92</v>
      </c>
      <c r="B102" s="11">
        <v>4338.1750000000002</v>
      </c>
    </row>
    <row r="103" spans="1:2" x14ac:dyDescent="0.45">
      <c r="A103" s="8" t="s">
        <v>144</v>
      </c>
      <c r="B103" s="11">
        <v>3997.2</v>
      </c>
    </row>
    <row r="104" spans="1:2" x14ac:dyDescent="0.45">
      <c r="A104" s="8" t="s">
        <v>96</v>
      </c>
      <c r="B104" s="11">
        <v>3958.08</v>
      </c>
    </row>
    <row r="105" spans="1:2" x14ac:dyDescent="0.45">
      <c r="A105" s="8" t="s">
        <v>54</v>
      </c>
      <c r="B105" s="11">
        <v>3704.3999999999996</v>
      </c>
    </row>
    <row r="106" spans="1:2" x14ac:dyDescent="0.45">
      <c r="A106" s="8" t="s">
        <v>102</v>
      </c>
      <c r="B106" s="11">
        <v>3437.6875</v>
      </c>
    </row>
    <row r="107" spans="1:2" x14ac:dyDescent="0.45">
      <c r="A107" s="8" t="s">
        <v>133</v>
      </c>
      <c r="B107" s="11">
        <v>3383</v>
      </c>
    </row>
    <row r="108" spans="1:2" x14ac:dyDescent="0.45">
      <c r="A108" s="8" t="s">
        <v>106</v>
      </c>
      <c r="B108" s="11">
        <v>3232.9500000000003</v>
      </c>
    </row>
    <row r="109" spans="1:2" x14ac:dyDescent="0.45">
      <c r="A109" s="8" t="s">
        <v>10</v>
      </c>
      <c r="B109" s="11">
        <v>3044</v>
      </c>
    </row>
    <row r="110" spans="1:2" x14ac:dyDescent="0.45">
      <c r="A110" s="8" t="s">
        <v>76</v>
      </c>
      <c r="B110" s="11">
        <v>2688.3999999999996</v>
      </c>
    </row>
    <row r="111" spans="1:2" x14ac:dyDescent="0.45">
      <c r="A111" s="8" t="s">
        <v>146</v>
      </c>
      <c r="B111" s="11">
        <v>2432.5</v>
      </c>
    </row>
    <row r="112" spans="1:2" x14ac:dyDescent="0.45">
      <c r="A112" s="8" t="s">
        <v>135</v>
      </c>
      <c r="B112" s="11">
        <v>2396.8000000000002</v>
      </c>
    </row>
    <row r="113" spans="1:2" x14ac:dyDescent="0.45">
      <c r="A113" s="8" t="s">
        <v>34</v>
      </c>
      <c r="B113" s="11">
        <v>1784.825</v>
      </c>
    </row>
    <row r="114" spans="1:2" x14ac:dyDescent="0.45">
      <c r="A114" s="8" t="s">
        <v>70</v>
      </c>
      <c r="B114" s="11">
        <v>1648.125</v>
      </c>
    </row>
    <row r="115" spans="1:2" x14ac:dyDescent="0.45">
      <c r="A115" s="8" t="s">
        <v>98</v>
      </c>
      <c r="B115" s="11">
        <v>1368.7125000000001</v>
      </c>
    </row>
    <row r="116" spans="1:2" x14ac:dyDescent="0.45">
      <c r="A116" s="8" t="s">
        <v>597</v>
      </c>
      <c r="B116" s="11">
        <v>1265793.0395000004</v>
      </c>
    </row>
    <row r="120" spans="1:2" x14ac:dyDescent="0.45">
      <c r="A120" s="7" t="s">
        <v>593</v>
      </c>
      <c r="B120" t="s">
        <v>598</v>
      </c>
    </row>
    <row r="121" spans="1:2" x14ac:dyDescent="0.45">
      <c r="A121" s="8" t="s">
        <v>607</v>
      </c>
      <c r="B121" s="10">
        <v>298491.55299999996</v>
      </c>
    </row>
    <row r="122" spans="1:2" x14ac:dyDescent="0.45">
      <c r="A122" s="8" t="s">
        <v>606</v>
      </c>
      <c r="B122" s="10">
        <v>181681.46350000004</v>
      </c>
    </row>
    <row r="123" spans="1:2" x14ac:dyDescent="0.45">
      <c r="A123" s="8" t="s">
        <v>605</v>
      </c>
      <c r="B123" s="10">
        <v>153937.77000000005</v>
      </c>
    </row>
    <row r="124" spans="1:2" x14ac:dyDescent="0.45">
      <c r="A124" s="8" t="s">
        <v>604</v>
      </c>
      <c r="B124" s="10">
        <v>143177.04499999998</v>
      </c>
    </row>
    <row r="125" spans="1:2" x14ac:dyDescent="0.45">
      <c r="A125" s="8" t="s">
        <v>608</v>
      </c>
      <c r="B125" s="10">
        <v>142132.31299999999</v>
      </c>
    </row>
    <row r="126" spans="1:2" x14ac:dyDescent="0.45">
      <c r="A126" s="8" t="s">
        <v>603</v>
      </c>
      <c r="B126" s="10">
        <v>138288.92500000005</v>
      </c>
    </row>
    <row r="127" spans="1:2" x14ac:dyDescent="0.45">
      <c r="A127" s="8" t="s">
        <v>602</v>
      </c>
      <c r="B127" s="10">
        <v>128355.40000000001</v>
      </c>
    </row>
    <row r="128" spans="1:2" x14ac:dyDescent="0.45">
      <c r="A128" s="8" t="s">
        <v>601</v>
      </c>
      <c r="B128" s="10">
        <v>79728.570000000007</v>
      </c>
    </row>
    <row r="129" spans="1:2" x14ac:dyDescent="0.45">
      <c r="A129" s="8" t="s">
        <v>597</v>
      </c>
      <c r="B129" s="10">
        <v>1265793.0395000002</v>
      </c>
    </row>
    <row r="134" spans="1:2" x14ac:dyDescent="0.45">
      <c r="A134" s="7" t="s">
        <v>593</v>
      </c>
      <c r="B134" t="s">
        <v>609</v>
      </c>
    </row>
    <row r="135" spans="1:2" x14ac:dyDescent="0.45">
      <c r="A135" s="8" t="s">
        <v>555</v>
      </c>
      <c r="B135" s="11">
        <v>561792.48399999959</v>
      </c>
    </row>
    <row r="136" spans="1:2" x14ac:dyDescent="0.45">
      <c r="A136" s="8" t="s">
        <v>554</v>
      </c>
      <c r="B136" s="11">
        <v>403917.97800000018</v>
      </c>
    </row>
    <row r="137" spans="1:2" x14ac:dyDescent="0.45">
      <c r="A137" s="8" t="s">
        <v>556</v>
      </c>
      <c r="B137" s="11">
        <v>365025.2674999999</v>
      </c>
    </row>
    <row r="138" spans="1:2" x14ac:dyDescent="0.45">
      <c r="A138" s="8" t="s">
        <v>597</v>
      </c>
      <c r="B138" s="11">
        <v>1330735.7294999997</v>
      </c>
    </row>
    <row r="142" spans="1:2" x14ac:dyDescent="0.45">
      <c r="A142" s="7" t="s">
        <v>593</v>
      </c>
      <c r="B142" s="11" t="s">
        <v>598</v>
      </c>
    </row>
    <row r="143" spans="1:2" x14ac:dyDescent="0.45">
      <c r="A143" s="8" t="s">
        <v>377</v>
      </c>
      <c r="B143" s="11">
        <v>110277.30500000001</v>
      </c>
    </row>
    <row r="144" spans="1:2" x14ac:dyDescent="0.45">
      <c r="A144" s="8" t="s">
        <v>503</v>
      </c>
      <c r="B144" s="11">
        <v>104874.9785</v>
      </c>
    </row>
    <row r="145" spans="1:2" x14ac:dyDescent="0.45">
      <c r="A145" s="8" t="s">
        <v>346</v>
      </c>
      <c r="B145" s="11">
        <v>104361.95</v>
      </c>
    </row>
    <row r="146" spans="1:2" x14ac:dyDescent="0.45">
      <c r="A146" s="8" t="s">
        <v>370</v>
      </c>
      <c r="B146" s="11">
        <v>51097.800500000005</v>
      </c>
    </row>
    <row r="147" spans="1:2" x14ac:dyDescent="0.45">
      <c r="A147" s="8" t="s">
        <v>454</v>
      </c>
      <c r="B147" s="11">
        <v>49979.904999999999</v>
      </c>
    </row>
    <row r="148" spans="1:2" x14ac:dyDescent="0.45">
      <c r="A148" s="8" t="s">
        <v>462</v>
      </c>
      <c r="B148" s="11">
        <v>32841.369999999995</v>
      </c>
    </row>
    <row r="149" spans="1:2" x14ac:dyDescent="0.45">
      <c r="A149" s="8" t="s">
        <v>447</v>
      </c>
      <c r="B149" s="11">
        <v>30908.384000000002</v>
      </c>
    </row>
    <row r="150" spans="1:2" x14ac:dyDescent="0.45">
      <c r="A150" s="8" t="s">
        <v>492</v>
      </c>
      <c r="B150" s="11">
        <v>29567.5625</v>
      </c>
    </row>
    <row r="151" spans="1:2" x14ac:dyDescent="0.45">
      <c r="A151" s="8" t="s">
        <v>411</v>
      </c>
      <c r="B151" s="11">
        <v>28872.190000000002</v>
      </c>
    </row>
    <row r="152" spans="1:2" x14ac:dyDescent="0.45">
      <c r="A152" s="8" t="s">
        <v>282</v>
      </c>
      <c r="B152" s="11">
        <v>27363.605000000003</v>
      </c>
    </row>
    <row r="153" spans="1:2" x14ac:dyDescent="0.45">
      <c r="A153" s="8" t="s">
        <v>488</v>
      </c>
      <c r="B153" s="11">
        <v>26656.559500000003</v>
      </c>
    </row>
    <row r="154" spans="1:2" x14ac:dyDescent="0.45">
      <c r="A154" s="8" t="s">
        <v>379</v>
      </c>
      <c r="B154" s="11">
        <v>25717.497500000005</v>
      </c>
    </row>
    <row r="155" spans="1:2" x14ac:dyDescent="0.45">
      <c r="A155" s="8" t="s">
        <v>541</v>
      </c>
      <c r="B155" s="11">
        <v>24927.577500000003</v>
      </c>
    </row>
    <row r="156" spans="1:2" x14ac:dyDescent="0.45">
      <c r="A156" s="8" t="s">
        <v>332</v>
      </c>
      <c r="B156" s="11">
        <v>24088.78</v>
      </c>
    </row>
    <row r="157" spans="1:2" x14ac:dyDescent="0.45">
      <c r="A157" s="8" t="s">
        <v>389</v>
      </c>
      <c r="B157" s="11">
        <v>23128.86</v>
      </c>
    </row>
    <row r="158" spans="1:2" x14ac:dyDescent="0.45">
      <c r="A158" s="8" t="s">
        <v>460</v>
      </c>
      <c r="B158" s="11">
        <v>22768.764000000003</v>
      </c>
    </row>
    <row r="159" spans="1:2" x14ac:dyDescent="0.45">
      <c r="A159" s="8" t="s">
        <v>530</v>
      </c>
      <c r="B159" s="11">
        <v>21963.252500000002</v>
      </c>
    </row>
    <row r="160" spans="1:2" x14ac:dyDescent="0.45">
      <c r="A160" s="8" t="s">
        <v>527</v>
      </c>
      <c r="B160" s="11">
        <v>20801.599999999999</v>
      </c>
    </row>
    <row r="161" spans="1:2" x14ac:dyDescent="0.45">
      <c r="A161" s="8" t="s">
        <v>358</v>
      </c>
      <c r="B161" s="11">
        <v>19343.778999999999</v>
      </c>
    </row>
    <row r="162" spans="1:2" x14ac:dyDescent="0.45">
      <c r="A162" s="8" t="s">
        <v>432</v>
      </c>
      <c r="B162" s="11">
        <v>19261.41</v>
      </c>
    </row>
    <row r="163" spans="1:2" x14ac:dyDescent="0.45">
      <c r="A163" s="8" t="s">
        <v>535</v>
      </c>
      <c r="B163" s="11">
        <v>18534.080000000002</v>
      </c>
    </row>
    <row r="164" spans="1:2" x14ac:dyDescent="0.45">
      <c r="A164" s="8" t="s">
        <v>468</v>
      </c>
      <c r="B164" s="11">
        <v>18507.45</v>
      </c>
    </row>
    <row r="165" spans="1:2" x14ac:dyDescent="0.45">
      <c r="A165" s="8" t="s">
        <v>341</v>
      </c>
      <c r="B165" s="11">
        <v>16817.0975</v>
      </c>
    </row>
    <row r="166" spans="1:2" x14ac:dyDescent="0.45">
      <c r="A166" s="8" t="s">
        <v>423</v>
      </c>
      <c r="B166" s="11">
        <v>16476.565000000002</v>
      </c>
    </row>
    <row r="167" spans="1:2" x14ac:dyDescent="0.45">
      <c r="A167" s="8" t="s">
        <v>343</v>
      </c>
      <c r="B167" s="11">
        <v>16215.324999999999</v>
      </c>
    </row>
    <row r="168" spans="1:2" x14ac:dyDescent="0.45">
      <c r="A168" s="8" t="s">
        <v>426</v>
      </c>
      <c r="B168" s="11">
        <v>16076.599999999999</v>
      </c>
    </row>
    <row r="169" spans="1:2" x14ac:dyDescent="0.45">
      <c r="A169" s="8" t="s">
        <v>306</v>
      </c>
      <c r="B169" s="11">
        <v>15843.924999999999</v>
      </c>
    </row>
    <row r="170" spans="1:2" x14ac:dyDescent="0.45">
      <c r="A170" s="8" t="s">
        <v>290</v>
      </c>
      <c r="B170" s="11">
        <v>15648.702499999999</v>
      </c>
    </row>
    <row r="171" spans="1:2" x14ac:dyDescent="0.45">
      <c r="A171" s="8" t="s">
        <v>400</v>
      </c>
      <c r="B171" s="11">
        <v>15177.4625</v>
      </c>
    </row>
    <row r="172" spans="1:2" x14ac:dyDescent="0.45">
      <c r="A172" s="8" t="s">
        <v>505</v>
      </c>
      <c r="B172" s="11">
        <v>14761.035</v>
      </c>
    </row>
    <row r="173" spans="1:2" x14ac:dyDescent="0.45">
      <c r="A173" s="8" t="s">
        <v>543</v>
      </c>
      <c r="B173" s="11">
        <v>13390.650000000001</v>
      </c>
    </row>
    <row r="174" spans="1:2" x14ac:dyDescent="0.45">
      <c r="A174" s="8" t="s">
        <v>397</v>
      </c>
      <c r="B174" s="11">
        <v>12496.2</v>
      </c>
    </row>
    <row r="175" spans="1:2" x14ac:dyDescent="0.45">
      <c r="A175" s="8" t="s">
        <v>362</v>
      </c>
      <c r="B175" s="11">
        <v>12450.8</v>
      </c>
    </row>
    <row r="176" spans="1:2" x14ac:dyDescent="0.45">
      <c r="A176" s="8" t="s">
        <v>518</v>
      </c>
      <c r="B176" s="11">
        <v>12348.88</v>
      </c>
    </row>
    <row r="177" spans="1:2" x14ac:dyDescent="0.45">
      <c r="A177" s="8" t="s">
        <v>495</v>
      </c>
      <c r="B177" s="11">
        <v>11666.9</v>
      </c>
    </row>
    <row r="178" spans="1:2" x14ac:dyDescent="0.45">
      <c r="A178" s="8" t="s">
        <v>474</v>
      </c>
      <c r="B178" s="11">
        <v>11446.36</v>
      </c>
    </row>
    <row r="179" spans="1:2" x14ac:dyDescent="0.45">
      <c r="A179" s="8" t="s">
        <v>335</v>
      </c>
      <c r="B179" s="11">
        <v>11441.630000000001</v>
      </c>
    </row>
    <row r="180" spans="1:2" x14ac:dyDescent="0.45">
      <c r="A180" s="8" t="s">
        <v>317</v>
      </c>
      <c r="B180" s="11">
        <v>10812.150000000001</v>
      </c>
    </row>
    <row r="181" spans="1:2" x14ac:dyDescent="0.45">
      <c r="A181" s="8" t="s">
        <v>414</v>
      </c>
      <c r="B181" s="11">
        <v>9736.0749999999989</v>
      </c>
    </row>
    <row r="182" spans="1:2" x14ac:dyDescent="0.45">
      <c r="A182" s="8" t="s">
        <v>294</v>
      </c>
      <c r="B182" s="11">
        <v>9588.4249999999993</v>
      </c>
    </row>
    <row r="183" spans="1:2" x14ac:dyDescent="0.45">
      <c r="A183" s="8" t="s">
        <v>441</v>
      </c>
      <c r="B183" s="11">
        <v>9328.1999999999989</v>
      </c>
    </row>
    <row r="184" spans="1:2" x14ac:dyDescent="0.45">
      <c r="A184" s="8" t="s">
        <v>302</v>
      </c>
      <c r="B184" s="11">
        <v>9182.43</v>
      </c>
    </row>
    <row r="185" spans="1:2" x14ac:dyDescent="0.45">
      <c r="A185" s="8" t="s">
        <v>471</v>
      </c>
      <c r="B185" s="11">
        <v>8414.1350000000002</v>
      </c>
    </row>
    <row r="186" spans="1:2" x14ac:dyDescent="0.45">
      <c r="A186" s="8" t="s">
        <v>417</v>
      </c>
      <c r="B186" s="11">
        <v>7176.2150000000001</v>
      </c>
    </row>
    <row r="187" spans="1:2" x14ac:dyDescent="0.45">
      <c r="A187" s="8" t="s">
        <v>366</v>
      </c>
      <c r="B187" s="11">
        <v>7048.24</v>
      </c>
    </row>
    <row r="188" spans="1:2" x14ac:dyDescent="0.45">
      <c r="A188" s="8" t="s">
        <v>545</v>
      </c>
      <c r="B188" s="11">
        <v>7023.9775</v>
      </c>
    </row>
    <row r="189" spans="1:2" x14ac:dyDescent="0.45">
      <c r="A189" s="8" t="s">
        <v>313</v>
      </c>
      <c r="B189" s="11">
        <v>6850.6639999999998</v>
      </c>
    </row>
    <row r="190" spans="1:2" x14ac:dyDescent="0.45">
      <c r="A190" s="8" t="s">
        <v>381</v>
      </c>
      <c r="B190" s="11">
        <v>6664.8100000000013</v>
      </c>
    </row>
    <row r="191" spans="1:2" x14ac:dyDescent="0.45">
      <c r="A191" s="8" t="s">
        <v>479</v>
      </c>
      <c r="B191" s="11">
        <v>6427.4225000000006</v>
      </c>
    </row>
    <row r="192" spans="1:2" x14ac:dyDescent="0.45">
      <c r="A192" s="8" t="s">
        <v>450</v>
      </c>
      <c r="B192" s="11">
        <v>6146.3</v>
      </c>
    </row>
    <row r="193" spans="1:2" x14ac:dyDescent="0.45">
      <c r="A193" s="8" t="s">
        <v>524</v>
      </c>
      <c r="B193" s="11">
        <v>6089.9</v>
      </c>
    </row>
    <row r="194" spans="1:2" x14ac:dyDescent="0.45">
      <c r="A194" s="8" t="s">
        <v>286</v>
      </c>
      <c r="B194" s="11">
        <v>6068.2000000000007</v>
      </c>
    </row>
    <row r="195" spans="1:2" x14ac:dyDescent="0.45">
      <c r="A195" s="8" t="s">
        <v>350</v>
      </c>
      <c r="B195" s="11">
        <v>5735.1500000000005</v>
      </c>
    </row>
    <row r="196" spans="1:2" x14ac:dyDescent="0.45">
      <c r="A196" s="8" t="s">
        <v>385</v>
      </c>
      <c r="B196" s="11">
        <v>5044.9400000000005</v>
      </c>
    </row>
    <row r="197" spans="1:2" x14ac:dyDescent="0.45">
      <c r="A197" s="8" t="s">
        <v>407</v>
      </c>
      <c r="B197" s="11">
        <v>5042.2</v>
      </c>
    </row>
    <row r="198" spans="1:2" x14ac:dyDescent="0.45">
      <c r="A198" s="8" t="s">
        <v>321</v>
      </c>
      <c r="B198" s="11">
        <v>4778.1400000000003</v>
      </c>
    </row>
    <row r="199" spans="1:2" x14ac:dyDescent="0.45">
      <c r="A199" s="8" t="s">
        <v>550</v>
      </c>
      <c r="B199" s="11">
        <v>4273</v>
      </c>
    </row>
    <row r="200" spans="1:2" x14ac:dyDescent="0.45">
      <c r="A200" s="8" t="s">
        <v>419</v>
      </c>
      <c r="B200" s="11">
        <v>4258.6000000000004</v>
      </c>
    </row>
    <row r="201" spans="1:2" x14ac:dyDescent="0.45">
      <c r="A201" s="8" t="s">
        <v>391</v>
      </c>
      <c r="B201" s="11">
        <v>4242.2</v>
      </c>
    </row>
    <row r="202" spans="1:2" x14ac:dyDescent="0.45">
      <c r="A202" s="8" t="s">
        <v>532</v>
      </c>
      <c r="B202" s="11">
        <v>4232.8500000000004</v>
      </c>
    </row>
    <row r="203" spans="1:2" x14ac:dyDescent="0.45">
      <c r="A203" s="8" t="s">
        <v>500</v>
      </c>
      <c r="B203" s="11">
        <v>4107.55</v>
      </c>
    </row>
    <row r="204" spans="1:2" x14ac:dyDescent="0.45">
      <c r="A204" s="8" t="s">
        <v>515</v>
      </c>
      <c r="B204" s="11">
        <v>3810.75</v>
      </c>
    </row>
    <row r="205" spans="1:2" x14ac:dyDescent="0.45">
      <c r="A205" s="8" t="s">
        <v>511</v>
      </c>
      <c r="B205" s="11">
        <v>3763.21</v>
      </c>
    </row>
    <row r="206" spans="1:2" x14ac:dyDescent="0.45">
      <c r="A206" s="8" t="s">
        <v>274</v>
      </c>
      <c r="B206" s="11">
        <v>3531.95</v>
      </c>
    </row>
    <row r="207" spans="1:2" x14ac:dyDescent="0.45">
      <c r="A207" s="8" t="s">
        <v>402</v>
      </c>
      <c r="B207" s="11">
        <v>3460.2</v>
      </c>
    </row>
    <row r="208" spans="1:2" x14ac:dyDescent="0.45">
      <c r="A208" s="8" t="s">
        <v>328</v>
      </c>
      <c r="B208" s="11">
        <v>3361</v>
      </c>
    </row>
    <row r="209" spans="1:2" x14ac:dyDescent="0.45">
      <c r="A209" s="8" t="s">
        <v>538</v>
      </c>
      <c r="B209" s="11">
        <v>3239.8</v>
      </c>
    </row>
    <row r="210" spans="1:2" x14ac:dyDescent="0.45">
      <c r="A210" s="8" t="s">
        <v>485</v>
      </c>
      <c r="B210" s="11">
        <v>3172.16</v>
      </c>
    </row>
    <row r="211" spans="1:2" x14ac:dyDescent="0.45">
      <c r="A211" s="8" t="s">
        <v>279</v>
      </c>
      <c r="B211" s="11">
        <v>3161.35</v>
      </c>
    </row>
    <row r="212" spans="1:2" x14ac:dyDescent="0.45">
      <c r="A212" s="8" t="s">
        <v>429</v>
      </c>
      <c r="B212" s="11">
        <v>3076.4724999999999</v>
      </c>
    </row>
    <row r="213" spans="1:2" x14ac:dyDescent="0.45">
      <c r="A213" s="8" t="s">
        <v>457</v>
      </c>
      <c r="B213" s="11">
        <v>3063.2</v>
      </c>
    </row>
    <row r="214" spans="1:2" x14ac:dyDescent="0.45">
      <c r="A214" s="8" t="s">
        <v>374</v>
      </c>
      <c r="B214" s="11">
        <v>2844.1000000000004</v>
      </c>
    </row>
    <row r="215" spans="1:2" x14ac:dyDescent="0.45">
      <c r="A215" s="8" t="s">
        <v>338</v>
      </c>
      <c r="B215" s="11">
        <v>2423.35</v>
      </c>
    </row>
    <row r="216" spans="1:2" x14ac:dyDescent="0.45">
      <c r="A216" s="8" t="s">
        <v>444</v>
      </c>
      <c r="B216" s="11">
        <v>1992.05</v>
      </c>
    </row>
    <row r="217" spans="1:2" x14ac:dyDescent="0.45">
      <c r="A217" s="8" t="s">
        <v>325</v>
      </c>
      <c r="B217" s="11">
        <v>1947.24</v>
      </c>
    </row>
    <row r="218" spans="1:2" x14ac:dyDescent="0.45">
      <c r="A218" s="8" t="s">
        <v>522</v>
      </c>
      <c r="B218" s="11">
        <v>1814.8</v>
      </c>
    </row>
    <row r="219" spans="1:2" x14ac:dyDescent="0.45">
      <c r="A219" s="8" t="s">
        <v>513</v>
      </c>
      <c r="B219" s="11">
        <v>1719.1</v>
      </c>
    </row>
    <row r="220" spans="1:2" x14ac:dyDescent="0.45">
      <c r="A220" s="8" t="s">
        <v>507</v>
      </c>
      <c r="B220" s="11">
        <v>1615.9</v>
      </c>
    </row>
    <row r="221" spans="1:2" x14ac:dyDescent="0.45">
      <c r="A221" s="8" t="s">
        <v>310</v>
      </c>
      <c r="B221" s="11">
        <v>1571.1999999999998</v>
      </c>
    </row>
    <row r="222" spans="1:2" x14ac:dyDescent="0.45">
      <c r="A222" s="8" t="s">
        <v>482</v>
      </c>
      <c r="B222" s="11">
        <v>1545.7</v>
      </c>
    </row>
    <row r="223" spans="1:2" x14ac:dyDescent="0.45">
      <c r="A223" s="8" t="s">
        <v>465</v>
      </c>
      <c r="B223" s="11">
        <v>1488.7</v>
      </c>
    </row>
    <row r="224" spans="1:2" x14ac:dyDescent="0.45">
      <c r="A224" s="8" t="s">
        <v>298</v>
      </c>
      <c r="B224" s="11">
        <v>1480</v>
      </c>
    </row>
    <row r="225" spans="1:2" x14ac:dyDescent="0.45">
      <c r="A225" s="8" t="s">
        <v>354</v>
      </c>
      <c r="B225" s="11">
        <v>1467.29</v>
      </c>
    </row>
    <row r="226" spans="1:2" x14ac:dyDescent="0.45">
      <c r="A226" s="8" t="s">
        <v>547</v>
      </c>
      <c r="B226" s="11">
        <v>1402.9499999999998</v>
      </c>
    </row>
    <row r="227" spans="1:2" x14ac:dyDescent="0.45">
      <c r="A227" s="8" t="s">
        <v>477</v>
      </c>
      <c r="B227" s="11">
        <v>836.7</v>
      </c>
    </row>
    <row r="228" spans="1:2" x14ac:dyDescent="0.45">
      <c r="A228" s="8" t="s">
        <v>404</v>
      </c>
      <c r="B228" s="11">
        <v>649</v>
      </c>
    </row>
    <row r="229" spans="1:2" x14ac:dyDescent="0.45">
      <c r="A229" s="8" t="s">
        <v>438</v>
      </c>
      <c r="B229" s="11">
        <v>522.5</v>
      </c>
    </row>
    <row r="230" spans="1:2" x14ac:dyDescent="0.45">
      <c r="A230" s="8" t="s">
        <v>435</v>
      </c>
      <c r="B230" s="11">
        <v>357</v>
      </c>
    </row>
    <row r="231" spans="1:2" x14ac:dyDescent="0.45">
      <c r="A231" s="8" t="s">
        <v>520</v>
      </c>
      <c r="B231" s="11">
        <v>100.8</v>
      </c>
    </row>
    <row r="232" spans="1:2" x14ac:dyDescent="0.45">
      <c r="A232" s="8" t="s">
        <v>597</v>
      </c>
      <c r="B232" s="11">
        <v>1265793.0394999995</v>
      </c>
    </row>
    <row r="235" spans="1:2" x14ac:dyDescent="0.45">
      <c r="A235" s="7" t="s">
        <v>593</v>
      </c>
      <c r="B235" s="11" t="s">
        <v>598</v>
      </c>
    </row>
    <row r="236" spans="1:2" x14ac:dyDescent="0.45">
      <c r="A236" s="8" t="s">
        <v>260</v>
      </c>
      <c r="B236" s="11">
        <v>232890.84600000002</v>
      </c>
    </row>
    <row r="237" spans="1:2" x14ac:dyDescent="0.45">
      <c r="A237" s="8" t="s">
        <v>261</v>
      </c>
      <c r="B237" s="11">
        <v>202812.84299999996</v>
      </c>
    </row>
    <row r="238" spans="1:2" x14ac:dyDescent="0.45">
      <c r="A238" s="8" t="s">
        <v>264</v>
      </c>
      <c r="B238" s="11">
        <v>192107.60449999999</v>
      </c>
    </row>
    <row r="239" spans="1:2" x14ac:dyDescent="0.45">
      <c r="A239" s="8" t="s">
        <v>263</v>
      </c>
      <c r="B239" s="11">
        <v>166537.75500000003</v>
      </c>
    </row>
    <row r="240" spans="1:2" x14ac:dyDescent="0.45">
      <c r="A240" s="8" t="s">
        <v>256</v>
      </c>
      <c r="B240" s="11">
        <v>126862.27749999998</v>
      </c>
    </row>
    <row r="241" spans="1:2" x14ac:dyDescent="0.45">
      <c r="A241" s="8" t="s">
        <v>257</v>
      </c>
      <c r="B241" s="11">
        <v>124568.23500000002</v>
      </c>
    </row>
    <row r="242" spans="1:2" x14ac:dyDescent="0.45">
      <c r="A242" s="8" t="s">
        <v>252</v>
      </c>
      <c r="B242" s="11">
        <v>77308.066500000015</v>
      </c>
    </row>
    <row r="243" spans="1:2" x14ac:dyDescent="0.45">
      <c r="A243" s="8" t="s">
        <v>258</v>
      </c>
      <c r="B243" s="11">
        <v>73913.12950000001</v>
      </c>
    </row>
    <row r="244" spans="1:2" x14ac:dyDescent="0.45">
      <c r="A244" s="8" t="s">
        <v>259</v>
      </c>
      <c r="B244" s="11">
        <v>68792.282500000001</v>
      </c>
    </row>
    <row r="245" spans="1:2" x14ac:dyDescent="0.45">
      <c r="A245" s="8" t="s">
        <v>597</v>
      </c>
      <c r="B245" s="11">
        <v>1265793.0395000002</v>
      </c>
    </row>
    <row r="250" spans="1:2" x14ac:dyDescent="0.45">
      <c r="A250" s="7" t="s">
        <v>593</v>
      </c>
      <c r="B250" s="2" t="s">
        <v>612</v>
      </c>
    </row>
    <row r="251" spans="1:2" x14ac:dyDescent="0.45">
      <c r="A251" s="8" t="s">
        <v>346</v>
      </c>
      <c r="B251" s="9">
        <v>4.8245614035087724E-2</v>
      </c>
    </row>
    <row r="252" spans="1:2" x14ac:dyDescent="0.45">
      <c r="A252" s="8" t="s">
        <v>377</v>
      </c>
      <c r="B252" s="9">
        <v>4.7149122807017566E-2</v>
      </c>
    </row>
    <row r="253" spans="1:2" x14ac:dyDescent="0.45">
      <c r="A253" s="8" t="s">
        <v>503</v>
      </c>
      <c r="B253" s="9">
        <v>4.7149122807017559E-2</v>
      </c>
    </row>
    <row r="254" spans="1:2" x14ac:dyDescent="0.45">
      <c r="A254" s="8" t="s">
        <v>454</v>
      </c>
      <c r="B254" s="9">
        <v>4.4956140350877201E-2</v>
      </c>
    </row>
    <row r="255" spans="1:2" x14ac:dyDescent="0.45">
      <c r="A255" s="8" t="s">
        <v>441</v>
      </c>
      <c r="B255" s="9">
        <v>4.2763157894736857E-2</v>
      </c>
    </row>
    <row r="256" spans="1:2" x14ac:dyDescent="0.45">
      <c r="A256" s="8" t="s">
        <v>492</v>
      </c>
      <c r="B256" s="9">
        <v>4.0570175438596499E-2</v>
      </c>
    </row>
    <row r="257" spans="1:2" x14ac:dyDescent="0.45">
      <c r="A257" s="8" t="s">
        <v>432</v>
      </c>
      <c r="B257" s="9">
        <v>3.0701754385964918E-2</v>
      </c>
    </row>
    <row r="258" spans="1:2" x14ac:dyDescent="0.45">
      <c r="A258" s="8" t="s">
        <v>370</v>
      </c>
      <c r="B258" s="9">
        <v>2.9605263157894742E-2</v>
      </c>
    </row>
    <row r="259" spans="1:2" x14ac:dyDescent="0.45">
      <c r="A259" s="8" t="s">
        <v>426</v>
      </c>
      <c r="B259" s="9">
        <v>2.850877192982457E-2</v>
      </c>
    </row>
    <row r="260" spans="1:2" x14ac:dyDescent="0.45">
      <c r="A260" s="8" t="s">
        <v>527</v>
      </c>
      <c r="B260" s="9">
        <v>2.7412280701754395E-2</v>
      </c>
    </row>
    <row r="261" spans="1:2" x14ac:dyDescent="0.45">
      <c r="A261" s="8" t="s">
        <v>366</v>
      </c>
      <c r="B261" s="9">
        <v>2.5219298245614044E-2</v>
      </c>
    </row>
    <row r="262" spans="1:2" x14ac:dyDescent="0.45">
      <c r="A262" s="8" t="s">
        <v>389</v>
      </c>
      <c r="B262" s="9">
        <v>2.3026315789473693E-2</v>
      </c>
    </row>
    <row r="263" spans="1:2" x14ac:dyDescent="0.45">
      <c r="A263" s="8" t="s">
        <v>423</v>
      </c>
      <c r="B263" s="9">
        <v>2.3026315789473693E-2</v>
      </c>
    </row>
    <row r="264" spans="1:2" x14ac:dyDescent="0.45">
      <c r="A264" s="8" t="s">
        <v>294</v>
      </c>
      <c r="B264" s="9">
        <v>2.3026315789473686E-2</v>
      </c>
    </row>
    <row r="265" spans="1:2" x14ac:dyDescent="0.45">
      <c r="A265" s="8" t="s">
        <v>302</v>
      </c>
      <c r="B265" s="9">
        <v>2.1929824561403514E-2</v>
      </c>
    </row>
    <row r="266" spans="1:2" x14ac:dyDescent="0.45">
      <c r="A266" s="8" t="s">
        <v>379</v>
      </c>
      <c r="B266" s="9">
        <v>2.0833333333333339E-2</v>
      </c>
    </row>
    <row r="267" spans="1:2" x14ac:dyDescent="0.45">
      <c r="A267" s="8" t="s">
        <v>530</v>
      </c>
      <c r="B267" s="9">
        <v>2.0833333333333339E-2</v>
      </c>
    </row>
    <row r="268" spans="1:2" x14ac:dyDescent="0.45">
      <c r="A268" s="8" t="s">
        <v>462</v>
      </c>
      <c r="B268" s="9">
        <v>2.0833333333333339E-2</v>
      </c>
    </row>
    <row r="269" spans="1:2" x14ac:dyDescent="0.45">
      <c r="A269" s="8" t="s">
        <v>471</v>
      </c>
      <c r="B269" s="9">
        <v>2.0833333333333339E-2</v>
      </c>
    </row>
    <row r="270" spans="1:2" x14ac:dyDescent="0.45">
      <c r="A270" s="8" t="s">
        <v>541</v>
      </c>
      <c r="B270" s="9">
        <v>1.9736842105263164E-2</v>
      </c>
    </row>
    <row r="271" spans="1:2" x14ac:dyDescent="0.45">
      <c r="A271" s="8" t="s">
        <v>479</v>
      </c>
      <c r="B271" s="9">
        <v>1.9736842105263164E-2</v>
      </c>
    </row>
    <row r="272" spans="1:2" x14ac:dyDescent="0.45">
      <c r="A272" s="8" t="s">
        <v>460</v>
      </c>
      <c r="B272" s="9">
        <v>1.8640350877192988E-2</v>
      </c>
    </row>
    <row r="273" spans="1:2" x14ac:dyDescent="0.45">
      <c r="A273" s="8" t="s">
        <v>343</v>
      </c>
      <c r="B273" s="9">
        <v>1.7543859649122813E-2</v>
      </c>
    </row>
    <row r="274" spans="1:2" x14ac:dyDescent="0.45">
      <c r="A274" s="8" t="s">
        <v>290</v>
      </c>
      <c r="B274" s="9">
        <v>1.6447368421052638E-2</v>
      </c>
    </row>
    <row r="275" spans="1:2" x14ac:dyDescent="0.45">
      <c r="A275" s="8" t="s">
        <v>488</v>
      </c>
      <c r="B275" s="9">
        <v>1.5350877192982462E-2</v>
      </c>
    </row>
    <row r="276" spans="1:2" x14ac:dyDescent="0.45">
      <c r="A276" s="8" t="s">
        <v>306</v>
      </c>
      <c r="B276" s="9">
        <v>1.4254385964912287E-2</v>
      </c>
    </row>
    <row r="277" spans="1:2" x14ac:dyDescent="0.45">
      <c r="A277" s="8" t="s">
        <v>411</v>
      </c>
      <c r="B277" s="9">
        <v>1.4254385964912287E-2</v>
      </c>
    </row>
    <row r="278" spans="1:2" x14ac:dyDescent="0.45">
      <c r="A278" s="8" t="s">
        <v>282</v>
      </c>
      <c r="B278" s="9">
        <v>1.4254385964912285E-2</v>
      </c>
    </row>
    <row r="279" spans="1:2" x14ac:dyDescent="0.45">
      <c r="A279" s="8" t="s">
        <v>468</v>
      </c>
      <c r="B279" s="9">
        <v>1.4254385964912285E-2</v>
      </c>
    </row>
    <row r="280" spans="1:2" x14ac:dyDescent="0.45">
      <c r="A280" s="8" t="s">
        <v>447</v>
      </c>
      <c r="B280" s="9">
        <v>1.4254385964912285E-2</v>
      </c>
    </row>
    <row r="281" spans="1:2" x14ac:dyDescent="0.45">
      <c r="A281" s="8" t="s">
        <v>362</v>
      </c>
      <c r="B281" s="9">
        <v>1.4254385964912283E-2</v>
      </c>
    </row>
    <row r="282" spans="1:2" x14ac:dyDescent="0.45">
      <c r="A282" s="8" t="s">
        <v>397</v>
      </c>
      <c r="B282" s="9">
        <v>1.4254385964912283E-2</v>
      </c>
    </row>
    <row r="283" spans="1:2" x14ac:dyDescent="0.45">
      <c r="A283" s="8" t="s">
        <v>358</v>
      </c>
      <c r="B283" s="9">
        <v>1.3157894736842111E-2</v>
      </c>
    </row>
    <row r="284" spans="1:2" x14ac:dyDescent="0.45">
      <c r="A284" s="8" t="s">
        <v>518</v>
      </c>
      <c r="B284" s="9">
        <v>1.3157894736842108E-2</v>
      </c>
    </row>
    <row r="285" spans="1:2" x14ac:dyDescent="0.45">
      <c r="A285" s="8" t="s">
        <v>400</v>
      </c>
      <c r="B285" s="9">
        <v>1.3157894736842108E-2</v>
      </c>
    </row>
    <row r="286" spans="1:2" x14ac:dyDescent="0.45">
      <c r="A286" s="8" t="s">
        <v>286</v>
      </c>
      <c r="B286" s="9">
        <v>1.2061403508771934E-2</v>
      </c>
    </row>
    <row r="287" spans="1:2" x14ac:dyDescent="0.45">
      <c r="A287" s="8" t="s">
        <v>321</v>
      </c>
      <c r="B287" s="9">
        <v>1.2061403508771934E-2</v>
      </c>
    </row>
    <row r="288" spans="1:2" x14ac:dyDescent="0.45">
      <c r="A288" s="8" t="s">
        <v>381</v>
      </c>
      <c r="B288" s="9">
        <v>1.2061403508771934E-2</v>
      </c>
    </row>
    <row r="289" spans="1:2" x14ac:dyDescent="0.45">
      <c r="A289" s="8" t="s">
        <v>341</v>
      </c>
      <c r="B289" s="9">
        <v>1.0964912280701757E-2</v>
      </c>
    </row>
    <row r="290" spans="1:2" x14ac:dyDescent="0.45">
      <c r="A290" s="8" t="s">
        <v>335</v>
      </c>
      <c r="B290" s="9">
        <v>9.8684210526315819E-3</v>
      </c>
    </row>
    <row r="291" spans="1:2" x14ac:dyDescent="0.45">
      <c r="A291" s="8" t="s">
        <v>532</v>
      </c>
      <c r="B291" s="9">
        <v>9.8684210526315819E-3</v>
      </c>
    </row>
    <row r="292" spans="1:2" x14ac:dyDescent="0.45">
      <c r="A292" s="8" t="s">
        <v>414</v>
      </c>
      <c r="B292" s="9">
        <v>9.8684210526315801E-3</v>
      </c>
    </row>
    <row r="293" spans="1:2" x14ac:dyDescent="0.45">
      <c r="A293" s="8" t="s">
        <v>500</v>
      </c>
      <c r="B293" s="9">
        <v>8.7719298245614065E-3</v>
      </c>
    </row>
    <row r="294" spans="1:2" x14ac:dyDescent="0.45">
      <c r="A294" s="8" t="s">
        <v>543</v>
      </c>
      <c r="B294" s="9">
        <v>8.7719298245614065E-3</v>
      </c>
    </row>
    <row r="295" spans="1:2" x14ac:dyDescent="0.45">
      <c r="A295" s="8" t="s">
        <v>332</v>
      </c>
      <c r="B295" s="9">
        <v>8.7719298245614065E-3</v>
      </c>
    </row>
    <row r="296" spans="1:2" x14ac:dyDescent="0.45">
      <c r="A296" s="8" t="s">
        <v>545</v>
      </c>
      <c r="B296" s="9">
        <v>8.7719298245614065E-3</v>
      </c>
    </row>
    <row r="297" spans="1:2" x14ac:dyDescent="0.45">
      <c r="A297" s="8" t="s">
        <v>313</v>
      </c>
      <c r="B297" s="9">
        <v>8.7719298245614065E-3</v>
      </c>
    </row>
    <row r="298" spans="1:2" x14ac:dyDescent="0.45">
      <c r="A298" s="8" t="s">
        <v>429</v>
      </c>
      <c r="B298" s="9">
        <v>8.7719298245614048E-3</v>
      </c>
    </row>
    <row r="299" spans="1:2" x14ac:dyDescent="0.45">
      <c r="A299" s="8" t="s">
        <v>417</v>
      </c>
      <c r="B299" s="9">
        <v>7.6754385964912294E-3</v>
      </c>
    </row>
    <row r="300" spans="1:2" x14ac:dyDescent="0.45">
      <c r="A300" s="8" t="s">
        <v>550</v>
      </c>
      <c r="B300" s="9">
        <v>7.6754385964912294E-3</v>
      </c>
    </row>
    <row r="301" spans="1:2" x14ac:dyDescent="0.45">
      <c r="A301" s="8" t="s">
        <v>505</v>
      </c>
      <c r="B301" s="9">
        <v>5.4824561403508786E-3</v>
      </c>
    </row>
    <row r="302" spans="1:2" x14ac:dyDescent="0.45">
      <c r="A302" s="8" t="s">
        <v>474</v>
      </c>
      <c r="B302" s="9">
        <v>5.4824561403508786E-3</v>
      </c>
    </row>
    <row r="303" spans="1:2" x14ac:dyDescent="0.45">
      <c r="A303" s="8" t="s">
        <v>385</v>
      </c>
      <c r="B303" s="9">
        <v>5.4824561403508786E-3</v>
      </c>
    </row>
    <row r="304" spans="1:2" x14ac:dyDescent="0.45">
      <c r="A304" s="8" t="s">
        <v>535</v>
      </c>
      <c r="B304" s="9">
        <v>5.4824561403508786E-3</v>
      </c>
    </row>
    <row r="305" spans="1:2" x14ac:dyDescent="0.45">
      <c r="A305" s="8" t="s">
        <v>507</v>
      </c>
      <c r="B305" s="9">
        <v>0</v>
      </c>
    </row>
    <row r="306" spans="1:2" x14ac:dyDescent="0.45">
      <c r="A306" s="8" t="s">
        <v>482</v>
      </c>
      <c r="B306" s="9">
        <v>0</v>
      </c>
    </row>
    <row r="307" spans="1:2" x14ac:dyDescent="0.45">
      <c r="A307" s="8" t="s">
        <v>520</v>
      </c>
      <c r="B307" s="9">
        <v>0</v>
      </c>
    </row>
    <row r="308" spans="1:2" x14ac:dyDescent="0.45">
      <c r="A308" s="8" t="s">
        <v>547</v>
      </c>
      <c r="B308" s="9">
        <v>0</v>
      </c>
    </row>
    <row r="309" spans="1:2" x14ac:dyDescent="0.45">
      <c r="A309" s="8" t="s">
        <v>279</v>
      </c>
      <c r="B309" s="9">
        <v>0</v>
      </c>
    </row>
    <row r="310" spans="1:2" x14ac:dyDescent="0.45">
      <c r="A310" s="8" t="s">
        <v>391</v>
      </c>
      <c r="B310" s="9">
        <v>0</v>
      </c>
    </row>
    <row r="311" spans="1:2" x14ac:dyDescent="0.45">
      <c r="A311" s="8" t="s">
        <v>402</v>
      </c>
      <c r="B311" s="9">
        <v>0</v>
      </c>
    </row>
    <row r="312" spans="1:2" x14ac:dyDescent="0.45">
      <c r="A312" s="8" t="s">
        <v>477</v>
      </c>
      <c r="B312" s="9">
        <v>0</v>
      </c>
    </row>
    <row r="313" spans="1:2" x14ac:dyDescent="0.45">
      <c r="A313" s="8" t="s">
        <v>435</v>
      </c>
      <c r="B313" s="9">
        <v>0</v>
      </c>
    </row>
    <row r="314" spans="1:2" x14ac:dyDescent="0.45">
      <c r="A314" s="8" t="s">
        <v>407</v>
      </c>
      <c r="B314" s="9">
        <v>0</v>
      </c>
    </row>
    <row r="315" spans="1:2" x14ac:dyDescent="0.45">
      <c r="A315" s="8" t="s">
        <v>522</v>
      </c>
      <c r="B315" s="9">
        <v>0</v>
      </c>
    </row>
    <row r="316" spans="1:2" x14ac:dyDescent="0.45">
      <c r="A316" s="8" t="s">
        <v>404</v>
      </c>
      <c r="B316" s="9">
        <v>0</v>
      </c>
    </row>
    <row r="317" spans="1:2" x14ac:dyDescent="0.45">
      <c r="A317" s="8" t="s">
        <v>485</v>
      </c>
      <c r="B317" s="9">
        <v>0</v>
      </c>
    </row>
    <row r="318" spans="1:2" x14ac:dyDescent="0.45">
      <c r="A318" s="8" t="s">
        <v>515</v>
      </c>
      <c r="B318" s="9">
        <v>0</v>
      </c>
    </row>
    <row r="319" spans="1:2" x14ac:dyDescent="0.45">
      <c r="A319" s="8" t="s">
        <v>450</v>
      </c>
      <c r="B319" s="9">
        <v>0</v>
      </c>
    </row>
    <row r="320" spans="1:2" x14ac:dyDescent="0.45">
      <c r="A320" s="8" t="s">
        <v>444</v>
      </c>
      <c r="B320" s="9">
        <v>0</v>
      </c>
    </row>
    <row r="321" spans="1:2" x14ac:dyDescent="0.45">
      <c r="A321" s="8" t="s">
        <v>338</v>
      </c>
      <c r="B321" s="9">
        <v>0</v>
      </c>
    </row>
    <row r="322" spans="1:2" x14ac:dyDescent="0.45">
      <c r="A322" s="8" t="s">
        <v>328</v>
      </c>
      <c r="B322" s="9">
        <v>0</v>
      </c>
    </row>
    <row r="323" spans="1:2" x14ac:dyDescent="0.45">
      <c r="A323" s="8" t="s">
        <v>438</v>
      </c>
      <c r="B323" s="9">
        <v>0</v>
      </c>
    </row>
    <row r="324" spans="1:2" x14ac:dyDescent="0.45">
      <c r="A324" s="8" t="s">
        <v>513</v>
      </c>
      <c r="B324" s="9">
        <v>0</v>
      </c>
    </row>
    <row r="325" spans="1:2" x14ac:dyDescent="0.45">
      <c r="A325" s="8" t="s">
        <v>325</v>
      </c>
      <c r="B325" s="9">
        <v>0</v>
      </c>
    </row>
    <row r="326" spans="1:2" x14ac:dyDescent="0.45">
      <c r="A326" s="8" t="s">
        <v>374</v>
      </c>
      <c r="B326" s="9">
        <v>0</v>
      </c>
    </row>
    <row r="327" spans="1:2" x14ac:dyDescent="0.45">
      <c r="A327" s="8" t="s">
        <v>317</v>
      </c>
      <c r="B327" s="9">
        <v>0</v>
      </c>
    </row>
    <row r="328" spans="1:2" x14ac:dyDescent="0.45">
      <c r="A328" s="8" t="s">
        <v>465</v>
      </c>
      <c r="B328" s="9">
        <v>0</v>
      </c>
    </row>
    <row r="329" spans="1:2" x14ac:dyDescent="0.45">
      <c r="A329" s="8" t="s">
        <v>310</v>
      </c>
      <c r="B329" s="9">
        <v>0</v>
      </c>
    </row>
    <row r="330" spans="1:2" x14ac:dyDescent="0.45">
      <c r="A330" s="8" t="s">
        <v>524</v>
      </c>
      <c r="B330" s="9">
        <v>0</v>
      </c>
    </row>
    <row r="331" spans="1:2" x14ac:dyDescent="0.45">
      <c r="A331" s="8" t="s">
        <v>298</v>
      </c>
      <c r="B331" s="9">
        <v>0</v>
      </c>
    </row>
    <row r="332" spans="1:2" x14ac:dyDescent="0.45">
      <c r="A332" s="8" t="s">
        <v>538</v>
      </c>
      <c r="B332" s="9">
        <v>0</v>
      </c>
    </row>
    <row r="333" spans="1:2" x14ac:dyDescent="0.45">
      <c r="A333" s="8" t="s">
        <v>495</v>
      </c>
      <c r="B333" s="9">
        <v>0</v>
      </c>
    </row>
    <row r="334" spans="1:2" x14ac:dyDescent="0.45">
      <c r="A334" s="8" t="s">
        <v>511</v>
      </c>
      <c r="B334" s="9">
        <v>0</v>
      </c>
    </row>
    <row r="335" spans="1:2" x14ac:dyDescent="0.45">
      <c r="A335" s="8" t="s">
        <v>419</v>
      </c>
      <c r="B335" s="9">
        <v>0</v>
      </c>
    </row>
    <row r="336" spans="1:2" x14ac:dyDescent="0.45">
      <c r="A336" s="8" t="s">
        <v>457</v>
      </c>
      <c r="B336" s="9">
        <v>0</v>
      </c>
    </row>
    <row r="337" spans="1:2" x14ac:dyDescent="0.45">
      <c r="A337" s="8" t="s">
        <v>274</v>
      </c>
      <c r="B337" s="9">
        <v>0</v>
      </c>
    </row>
    <row r="338" spans="1:2" x14ac:dyDescent="0.45">
      <c r="A338" s="8" t="s">
        <v>354</v>
      </c>
      <c r="B338" s="9">
        <v>0</v>
      </c>
    </row>
    <row r="339" spans="1:2" x14ac:dyDescent="0.45">
      <c r="A339" s="8" t="s">
        <v>350</v>
      </c>
      <c r="B339" s="9">
        <v>0</v>
      </c>
    </row>
    <row r="340" spans="1:2" x14ac:dyDescent="0.45">
      <c r="A340" s="8" t="s">
        <v>597</v>
      </c>
      <c r="B340" s="9">
        <v>1</v>
      </c>
    </row>
  </sheetData>
  <autoFilter ref="A250:B299" xr:uid="{C1E86CFC-9AA6-4486-888F-5C45C147FD29}"/>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5253-8EFB-43F2-ABED-D79094154E3D}">
  <dimension ref="A1:S8"/>
  <sheetViews>
    <sheetView showGridLines="0" tabSelected="1" topLeftCell="A30" zoomScale="92" zoomScaleNormal="92" workbookViewId="0">
      <selection activeCell="A3" sqref="A3"/>
    </sheetView>
  </sheetViews>
  <sheetFormatPr defaultRowHeight="14.25" x14ac:dyDescent="0.45"/>
  <cols>
    <col min="1" max="1" width="12.19921875" bestFit="1" customWidth="1"/>
    <col min="2" max="2" width="12.796875" customWidth="1"/>
  </cols>
  <sheetData>
    <row r="1" spans="1:19" x14ac:dyDescent="0.45">
      <c r="A1" s="12"/>
      <c r="B1" s="12"/>
      <c r="C1" s="12"/>
      <c r="D1" s="12"/>
      <c r="E1" s="12"/>
      <c r="F1" s="12"/>
      <c r="G1" s="12"/>
      <c r="H1" s="12"/>
      <c r="I1" s="12"/>
      <c r="J1" s="12"/>
      <c r="K1" s="12"/>
      <c r="L1" s="12"/>
      <c r="M1" s="12"/>
      <c r="N1" s="12"/>
      <c r="O1" s="12"/>
      <c r="P1" s="12"/>
      <c r="Q1" s="12"/>
      <c r="R1" s="12"/>
      <c r="S1" s="12"/>
    </row>
    <row r="2" spans="1:19" ht="26.65" x14ac:dyDescent="0.45">
      <c r="A2" s="12"/>
      <c r="B2" s="12"/>
      <c r="C2" s="12"/>
      <c r="D2" s="12"/>
      <c r="E2" s="12"/>
      <c r="F2" s="12"/>
      <c r="G2" s="14" t="s">
        <v>613</v>
      </c>
      <c r="H2" s="15"/>
      <c r="I2" s="15"/>
      <c r="J2" s="15"/>
      <c r="K2" s="16"/>
      <c r="L2" s="12"/>
      <c r="M2" s="12"/>
      <c r="N2" s="12"/>
      <c r="O2" s="12"/>
      <c r="P2" s="12"/>
      <c r="Q2" s="12"/>
      <c r="R2" s="12"/>
      <c r="S2" s="12"/>
    </row>
    <row r="8" spans="1:19" x14ac:dyDescent="0.45">
      <c r="C8" s="13"/>
    </row>
  </sheetData>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D440B-C260-4C8B-8002-8A4D0F47C7A7}">
  <dimension ref="A1:V831"/>
  <sheetViews>
    <sheetView topLeftCell="I1" workbookViewId="0">
      <selection activeCell="O2" sqref="O2:O1048576"/>
    </sheetView>
  </sheetViews>
  <sheetFormatPr defaultColWidth="16.33203125" defaultRowHeight="14.25" x14ac:dyDescent="0.45"/>
  <cols>
    <col min="3" max="3" width="16.33203125" style="3"/>
    <col min="4" max="4" width="16.33203125" style="6"/>
    <col min="5" max="7" width="16.33203125" style="1"/>
    <col min="8" max="8" width="16.33203125" style="3"/>
    <col min="9" max="9" width="16.33203125" style="2"/>
    <col min="10" max="10" width="25.1328125" customWidth="1"/>
    <col min="12" max="12" width="16.33203125" style="9"/>
    <col min="13" max="13" width="22.59765625" style="6" customWidth="1"/>
    <col min="14" max="14" width="16.33203125" style="3"/>
    <col min="15" max="15" width="26.1328125" customWidth="1"/>
    <col min="19" max="19" width="16.33203125" style="6"/>
    <col min="21" max="21" width="19.796875" customWidth="1"/>
  </cols>
  <sheetData>
    <row r="1" spans="1:22" ht="15.4" customHeight="1" x14ac:dyDescent="0.45">
      <c r="A1" t="s">
        <v>246</v>
      </c>
      <c r="B1" t="s">
        <v>578</v>
      </c>
      <c r="C1" s="3" t="s">
        <v>579</v>
      </c>
      <c r="D1" s="6" t="s">
        <v>610</v>
      </c>
      <c r="E1" s="1" t="s">
        <v>577</v>
      </c>
      <c r="F1" s="1" t="s">
        <v>576</v>
      </c>
      <c r="G1" s="1" t="s">
        <v>575</v>
      </c>
      <c r="H1" s="3" t="s">
        <v>584</v>
      </c>
      <c r="I1" s="3" t="s">
        <v>243</v>
      </c>
      <c r="J1" s="2" t="s">
        <v>242</v>
      </c>
      <c r="K1" s="2" t="s">
        <v>580</v>
      </c>
      <c r="L1" s="9" t="s">
        <v>611</v>
      </c>
      <c r="M1" s="2" t="s">
        <v>590</v>
      </c>
      <c r="N1" s="3" t="s">
        <v>248</v>
      </c>
      <c r="O1" s="6" t="s">
        <v>581</v>
      </c>
      <c r="P1" s="6" t="s">
        <v>582</v>
      </c>
      <c r="Q1" s="1" t="s">
        <v>586</v>
      </c>
      <c r="R1" s="1" t="s">
        <v>588</v>
      </c>
      <c r="S1" s="1" t="s">
        <v>587</v>
      </c>
      <c r="T1" s="1" t="s">
        <v>589</v>
      </c>
      <c r="U1" s="6" t="s">
        <v>585</v>
      </c>
      <c r="V1" s="1" t="s">
        <v>591</v>
      </c>
    </row>
    <row r="2" spans="1:22" x14ac:dyDescent="0.45">
      <c r="A2" s="3">
        <v>10248</v>
      </c>
      <c r="B2" s="6" t="s">
        <v>236</v>
      </c>
      <c r="C2" s="3">
        <v>5</v>
      </c>
      <c r="D2" s="6" t="str">
        <f>_xlfn.XLOOKUP(Table1[[#This Row],[EmployeeID]],Table4[employeeID],Table4[employeeName])</f>
        <v>Steven Buchanan</v>
      </c>
      <c r="E2" s="1">
        <v>41459</v>
      </c>
      <c r="F2" s="1">
        <v>41487</v>
      </c>
      <c r="G2" s="1">
        <v>41471</v>
      </c>
      <c r="H2" s="3">
        <f>IF(Table1[[#This Row],[ShippedDate]]="","",IF(Table1[[#This Row],[OrderDate]]="","",Table1[[#This Row],[ShippedDate]]-Table1[[#This Row],[OrderDate]]))</f>
        <v>12</v>
      </c>
      <c r="I2" s="3">
        <v>3</v>
      </c>
      <c r="J2" s="2">
        <v>32.380000000000003</v>
      </c>
      <c r="K2" s="2">
        <f>SUMIF(order_details!A:A,Table1[[#This Row],[orderID]],order_details!F:F)</f>
        <v>440</v>
      </c>
      <c r="L2" s="9">
        <f>_xlfn.XLOOKUP(Table1[[#This Row],[orderID]],Table3[orderID],Table3[discount])</f>
        <v>0</v>
      </c>
      <c r="M2" s="2">
        <f>SUM(Table1[[#This Row],[Sales]],Table1[[#This Row],[freight]])</f>
        <v>472.38</v>
      </c>
      <c r="N2" s="3">
        <f>_xlfn.XLOOKUP(Table1[[#This Row],[orderID]],Table3[orderID],Table3[quantity])</f>
        <v>12</v>
      </c>
      <c r="O2" s="6" t="str">
        <f>_xlfn.XLOOKUP(Table1[[#This Row],[CustomerID]],customers!A:A,customers!B:B)</f>
        <v>Vins et alcools Chevalier</v>
      </c>
      <c r="P2" s="6" t="str">
        <f>_xlfn.XLOOKUP(Table1[[#This Row],[shipperID]],Table6[shipperID],Table6[companyName])</f>
        <v>Federal Shipping</v>
      </c>
      <c r="Q2">
        <f>YEAR(Table1[[#This Row],[OrderDate]])</f>
        <v>2013</v>
      </c>
      <c r="R2">
        <f>MONTH(Table1[[#This Row],[OrderDate]])</f>
        <v>7</v>
      </c>
      <c r="S2" t="str">
        <f>"Q"&amp;ROUNDUP(Table1[[#This Row],[month]]/3,0)</f>
        <v>Q3</v>
      </c>
      <c r="T2" t="str">
        <f>CONCATENATE(Table1[[#This Row],[year]],"-",Table1[[#This Row],[Quarter]])</f>
        <v>2013-Q3</v>
      </c>
      <c r="U2" s="6" t="str">
        <f>IF(H1="","Pending",IF(Table1[[#This Row],[Days to ship]]&lt;Table1[[#This Row],[RequiredDate]],"On Time","Late"))</f>
        <v>On Time</v>
      </c>
      <c r="V2">
        <f>_xlfn.XLOOKUP(Table1[[#This Row],[orderID]],Table3[orderID],Table3[unitPrice])</f>
        <v>14</v>
      </c>
    </row>
    <row r="3" spans="1:22" x14ac:dyDescent="0.45">
      <c r="A3" s="3">
        <v>10249</v>
      </c>
      <c r="B3" s="6" t="s">
        <v>215</v>
      </c>
      <c r="C3" s="3">
        <v>6</v>
      </c>
      <c r="D3" s="6" t="str">
        <f>_xlfn.XLOOKUP(Table1[[#This Row],[EmployeeID]],Table4[employeeID],Table4[employeeName])</f>
        <v>Michael Suyama</v>
      </c>
      <c r="E3" s="1">
        <v>41460</v>
      </c>
      <c r="F3" s="1">
        <v>41502</v>
      </c>
      <c r="G3" s="1">
        <v>41465</v>
      </c>
      <c r="H3" s="3">
        <f>IF(Table1[[#This Row],[ShippedDate]]="","",IF(Table1[[#This Row],[OrderDate]]="","",Table1[[#This Row],[ShippedDate]]-Table1[[#This Row],[OrderDate]]))</f>
        <v>5</v>
      </c>
      <c r="I3" s="3">
        <v>1</v>
      </c>
      <c r="J3" s="2">
        <v>11.61</v>
      </c>
      <c r="K3" s="2">
        <f>SUMIF(order_details!A:A,Table1[[#This Row],[orderID]],order_details!F:F)</f>
        <v>1863.4</v>
      </c>
      <c r="L3" s="9">
        <f>_xlfn.XLOOKUP(Table1[[#This Row],[orderID]],Table3[orderID],Table3[discount])</f>
        <v>0</v>
      </c>
      <c r="M3" s="2">
        <f>SUM(Table1[[#This Row],[Sales]],Table1[[#This Row],[freight]])</f>
        <v>1875.01</v>
      </c>
      <c r="N3" s="3">
        <f>_xlfn.XLOOKUP(Table1[[#This Row],[orderID]],Table3[orderID],Table3[quantity])</f>
        <v>9</v>
      </c>
      <c r="O3" s="6" t="str">
        <f>_xlfn.XLOOKUP(Table1[[#This Row],[CustomerID]],customers!A:A,customers!B:B)</f>
        <v>Toms Spezialitäten</v>
      </c>
      <c r="P3" s="6" t="str">
        <f>_xlfn.XLOOKUP(Table1[[#This Row],[shipperID]],Table6[shipperID],Table6[companyName])</f>
        <v>Speedy Express</v>
      </c>
      <c r="Q3">
        <f>YEAR(Table1[[#This Row],[OrderDate]])</f>
        <v>2013</v>
      </c>
      <c r="R3">
        <f>MONTH(Table1[[#This Row],[OrderDate]])</f>
        <v>7</v>
      </c>
      <c r="S3" t="str">
        <f>"Q"&amp;ROUNDUP(Table1[[#This Row],[month]]/3,0)</f>
        <v>Q3</v>
      </c>
      <c r="T3" t="str">
        <f>CONCATENATE(Table1[[#This Row],[year]],"-",Table1[[#This Row],[Quarter]])</f>
        <v>2013-Q3</v>
      </c>
      <c r="U3" s="6" t="str">
        <f>IF(H2="","Pending",IF(Table1[[#This Row],[Days to ship]]&lt;Table1[[#This Row],[RequiredDate]],"On Time","Late"))</f>
        <v>On Time</v>
      </c>
      <c r="V3">
        <f>_xlfn.XLOOKUP(Table1[[#This Row],[orderID]],Table3[orderID],Table3[unitPrice])</f>
        <v>18.600000000000001</v>
      </c>
    </row>
    <row r="4" spans="1:22" x14ac:dyDescent="0.45">
      <c r="A4" s="3">
        <v>10250</v>
      </c>
      <c r="B4" s="6" t="s">
        <v>177</v>
      </c>
      <c r="C4" s="3">
        <v>4</v>
      </c>
      <c r="D4" s="6" t="str">
        <f>_xlfn.XLOOKUP(Table1[[#This Row],[EmployeeID]],Table4[employeeID],Table4[employeeName])</f>
        <v>Margaret Peacock</v>
      </c>
      <c r="E4" s="1">
        <v>41463</v>
      </c>
      <c r="F4" s="1">
        <v>41491</v>
      </c>
      <c r="G4" s="1">
        <v>41467</v>
      </c>
      <c r="H4" s="3">
        <f>IF(Table1[[#This Row],[ShippedDate]]="","",IF(Table1[[#This Row],[OrderDate]]="","",Table1[[#This Row],[ShippedDate]]-Table1[[#This Row],[OrderDate]]))</f>
        <v>4</v>
      </c>
      <c r="I4" s="3">
        <v>2</v>
      </c>
      <c r="J4" s="2">
        <v>65.83</v>
      </c>
      <c r="K4" s="2">
        <f>SUMIF(order_details!A:A,Table1[[#This Row],[orderID]],order_details!F:F)</f>
        <v>1552.6</v>
      </c>
      <c r="L4" s="9">
        <f>_xlfn.XLOOKUP(Table1[[#This Row],[orderID]],Table3[orderID],Table3[discount])</f>
        <v>0</v>
      </c>
      <c r="M4" s="2">
        <f>SUM(Table1[[#This Row],[Sales]],Table1[[#This Row],[freight]])</f>
        <v>1618.4299999999998</v>
      </c>
      <c r="N4" s="3">
        <f>_xlfn.XLOOKUP(Table1[[#This Row],[orderID]],Table3[orderID],Table3[quantity])</f>
        <v>10</v>
      </c>
      <c r="O4" s="6" t="str">
        <f>_xlfn.XLOOKUP(Table1[[#This Row],[CustomerID]],customers!A:A,customers!B:B)</f>
        <v>Hanari Carnes</v>
      </c>
      <c r="P4" s="6" t="str">
        <f>_xlfn.XLOOKUP(Table1[[#This Row],[shipperID]],Table6[shipperID],Table6[companyName])</f>
        <v>United Package</v>
      </c>
      <c r="Q4">
        <f>YEAR(Table1[[#This Row],[OrderDate]])</f>
        <v>2013</v>
      </c>
      <c r="R4">
        <f>MONTH(Table1[[#This Row],[OrderDate]])</f>
        <v>7</v>
      </c>
      <c r="S4" t="str">
        <f>"Q"&amp;ROUNDUP(Table1[[#This Row],[month]]/3,0)</f>
        <v>Q3</v>
      </c>
      <c r="T4" t="str">
        <f>CONCATENATE(Table1[[#This Row],[year]],"-",Table1[[#This Row],[Quarter]])</f>
        <v>2013-Q3</v>
      </c>
      <c r="U4" s="6" t="str">
        <f>IF(H3="","Pending",IF(Table1[[#This Row],[Days to ship]]&lt;Table1[[#This Row],[RequiredDate]],"On Time","Late"))</f>
        <v>On Time</v>
      </c>
      <c r="V4">
        <f>_xlfn.XLOOKUP(Table1[[#This Row],[orderID]],Table3[orderID],Table3[unitPrice])</f>
        <v>7.7</v>
      </c>
    </row>
    <row r="5" spans="1:22" x14ac:dyDescent="0.45">
      <c r="A5" s="3">
        <v>10251</v>
      </c>
      <c r="B5" s="6" t="s">
        <v>228</v>
      </c>
      <c r="C5" s="3">
        <v>3</v>
      </c>
      <c r="D5" s="6" t="str">
        <f>_xlfn.XLOOKUP(Table1[[#This Row],[EmployeeID]],Table4[employeeID],Table4[employeeName])</f>
        <v>Janet Leverling</v>
      </c>
      <c r="E5" s="1">
        <v>41463</v>
      </c>
      <c r="F5" s="1">
        <v>41491</v>
      </c>
      <c r="G5" s="1">
        <v>41470</v>
      </c>
      <c r="H5" s="3">
        <f>IF(Table1[[#This Row],[ShippedDate]]="","",IF(Table1[[#This Row],[OrderDate]]="","",Table1[[#This Row],[ShippedDate]]-Table1[[#This Row],[OrderDate]]))</f>
        <v>7</v>
      </c>
      <c r="I5" s="3">
        <v>1</v>
      </c>
      <c r="J5" s="2">
        <v>41.34</v>
      </c>
      <c r="K5" s="2">
        <f>SUMIF(order_details!A:A,Table1[[#This Row],[orderID]],order_details!F:F)</f>
        <v>654.05999999999995</v>
      </c>
      <c r="L5" s="9">
        <f>_xlfn.XLOOKUP(Table1[[#This Row],[orderID]],Table3[orderID],Table3[discount])</f>
        <v>0.05</v>
      </c>
      <c r="M5" s="2">
        <f>SUM(Table1[[#This Row],[Sales]],Table1[[#This Row],[freight]])</f>
        <v>695.4</v>
      </c>
      <c r="N5" s="3">
        <f>_xlfn.XLOOKUP(Table1[[#This Row],[orderID]],Table3[orderID],Table3[quantity])</f>
        <v>6</v>
      </c>
      <c r="O5" s="6" t="str">
        <f>_xlfn.XLOOKUP(Table1[[#This Row],[CustomerID]],customers!A:A,customers!B:B)</f>
        <v>Victuailles en stock</v>
      </c>
      <c r="P5" s="6" t="str">
        <f>_xlfn.XLOOKUP(Table1[[#This Row],[shipperID]],Table6[shipperID],Table6[companyName])</f>
        <v>Speedy Express</v>
      </c>
      <c r="Q5">
        <f>YEAR(Table1[[#This Row],[OrderDate]])</f>
        <v>2013</v>
      </c>
      <c r="R5">
        <f>MONTH(Table1[[#This Row],[OrderDate]])</f>
        <v>7</v>
      </c>
      <c r="S5" t="str">
        <f>"Q"&amp;ROUNDUP(Table1[[#This Row],[month]]/3,0)</f>
        <v>Q3</v>
      </c>
      <c r="T5" t="str">
        <f>CONCATENATE(Table1[[#This Row],[year]],"-",Table1[[#This Row],[Quarter]])</f>
        <v>2013-Q3</v>
      </c>
      <c r="U5" s="6" t="str">
        <f>IF(H4="","Pending",IF(Table1[[#This Row],[Days to ship]]&lt;Table1[[#This Row],[RequiredDate]],"On Time","Late"))</f>
        <v>On Time</v>
      </c>
      <c r="V5">
        <f>_xlfn.XLOOKUP(Table1[[#This Row],[orderID]],Table3[orderID],Table3[unitPrice])</f>
        <v>16.8</v>
      </c>
    </row>
    <row r="6" spans="1:22" x14ac:dyDescent="0.45">
      <c r="A6" s="3">
        <v>10252</v>
      </c>
      <c r="B6" s="6" t="s">
        <v>188</v>
      </c>
      <c r="C6" s="3">
        <v>4</v>
      </c>
      <c r="D6" s="6" t="str">
        <f>_xlfn.XLOOKUP(Table1[[#This Row],[EmployeeID]],Table4[employeeID],Table4[employeeName])</f>
        <v>Margaret Peacock</v>
      </c>
      <c r="E6" s="1">
        <v>41464</v>
      </c>
      <c r="F6" s="1">
        <v>41492</v>
      </c>
      <c r="G6" s="1">
        <v>41466</v>
      </c>
      <c r="H6" s="3">
        <f>IF(Table1[[#This Row],[ShippedDate]]="","",IF(Table1[[#This Row],[OrderDate]]="","",Table1[[#This Row],[ShippedDate]]-Table1[[#This Row],[OrderDate]]))</f>
        <v>2</v>
      </c>
      <c r="I6" s="3">
        <v>2</v>
      </c>
      <c r="J6" s="2">
        <v>51.3</v>
      </c>
      <c r="K6" s="2">
        <f>SUMIF(order_details!A:A,Table1[[#This Row],[orderID]],order_details!F:F)</f>
        <v>3597.9</v>
      </c>
      <c r="L6" s="9">
        <f>_xlfn.XLOOKUP(Table1[[#This Row],[orderID]],Table3[orderID],Table3[discount])</f>
        <v>0.05</v>
      </c>
      <c r="M6" s="2">
        <f>SUM(Table1[[#This Row],[Sales]],Table1[[#This Row],[freight]])</f>
        <v>3649.2000000000003</v>
      </c>
      <c r="N6" s="3">
        <f>_xlfn.XLOOKUP(Table1[[#This Row],[orderID]],Table3[orderID],Table3[quantity])</f>
        <v>40</v>
      </c>
      <c r="O6" s="6" t="str">
        <f>_xlfn.XLOOKUP(Table1[[#This Row],[CustomerID]],customers!A:A,customers!B:B)</f>
        <v>Suprêmes délices</v>
      </c>
      <c r="P6" s="6" t="str">
        <f>_xlfn.XLOOKUP(Table1[[#This Row],[shipperID]],Table6[shipperID],Table6[companyName])</f>
        <v>United Package</v>
      </c>
      <c r="Q6">
        <f>YEAR(Table1[[#This Row],[OrderDate]])</f>
        <v>2013</v>
      </c>
      <c r="R6">
        <f>MONTH(Table1[[#This Row],[OrderDate]])</f>
        <v>7</v>
      </c>
      <c r="S6" t="str">
        <f>"Q"&amp;ROUNDUP(Table1[[#This Row],[month]]/3,0)</f>
        <v>Q3</v>
      </c>
      <c r="T6" t="str">
        <f>CONCATENATE(Table1[[#This Row],[year]],"-",Table1[[#This Row],[Quarter]])</f>
        <v>2013-Q3</v>
      </c>
      <c r="U6" s="6" t="str">
        <f>IF(H5="","Pending",IF(Table1[[#This Row],[Days to ship]]&lt;Table1[[#This Row],[RequiredDate]],"On Time","Late"))</f>
        <v>On Time</v>
      </c>
      <c r="V6">
        <f>_xlfn.XLOOKUP(Table1[[#This Row],[orderID]],Table3[orderID],Table3[unitPrice])</f>
        <v>64.8</v>
      </c>
    </row>
    <row r="7" spans="1:22" x14ac:dyDescent="0.45">
      <c r="A7" s="3">
        <v>10253</v>
      </c>
      <c r="B7" s="6" t="s">
        <v>177</v>
      </c>
      <c r="C7" s="3">
        <v>3</v>
      </c>
      <c r="D7" s="6" t="str">
        <f>_xlfn.XLOOKUP(Table1[[#This Row],[EmployeeID]],Table4[employeeID],Table4[employeeName])</f>
        <v>Janet Leverling</v>
      </c>
      <c r="E7" s="1">
        <v>41465</v>
      </c>
      <c r="F7" s="1">
        <v>41479</v>
      </c>
      <c r="G7" s="1">
        <v>41471</v>
      </c>
      <c r="H7" s="3">
        <f>IF(Table1[[#This Row],[ShippedDate]]="","",IF(Table1[[#This Row],[OrderDate]]="","",Table1[[#This Row],[ShippedDate]]-Table1[[#This Row],[OrderDate]]))</f>
        <v>6</v>
      </c>
      <c r="I7" s="3">
        <v>2</v>
      </c>
      <c r="J7" s="2">
        <v>58.17</v>
      </c>
      <c r="K7" s="2">
        <f>SUMIF(order_details!A:A,Table1[[#This Row],[orderID]],order_details!F:F)</f>
        <v>1444.8000000000002</v>
      </c>
      <c r="L7" s="9">
        <f>_xlfn.XLOOKUP(Table1[[#This Row],[orderID]],Table3[orderID],Table3[discount])</f>
        <v>0</v>
      </c>
      <c r="M7" s="2">
        <f>SUM(Table1[[#This Row],[Sales]],Table1[[#This Row],[freight]])</f>
        <v>1502.9700000000003</v>
      </c>
      <c r="N7" s="3">
        <f>_xlfn.XLOOKUP(Table1[[#This Row],[orderID]],Table3[orderID],Table3[quantity])</f>
        <v>20</v>
      </c>
      <c r="O7" s="6" t="str">
        <f>_xlfn.XLOOKUP(Table1[[#This Row],[CustomerID]],customers!A:A,customers!B:B)</f>
        <v>Hanari Carnes</v>
      </c>
      <c r="P7" s="6" t="str">
        <f>_xlfn.XLOOKUP(Table1[[#This Row],[shipperID]],Table6[shipperID],Table6[companyName])</f>
        <v>United Package</v>
      </c>
      <c r="Q7">
        <f>YEAR(Table1[[#This Row],[OrderDate]])</f>
        <v>2013</v>
      </c>
      <c r="R7">
        <f>MONTH(Table1[[#This Row],[OrderDate]])</f>
        <v>7</v>
      </c>
      <c r="S7" t="str">
        <f>"Q"&amp;ROUNDUP(Table1[[#This Row],[month]]/3,0)</f>
        <v>Q3</v>
      </c>
      <c r="T7" t="str">
        <f>CONCATENATE(Table1[[#This Row],[year]],"-",Table1[[#This Row],[Quarter]])</f>
        <v>2013-Q3</v>
      </c>
      <c r="U7" s="6" t="str">
        <f>IF(H6="","Pending",IF(Table1[[#This Row],[Days to ship]]&lt;Table1[[#This Row],[RequiredDate]],"On Time","Late"))</f>
        <v>On Time</v>
      </c>
      <c r="V7">
        <f>_xlfn.XLOOKUP(Table1[[#This Row],[orderID]],Table3[orderID],Table3[unitPrice])</f>
        <v>10</v>
      </c>
    </row>
    <row r="8" spans="1:22" x14ac:dyDescent="0.45">
      <c r="A8" s="3">
        <v>10254</v>
      </c>
      <c r="B8" s="6" t="s">
        <v>186</v>
      </c>
      <c r="C8" s="3">
        <v>5</v>
      </c>
      <c r="D8" s="6" t="str">
        <f>_xlfn.XLOOKUP(Table1[[#This Row],[EmployeeID]],Table4[employeeID],Table4[employeeName])</f>
        <v>Steven Buchanan</v>
      </c>
      <c r="E8" s="1">
        <v>41466</v>
      </c>
      <c r="F8" s="1">
        <v>41494</v>
      </c>
      <c r="G8" s="1">
        <v>41478</v>
      </c>
      <c r="H8" s="3">
        <f>IF(Table1[[#This Row],[ShippedDate]]="","",IF(Table1[[#This Row],[OrderDate]]="","",Table1[[#This Row],[ShippedDate]]-Table1[[#This Row],[OrderDate]]))</f>
        <v>12</v>
      </c>
      <c r="I8" s="3">
        <v>2</v>
      </c>
      <c r="J8" s="2">
        <v>22.98</v>
      </c>
      <c r="K8" s="2">
        <f>SUMIF(order_details!A:A,Table1[[#This Row],[orderID]],order_details!F:F)</f>
        <v>556.61999999999989</v>
      </c>
      <c r="L8" s="9">
        <f>_xlfn.XLOOKUP(Table1[[#This Row],[orderID]],Table3[orderID],Table3[discount])</f>
        <v>0.15</v>
      </c>
      <c r="M8" s="2">
        <f>SUM(Table1[[#This Row],[Sales]],Table1[[#This Row],[freight]])</f>
        <v>579.59999999999991</v>
      </c>
      <c r="N8" s="3">
        <f>_xlfn.XLOOKUP(Table1[[#This Row],[orderID]],Table3[orderID],Table3[quantity])</f>
        <v>15</v>
      </c>
      <c r="O8" s="6" t="str">
        <f>_xlfn.XLOOKUP(Table1[[#This Row],[CustomerID]],customers!A:A,customers!B:B)</f>
        <v>Chop-suey Chinese</v>
      </c>
      <c r="P8" s="6" t="str">
        <f>_xlfn.XLOOKUP(Table1[[#This Row],[shipperID]],Table6[shipperID],Table6[companyName])</f>
        <v>United Package</v>
      </c>
      <c r="Q8">
        <f>YEAR(Table1[[#This Row],[OrderDate]])</f>
        <v>2013</v>
      </c>
      <c r="R8">
        <f>MONTH(Table1[[#This Row],[OrderDate]])</f>
        <v>7</v>
      </c>
      <c r="S8" t="str">
        <f>"Q"&amp;ROUNDUP(Table1[[#This Row],[month]]/3,0)</f>
        <v>Q3</v>
      </c>
      <c r="T8" t="str">
        <f>CONCATENATE(Table1[[#This Row],[year]],"-",Table1[[#This Row],[Quarter]])</f>
        <v>2013-Q3</v>
      </c>
      <c r="U8" s="6" t="str">
        <f>IF(H7="","Pending",IF(Table1[[#This Row],[Days to ship]]&lt;Table1[[#This Row],[RequiredDate]],"On Time","Late"))</f>
        <v>On Time</v>
      </c>
      <c r="V8">
        <f>_xlfn.XLOOKUP(Table1[[#This Row],[orderID]],Table3[orderID],Table3[unitPrice])</f>
        <v>3.6</v>
      </c>
    </row>
    <row r="9" spans="1:22" x14ac:dyDescent="0.45">
      <c r="A9" s="3">
        <v>10255</v>
      </c>
      <c r="B9" s="6" t="s">
        <v>155</v>
      </c>
      <c r="C9" s="3">
        <v>9</v>
      </c>
      <c r="D9" s="6" t="str">
        <f>_xlfn.XLOOKUP(Table1[[#This Row],[EmployeeID]],Table4[employeeID],Table4[employeeName])</f>
        <v>Anne Dodsworth</v>
      </c>
      <c r="E9" s="1">
        <v>41467</v>
      </c>
      <c r="F9" s="1">
        <v>41495</v>
      </c>
      <c r="G9" s="1">
        <v>41470</v>
      </c>
      <c r="H9" s="3">
        <f>IF(Table1[[#This Row],[ShippedDate]]="","",IF(Table1[[#This Row],[OrderDate]]="","",Table1[[#This Row],[ShippedDate]]-Table1[[#This Row],[OrderDate]]))</f>
        <v>3</v>
      </c>
      <c r="I9" s="3">
        <v>3</v>
      </c>
      <c r="J9" s="2">
        <v>148.33000000000001</v>
      </c>
      <c r="K9" s="2">
        <f>SUMIF(order_details!A:A,Table1[[#This Row],[orderID]],order_details!F:F)</f>
        <v>2490.5</v>
      </c>
      <c r="L9" s="9">
        <f>_xlfn.XLOOKUP(Table1[[#This Row],[orderID]],Table3[orderID],Table3[discount])</f>
        <v>0</v>
      </c>
      <c r="M9" s="2">
        <f>SUM(Table1[[#This Row],[Sales]],Table1[[#This Row],[freight]])</f>
        <v>2638.83</v>
      </c>
      <c r="N9" s="3">
        <f>_xlfn.XLOOKUP(Table1[[#This Row],[orderID]],Table3[orderID],Table3[quantity])</f>
        <v>20</v>
      </c>
      <c r="O9" s="6" t="str">
        <f>_xlfn.XLOOKUP(Table1[[#This Row],[CustomerID]],customers!A:A,customers!B:B)</f>
        <v>Richter Supermarkt</v>
      </c>
      <c r="P9" s="6" t="str">
        <f>_xlfn.XLOOKUP(Table1[[#This Row],[shipperID]],Table6[shipperID],Table6[companyName])</f>
        <v>Federal Shipping</v>
      </c>
      <c r="Q9">
        <f>YEAR(Table1[[#This Row],[OrderDate]])</f>
        <v>2013</v>
      </c>
      <c r="R9">
        <f>MONTH(Table1[[#This Row],[OrderDate]])</f>
        <v>7</v>
      </c>
      <c r="S9" t="str">
        <f>"Q"&amp;ROUNDUP(Table1[[#This Row],[month]]/3,0)</f>
        <v>Q3</v>
      </c>
      <c r="T9" t="str">
        <f>CONCATENATE(Table1[[#This Row],[year]],"-",Table1[[#This Row],[Quarter]])</f>
        <v>2013-Q3</v>
      </c>
      <c r="U9" s="6" t="str">
        <f>IF(H8="","Pending",IF(Table1[[#This Row],[Days to ship]]&lt;Table1[[#This Row],[RequiredDate]],"On Time","Late"))</f>
        <v>On Time</v>
      </c>
      <c r="V9">
        <f>_xlfn.XLOOKUP(Table1[[#This Row],[orderID]],Table3[orderID],Table3[unitPrice])</f>
        <v>15.2</v>
      </c>
    </row>
    <row r="10" spans="1:22" x14ac:dyDescent="0.45">
      <c r="A10" s="3">
        <v>10256</v>
      </c>
      <c r="B10" s="6" t="s">
        <v>219</v>
      </c>
      <c r="C10" s="3">
        <v>3</v>
      </c>
      <c r="D10" s="6" t="str">
        <f>_xlfn.XLOOKUP(Table1[[#This Row],[EmployeeID]],Table4[employeeID],Table4[employeeName])</f>
        <v>Janet Leverling</v>
      </c>
      <c r="E10" s="1">
        <v>41470</v>
      </c>
      <c r="F10" s="1">
        <v>41498</v>
      </c>
      <c r="G10" s="1">
        <v>41472</v>
      </c>
      <c r="H10" s="3">
        <f>IF(Table1[[#This Row],[ShippedDate]]="","",IF(Table1[[#This Row],[OrderDate]]="","",Table1[[#This Row],[ShippedDate]]-Table1[[#This Row],[OrderDate]]))</f>
        <v>2</v>
      </c>
      <c r="I10" s="3">
        <v>2</v>
      </c>
      <c r="J10" s="2">
        <v>13.97</v>
      </c>
      <c r="K10" s="2">
        <f>SUMIF(order_details!A:A,Table1[[#This Row],[orderID]],order_details!F:F)</f>
        <v>517.79999999999995</v>
      </c>
      <c r="L10" s="9">
        <f>_xlfn.XLOOKUP(Table1[[#This Row],[orderID]],Table3[orderID],Table3[discount])</f>
        <v>0</v>
      </c>
      <c r="M10" s="2">
        <f>SUM(Table1[[#This Row],[Sales]],Table1[[#This Row],[freight]])</f>
        <v>531.77</v>
      </c>
      <c r="N10" s="3">
        <f>_xlfn.XLOOKUP(Table1[[#This Row],[orderID]],Table3[orderID],Table3[quantity])</f>
        <v>15</v>
      </c>
      <c r="O10" s="6" t="str">
        <f>_xlfn.XLOOKUP(Table1[[#This Row],[CustomerID]],customers!A:A,customers!B:B)</f>
        <v>Wellington Importadora</v>
      </c>
      <c r="P10" s="6" t="str">
        <f>_xlfn.XLOOKUP(Table1[[#This Row],[shipperID]],Table6[shipperID],Table6[companyName])</f>
        <v>United Package</v>
      </c>
      <c r="Q10">
        <f>YEAR(Table1[[#This Row],[OrderDate]])</f>
        <v>2013</v>
      </c>
      <c r="R10">
        <f>MONTH(Table1[[#This Row],[OrderDate]])</f>
        <v>7</v>
      </c>
      <c r="S10" t="str">
        <f>"Q"&amp;ROUNDUP(Table1[[#This Row],[month]]/3,0)</f>
        <v>Q3</v>
      </c>
      <c r="T10" t="str">
        <f>CONCATENATE(Table1[[#This Row],[year]],"-",Table1[[#This Row],[Quarter]])</f>
        <v>2013-Q3</v>
      </c>
      <c r="U10" s="6" t="str">
        <f>IF(H9="","Pending",IF(Table1[[#This Row],[Days to ship]]&lt;Table1[[#This Row],[RequiredDate]],"On Time","Late"))</f>
        <v>On Time</v>
      </c>
      <c r="V10">
        <f>_xlfn.XLOOKUP(Table1[[#This Row],[orderID]],Table3[orderID],Table3[unitPrice])</f>
        <v>26.2</v>
      </c>
    </row>
    <row r="11" spans="1:22" x14ac:dyDescent="0.45">
      <c r="A11" s="3">
        <v>10257</v>
      </c>
      <c r="B11" s="6" t="s">
        <v>174</v>
      </c>
      <c r="C11" s="3">
        <v>4</v>
      </c>
      <c r="D11" s="6" t="str">
        <f>_xlfn.XLOOKUP(Table1[[#This Row],[EmployeeID]],Table4[employeeID],Table4[employeeName])</f>
        <v>Margaret Peacock</v>
      </c>
      <c r="E11" s="1">
        <v>41471</v>
      </c>
      <c r="F11" s="1">
        <v>41499</v>
      </c>
      <c r="G11" s="1">
        <v>41477</v>
      </c>
      <c r="H11" s="3">
        <f>IF(Table1[[#This Row],[ShippedDate]]="","",IF(Table1[[#This Row],[OrderDate]]="","",Table1[[#This Row],[ShippedDate]]-Table1[[#This Row],[OrderDate]]))</f>
        <v>6</v>
      </c>
      <c r="I11" s="3">
        <v>3</v>
      </c>
      <c r="J11" s="2">
        <v>81.91</v>
      </c>
      <c r="K11" s="2">
        <f>SUMIF(order_details!A:A,Table1[[#This Row],[orderID]],order_details!F:F)</f>
        <v>1119.9000000000001</v>
      </c>
      <c r="L11" s="9">
        <f>_xlfn.XLOOKUP(Table1[[#This Row],[orderID]],Table3[orderID],Table3[discount])</f>
        <v>0</v>
      </c>
      <c r="M11" s="2">
        <f>SUM(Table1[[#This Row],[Sales]],Table1[[#This Row],[freight]])</f>
        <v>1201.8100000000002</v>
      </c>
      <c r="N11" s="3">
        <f>_xlfn.XLOOKUP(Table1[[#This Row],[orderID]],Table3[orderID],Table3[quantity])</f>
        <v>25</v>
      </c>
      <c r="O11" s="6" t="str">
        <f>_xlfn.XLOOKUP(Table1[[#This Row],[CustomerID]],customers!A:A,customers!B:B)</f>
        <v>HILARION-Abastos</v>
      </c>
      <c r="P11" s="6" t="str">
        <f>_xlfn.XLOOKUP(Table1[[#This Row],[shipperID]],Table6[shipperID],Table6[companyName])</f>
        <v>Federal Shipping</v>
      </c>
      <c r="Q11">
        <f>YEAR(Table1[[#This Row],[OrderDate]])</f>
        <v>2013</v>
      </c>
      <c r="R11">
        <f>MONTH(Table1[[#This Row],[OrderDate]])</f>
        <v>7</v>
      </c>
      <c r="S11" t="str">
        <f>"Q"&amp;ROUNDUP(Table1[[#This Row],[month]]/3,0)</f>
        <v>Q3</v>
      </c>
      <c r="T11" t="str">
        <f>CONCATENATE(Table1[[#This Row],[year]],"-",Table1[[#This Row],[Quarter]])</f>
        <v>2013-Q3</v>
      </c>
      <c r="U11" s="6" t="str">
        <f>IF(H10="","Pending",IF(Table1[[#This Row],[Days to ship]]&lt;Table1[[#This Row],[RequiredDate]],"On Time","Late"))</f>
        <v>On Time</v>
      </c>
      <c r="V11">
        <f>_xlfn.XLOOKUP(Table1[[#This Row],[orderID]],Table3[orderID],Table3[unitPrice])</f>
        <v>35.1</v>
      </c>
    </row>
    <row r="12" spans="1:22" x14ac:dyDescent="0.45">
      <c r="A12" s="3">
        <v>10258</v>
      </c>
      <c r="B12" s="6" t="s">
        <v>158</v>
      </c>
      <c r="C12" s="3">
        <v>1</v>
      </c>
      <c r="D12" s="6" t="str">
        <f>_xlfn.XLOOKUP(Table1[[#This Row],[EmployeeID]],Table4[employeeID],Table4[employeeName])</f>
        <v>Nancy Davolio</v>
      </c>
      <c r="E12" s="1">
        <v>41472</v>
      </c>
      <c r="F12" s="1">
        <v>41500</v>
      </c>
      <c r="G12" s="1">
        <v>41478</v>
      </c>
      <c r="H12" s="3">
        <f>IF(Table1[[#This Row],[ShippedDate]]="","",IF(Table1[[#This Row],[OrderDate]]="","",Table1[[#This Row],[ShippedDate]]-Table1[[#This Row],[OrderDate]]))</f>
        <v>6</v>
      </c>
      <c r="I12" s="3">
        <v>1</v>
      </c>
      <c r="J12" s="2">
        <v>140.51</v>
      </c>
      <c r="K12" s="2">
        <f>SUMIF(order_details!A:A,Table1[[#This Row],[orderID]],order_details!F:F)</f>
        <v>1614.88</v>
      </c>
      <c r="L12" s="9">
        <f>_xlfn.XLOOKUP(Table1[[#This Row],[orderID]],Table3[orderID],Table3[discount])</f>
        <v>0.2</v>
      </c>
      <c r="M12" s="2">
        <f>SUM(Table1[[#This Row],[Sales]],Table1[[#This Row],[freight]])</f>
        <v>1755.39</v>
      </c>
      <c r="N12" s="3">
        <f>_xlfn.XLOOKUP(Table1[[#This Row],[orderID]],Table3[orderID],Table3[quantity])</f>
        <v>50</v>
      </c>
      <c r="O12" s="6" t="str">
        <f>_xlfn.XLOOKUP(Table1[[#This Row],[CustomerID]],customers!A:A,customers!B:B)</f>
        <v>Ernst Handel</v>
      </c>
      <c r="P12" s="6" t="str">
        <f>_xlfn.XLOOKUP(Table1[[#This Row],[shipperID]],Table6[shipperID],Table6[companyName])</f>
        <v>Speedy Express</v>
      </c>
      <c r="Q12">
        <f>YEAR(Table1[[#This Row],[OrderDate]])</f>
        <v>2013</v>
      </c>
      <c r="R12">
        <f>MONTH(Table1[[#This Row],[OrderDate]])</f>
        <v>7</v>
      </c>
      <c r="S12" t="str">
        <f>"Q"&amp;ROUNDUP(Table1[[#This Row],[month]]/3,0)</f>
        <v>Q3</v>
      </c>
      <c r="T12" t="str">
        <f>CONCATENATE(Table1[[#This Row],[year]],"-",Table1[[#This Row],[Quarter]])</f>
        <v>2013-Q3</v>
      </c>
      <c r="U12" s="6" t="str">
        <f>IF(H11="","Pending",IF(Table1[[#This Row],[Days to ship]]&lt;Table1[[#This Row],[RequiredDate]],"On Time","Late"))</f>
        <v>On Time</v>
      </c>
      <c r="V12">
        <f>_xlfn.XLOOKUP(Table1[[#This Row],[orderID]],Table3[orderID],Table3[unitPrice])</f>
        <v>15.2</v>
      </c>
    </row>
    <row r="13" spans="1:22" x14ac:dyDescent="0.45">
      <c r="A13" s="3">
        <v>10259</v>
      </c>
      <c r="B13" s="6" t="s">
        <v>241</v>
      </c>
      <c r="C13" s="3">
        <v>4</v>
      </c>
      <c r="D13" s="6" t="str">
        <f>_xlfn.XLOOKUP(Table1[[#This Row],[EmployeeID]],Table4[employeeID],Table4[employeeName])</f>
        <v>Margaret Peacock</v>
      </c>
      <c r="E13" s="1">
        <v>41473</v>
      </c>
      <c r="F13" s="1">
        <v>41501</v>
      </c>
      <c r="G13" s="1">
        <v>41480</v>
      </c>
      <c r="H13" s="3">
        <f>IF(Table1[[#This Row],[ShippedDate]]="","",IF(Table1[[#This Row],[OrderDate]]="","",Table1[[#This Row],[ShippedDate]]-Table1[[#This Row],[OrderDate]]))</f>
        <v>7</v>
      </c>
      <c r="I13" s="3">
        <v>3</v>
      </c>
      <c r="J13" s="2">
        <v>3.25</v>
      </c>
      <c r="K13" s="2">
        <f>SUMIF(order_details!A:A,Table1[[#This Row],[orderID]],order_details!F:F)</f>
        <v>100.8</v>
      </c>
      <c r="L13" s="9">
        <f>_xlfn.XLOOKUP(Table1[[#This Row],[orderID]],Table3[orderID],Table3[discount])</f>
        <v>0</v>
      </c>
      <c r="M13" s="2">
        <f>SUM(Table1[[#This Row],[Sales]],Table1[[#This Row],[freight]])</f>
        <v>104.05</v>
      </c>
      <c r="N13" s="3">
        <f>_xlfn.XLOOKUP(Table1[[#This Row],[orderID]],Table3[orderID],Table3[quantity])</f>
        <v>10</v>
      </c>
      <c r="O13" s="6" t="str">
        <f>_xlfn.XLOOKUP(Table1[[#This Row],[CustomerID]],customers!A:A,customers!B:B)</f>
        <v>Centro comercial Moctezuma</v>
      </c>
      <c r="P13" s="6" t="str">
        <f>_xlfn.XLOOKUP(Table1[[#This Row],[shipperID]],Table6[shipperID],Table6[companyName])</f>
        <v>Federal Shipping</v>
      </c>
      <c r="Q13">
        <f>YEAR(Table1[[#This Row],[OrderDate]])</f>
        <v>2013</v>
      </c>
      <c r="R13">
        <f>MONTH(Table1[[#This Row],[OrderDate]])</f>
        <v>7</v>
      </c>
      <c r="S13" t="str">
        <f>"Q"&amp;ROUNDUP(Table1[[#This Row],[month]]/3,0)</f>
        <v>Q3</v>
      </c>
      <c r="T13" t="str">
        <f>CONCATENATE(Table1[[#This Row],[year]],"-",Table1[[#This Row],[Quarter]])</f>
        <v>2013-Q3</v>
      </c>
      <c r="U13" s="6" t="str">
        <f>IF(H12="","Pending",IF(Table1[[#This Row],[Days to ship]]&lt;Table1[[#This Row],[RequiredDate]],"On Time","Late"))</f>
        <v>On Time</v>
      </c>
      <c r="V13">
        <f>_xlfn.XLOOKUP(Table1[[#This Row],[orderID]],Table3[orderID],Table3[unitPrice])</f>
        <v>8</v>
      </c>
    </row>
    <row r="14" spans="1:22" x14ac:dyDescent="0.45">
      <c r="A14" s="3">
        <v>10260</v>
      </c>
      <c r="B14" s="6" t="s">
        <v>195</v>
      </c>
      <c r="C14" s="3">
        <v>4</v>
      </c>
      <c r="D14" s="6" t="str">
        <f>_xlfn.XLOOKUP(Table1[[#This Row],[EmployeeID]],Table4[employeeID],Table4[employeeName])</f>
        <v>Margaret Peacock</v>
      </c>
      <c r="E14" s="1">
        <v>41474</v>
      </c>
      <c r="F14" s="1">
        <v>41502</v>
      </c>
      <c r="G14" s="1">
        <v>41484</v>
      </c>
      <c r="H14" s="3">
        <f>IF(Table1[[#This Row],[ShippedDate]]="","",IF(Table1[[#This Row],[OrderDate]]="","",Table1[[#This Row],[ShippedDate]]-Table1[[#This Row],[OrderDate]]))</f>
        <v>10</v>
      </c>
      <c r="I14" s="3">
        <v>1</v>
      </c>
      <c r="J14" s="2">
        <v>55.09</v>
      </c>
      <c r="K14" s="2">
        <f>SUMIF(order_details!A:A,Table1[[#This Row],[orderID]],order_details!F:F)</f>
        <v>1504.65</v>
      </c>
      <c r="L14" s="9">
        <f>_xlfn.XLOOKUP(Table1[[#This Row],[orderID]],Table3[orderID],Table3[discount])</f>
        <v>0.25</v>
      </c>
      <c r="M14" s="2">
        <f>SUM(Table1[[#This Row],[Sales]],Table1[[#This Row],[freight]])</f>
        <v>1559.74</v>
      </c>
      <c r="N14" s="3">
        <f>_xlfn.XLOOKUP(Table1[[#This Row],[orderID]],Table3[orderID],Table3[quantity])</f>
        <v>16</v>
      </c>
      <c r="O14" s="6" t="str">
        <f>_xlfn.XLOOKUP(Table1[[#This Row],[CustomerID]],customers!A:A,customers!B:B)</f>
        <v>Ottilies Käseladen</v>
      </c>
      <c r="P14" s="6" t="str">
        <f>_xlfn.XLOOKUP(Table1[[#This Row],[shipperID]],Table6[shipperID],Table6[companyName])</f>
        <v>Speedy Express</v>
      </c>
      <c r="Q14">
        <f>YEAR(Table1[[#This Row],[OrderDate]])</f>
        <v>2013</v>
      </c>
      <c r="R14">
        <f>MONTH(Table1[[#This Row],[OrderDate]])</f>
        <v>7</v>
      </c>
      <c r="S14" t="str">
        <f>"Q"&amp;ROUNDUP(Table1[[#This Row],[month]]/3,0)</f>
        <v>Q3</v>
      </c>
      <c r="T14" t="str">
        <f>CONCATENATE(Table1[[#This Row],[year]],"-",Table1[[#This Row],[Quarter]])</f>
        <v>2013-Q3</v>
      </c>
      <c r="U14" s="6" t="str">
        <f>IF(H13="","Pending",IF(Table1[[#This Row],[Days to ship]]&lt;Table1[[#This Row],[RequiredDate]],"On Time","Late"))</f>
        <v>On Time</v>
      </c>
      <c r="V14">
        <f>_xlfn.XLOOKUP(Table1[[#This Row],[orderID]],Table3[orderID],Table3[unitPrice])</f>
        <v>7.7</v>
      </c>
    </row>
    <row r="15" spans="1:22" x14ac:dyDescent="0.45">
      <c r="A15" s="3">
        <v>10261</v>
      </c>
      <c r="B15" s="6" t="s">
        <v>209</v>
      </c>
      <c r="C15" s="3">
        <v>4</v>
      </c>
      <c r="D15" s="6" t="str">
        <f>_xlfn.XLOOKUP(Table1[[#This Row],[EmployeeID]],Table4[employeeID],Table4[employeeName])</f>
        <v>Margaret Peacock</v>
      </c>
      <c r="E15" s="1">
        <v>41474</v>
      </c>
      <c r="F15" s="1">
        <v>41502</v>
      </c>
      <c r="G15" s="1">
        <v>41485</v>
      </c>
      <c r="H15" s="3">
        <f>IF(Table1[[#This Row],[ShippedDate]]="","",IF(Table1[[#This Row],[OrderDate]]="","",Table1[[#This Row],[ShippedDate]]-Table1[[#This Row],[OrderDate]]))</f>
        <v>11</v>
      </c>
      <c r="I15" s="3">
        <v>2</v>
      </c>
      <c r="J15" s="2">
        <v>3.05</v>
      </c>
      <c r="K15" s="2">
        <f>SUMIF(order_details!A:A,Table1[[#This Row],[orderID]],order_details!F:F)</f>
        <v>448</v>
      </c>
      <c r="L15" s="9">
        <f>_xlfn.XLOOKUP(Table1[[#This Row],[orderID]],Table3[orderID],Table3[discount])</f>
        <v>0</v>
      </c>
      <c r="M15" s="2">
        <f>SUM(Table1[[#This Row],[Sales]],Table1[[#This Row],[freight]])</f>
        <v>451.05</v>
      </c>
      <c r="N15" s="3">
        <f>_xlfn.XLOOKUP(Table1[[#This Row],[orderID]],Table3[orderID],Table3[quantity])</f>
        <v>20</v>
      </c>
      <c r="O15" s="6" t="str">
        <f>_xlfn.XLOOKUP(Table1[[#This Row],[CustomerID]],customers!A:A,customers!B:B)</f>
        <v>Que Delícia</v>
      </c>
      <c r="P15" s="6" t="str">
        <f>_xlfn.XLOOKUP(Table1[[#This Row],[shipperID]],Table6[shipperID],Table6[companyName])</f>
        <v>United Package</v>
      </c>
      <c r="Q15">
        <f>YEAR(Table1[[#This Row],[OrderDate]])</f>
        <v>2013</v>
      </c>
      <c r="R15">
        <f>MONTH(Table1[[#This Row],[OrderDate]])</f>
        <v>7</v>
      </c>
      <c r="S15" t="str">
        <f>"Q"&amp;ROUNDUP(Table1[[#This Row],[month]]/3,0)</f>
        <v>Q3</v>
      </c>
      <c r="T15" t="str">
        <f>CONCATENATE(Table1[[#This Row],[year]],"-",Table1[[#This Row],[Quarter]])</f>
        <v>2013-Q3</v>
      </c>
      <c r="U15" s="6" t="str">
        <f>IF(H14="","Pending",IF(Table1[[#This Row],[Days to ship]]&lt;Table1[[#This Row],[RequiredDate]],"On Time","Late"))</f>
        <v>On Time</v>
      </c>
      <c r="V15">
        <f>_xlfn.XLOOKUP(Table1[[#This Row],[orderID]],Table3[orderID],Table3[unitPrice])</f>
        <v>8</v>
      </c>
    </row>
    <row r="16" spans="1:22" x14ac:dyDescent="0.45">
      <c r="A16" s="3">
        <v>10262</v>
      </c>
      <c r="B16" s="6" t="s">
        <v>153</v>
      </c>
      <c r="C16" s="3">
        <v>8</v>
      </c>
      <c r="D16" s="6" t="str">
        <f>_xlfn.XLOOKUP(Table1[[#This Row],[EmployeeID]],Table4[employeeID],Table4[employeeName])</f>
        <v>Laura Callahan</v>
      </c>
      <c r="E16" s="1">
        <v>41477</v>
      </c>
      <c r="F16" s="1">
        <v>41505</v>
      </c>
      <c r="G16" s="1">
        <v>41480</v>
      </c>
      <c r="H16" s="3">
        <f>IF(Table1[[#This Row],[ShippedDate]]="","",IF(Table1[[#This Row],[OrderDate]]="","",Table1[[#This Row],[ShippedDate]]-Table1[[#This Row],[OrderDate]]))</f>
        <v>3</v>
      </c>
      <c r="I16" s="3">
        <v>3</v>
      </c>
      <c r="J16" s="2">
        <v>48.29</v>
      </c>
      <c r="K16" s="2">
        <f>SUMIF(order_details!A:A,Table1[[#This Row],[orderID]],order_details!F:F)</f>
        <v>584</v>
      </c>
      <c r="L16" s="9">
        <f>_xlfn.XLOOKUP(Table1[[#This Row],[orderID]],Table3[orderID],Table3[discount])</f>
        <v>0.2</v>
      </c>
      <c r="M16" s="2">
        <f>SUM(Table1[[#This Row],[Sales]],Table1[[#This Row],[freight]])</f>
        <v>632.29</v>
      </c>
      <c r="N16" s="3">
        <f>_xlfn.XLOOKUP(Table1[[#This Row],[orderID]],Table3[orderID],Table3[quantity])</f>
        <v>12</v>
      </c>
      <c r="O16" s="6" t="str">
        <f>_xlfn.XLOOKUP(Table1[[#This Row],[CustomerID]],customers!A:A,customers!B:B)</f>
        <v>Rattlesnake Canyon Grocery</v>
      </c>
      <c r="P16" s="6" t="str">
        <f>_xlfn.XLOOKUP(Table1[[#This Row],[shipperID]],Table6[shipperID],Table6[companyName])</f>
        <v>Federal Shipping</v>
      </c>
      <c r="Q16">
        <f>YEAR(Table1[[#This Row],[OrderDate]])</f>
        <v>2013</v>
      </c>
      <c r="R16">
        <f>MONTH(Table1[[#This Row],[OrderDate]])</f>
        <v>7</v>
      </c>
      <c r="S16" t="str">
        <f>"Q"&amp;ROUNDUP(Table1[[#This Row],[month]]/3,0)</f>
        <v>Q3</v>
      </c>
      <c r="T16" t="str">
        <f>CONCATENATE(Table1[[#This Row],[year]],"-",Table1[[#This Row],[Quarter]])</f>
        <v>2013-Q3</v>
      </c>
      <c r="U16" s="6" t="str">
        <f>IF(H15="","Pending",IF(Table1[[#This Row],[Days to ship]]&lt;Table1[[#This Row],[RequiredDate]],"On Time","Late"))</f>
        <v>On Time</v>
      </c>
      <c r="V16">
        <f>_xlfn.XLOOKUP(Table1[[#This Row],[orderID]],Table3[orderID],Table3[unitPrice])</f>
        <v>17</v>
      </c>
    </row>
    <row r="17" spans="1:22" x14ac:dyDescent="0.45">
      <c r="A17" s="3">
        <v>10263</v>
      </c>
      <c r="B17" s="6" t="s">
        <v>158</v>
      </c>
      <c r="C17" s="3">
        <v>9</v>
      </c>
      <c r="D17" s="6" t="str">
        <f>_xlfn.XLOOKUP(Table1[[#This Row],[EmployeeID]],Table4[employeeID],Table4[employeeName])</f>
        <v>Anne Dodsworth</v>
      </c>
      <c r="E17" s="1">
        <v>41478</v>
      </c>
      <c r="F17" s="1">
        <v>41506</v>
      </c>
      <c r="G17" s="1">
        <v>41486</v>
      </c>
      <c r="H17" s="3">
        <f>IF(Table1[[#This Row],[ShippedDate]]="","",IF(Table1[[#This Row],[OrderDate]]="","",Table1[[#This Row],[ShippedDate]]-Table1[[#This Row],[OrderDate]]))</f>
        <v>8</v>
      </c>
      <c r="I17" s="3">
        <v>3</v>
      </c>
      <c r="J17" s="2">
        <v>146.06</v>
      </c>
      <c r="K17" s="2">
        <f>SUMIF(order_details!A:A,Table1[[#This Row],[orderID]],order_details!F:F)</f>
        <v>1873.8</v>
      </c>
      <c r="L17" s="9">
        <f>_xlfn.XLOOKUP(Table1[[#This Row],[orderID]],Table3[orderID],Table3[discount])</f>
        <v>0.25</v>
      </c>
      <c r="M17" s="2">
        <f>SUM(Table1[[#This Row],[Sales]],Table1[[#This Row],[freight]])</f>
        <v>2019.86</v>
      </c>
      <c r="N17" s="3">
        <f>_xlfn.XLOOKUP(Table1[[#This Row],[orderID]],Table3[orderID],Table3[quantity])</f>
        <v>60</v>
      </c>
      <c r="O17" s="6" t="str">
        <f>_xlfn.XLOOKUP(Table1[[#This Row],[CustomerID]],customers!A:A,customers!B:B)</f>
        <v>Ernst Handel</v>
      </c>
      <c r="P17" s="6" t="str">
        <f>_xlfn.XLOOKUP(Table1[[#This Row],[shipperID]],Table6[shipperID],Table6[companyName])</f>
        <v>Federal Shipping</v>
      </c>
      <c r="Q17">
        <f>YEAR(Table1[[#This Row],[OrderDate]])</f>
        <v>2013</v>
      </c>
      <c r="R17">
        <f>MONTH(Table1[[#This Row],[OrderDate]])</f>
        <v>7</v>
      </c>
      <c r="S17" t="str">
        <f>"Q"&amp;ROUNDUP(Table1[[#This Row],[month]]/3,0)</f>
        <v>Q3</v>
      </c>
      <c r="T17" t="str">
        <f>CONCATENATE(Table1[[#This Row],[year]],"-",Table1[[#This Row],[Quarter]])</f>
        <v>2013-Q3</v>
      </c>
      <c r="U17" s="6" t="str">
        <f>IF(H16="","Pending",IF(Table1[[#This Row],[Days to ship]]&lt;Table1[[#This Row],[RequiredDate]],"On Time","Late"))</f>
        <v>On Time</v>
      </c>
      <c r="V17">
        <f>_xlfn.XLOOKUP(Table1[[#This Row],[orderID]],Table3[orderID],Table3[unitPrice])</f>
        <v>13.9</v>
      </c>
    </row>
    <row r="18" spans="1:22" x14ac:dyDescent="0.45">
      <c r="A18" s="3">
        <v>10264</v>
      </c>
      <c r="B18" s="6" t="s">
        <v>179</v>
      </c>
      <c r="C18" s="3">
        <v>6</v>
      </c>
      <c r="D18" s="6" t="str">
        <f>_xlfn.XLOOKUP(Table1[[#This Row],[EmployeeID]],Table4[employeeID],Table4[employeeName])</f>
        <v>Michael Suyama</v>
      </c>
      <c r="E18" s="1">
        <v>41479</v>
      </c>
      <c r="F18" s="1">
        <v>41507</v>
      </c>
      <c r="G18" s="1">
        <v>41509</v>
      </c>
      <c r="H18" s="3">
        <f>IF(Table1[[#This Row],[ShippedDate]]="","",IF(Table1[[#This Row],[OrderDate]]="","",Table1[[#This Row],[ShippedDate]]-Table1[[#This Row],[OrderDate]]))</f>
        <v>30</v>
      </c>
      <c r="I18" s="3">
        <v>3</v>
      </c>
      <c r="J18" s="2">
        <v>3.67</v>
      </c>
      <c r="K18" s="2">
        <f>SUMIF(order_details!A:A,Table1[[#This Row],[orderID]],order_details!F:F)</f>
        <v>695.625</v>
      </c>
      <c r="L18" s="9">
        <f>_xlfn.XLOOKUP(Table1[[#This Row],[orderID]],Table3[orderID],Table3[discount])</f>
        <v>0</v>
      </c>
      <c r="M18" s="2">
        <f>SUM(Table1[[#This Row],[Sales]],Table1[[#This Row],[freight]])</f>
        <v>699.29499999999996</v>
      </c>
      <c r="N18" s="3">
        <f>_xlfn.XLOOKUP(Table1[[#This Row],[orderID]],Table3[orderID],Table3[quantity])</f>
        <v>35</v>
      </c>
      <c r="O18" s="6" t="str">
        <f>_xlfn.XLOOKUP(Table1[[#This Row],[CustomerID]],customers!A:A,customers!B:B)</f>
        <v>Folk och fä HB</v>
      </c>
      <c r="P18" s="6" t="str">
        <f>_xlfn.XLOOKUP(Table1[[#This Row],[shipperID]],Table6[shipperID],Table6[companyName])</f>
        <v>Federal Shipping</v>
      </c>
      <c r="Q18">
        <f>YEAR(Table1[[#This Row],[OrderDate]])</f>
        <v>2013</v>
      </c>
      <c r="R18">
        <f>MONTH(Table1[[#This Row],[OrderDate]])</f>
        <v>7</v>
      </c>
      <c r="S18" t="str">
        <f>"Q"&amp;ROUNDUP(Table1[[#This Row],[month]]/3,0)</f>
        <v>Q3</v>
      </c>
      <c r="T18" t="str">
        <f>CONCATENATE(Table1[[#This Row],[year]],"-",Table1[[#This Row],[Quarter]])</f>
        <v>2013-Q3</v>
      </c>
      <c r="U18" s="6" t="str">
        <f>IF(H17="","Pending",IF(Table1[[#This Row],[Days to ship]]&lt;Table1[[#This Row],[RequiredDate]],"On Time","Late"))</f>
        <v>On Time</v>
      </c>
      <c r="V18">
        <f>_xlfn.XLOOKUP(Table1[[#This Row],[orderID]],Table3[orderID],Table3[unitPrice])</f>
        <v>15.2</v>
      </c>
    </row>
    <row r="19" spans="1:22" x14ac:dyDescent="0.45">
      <c r="A19" s="3">
        <v>10265</v>
      </c>
      <c r="B19" s="6" t="s">
        <v>231</v>
      </c>
      <c r="C19" s="3">
        <v>2</v>
      </c>
      <c r="D19" s="6" t="str">
        <f>_xlfn.XLOOKUP(Table1[[#This Row],[EmployeeID]],Table4[employeeID],Table4[employeeName])</f>
        <v>Andrew Fuller</v>
      </c>
      <c r="E19" s="1">
        <v>41480</v>
      </c>
      <c r="F19" s="1">
        <v>41508</v>
      </c>
      <c r="G19" s="1">
        <v>41498</v>
      </c>
      <c r="H19" s="3">
        <f>IF(Table1[[#This Row],[ShippedDate]]="","",IF(Table1[[#This Row],[OrderDate]]="","",Table1[[#This Row],[ShippedDate]]-Table1[[#This Row],[OrderDate]]))</f>
        <v>18</v>
      </c>
      <c r="I19" s="3">
        <v>1</v>
      </c>
      <c r="J19" s="2">
        <v>55.28</v>
      </c>
      <c r="K19" s="2">
        <f>SUMIF(order_details!A:A,Table1[[#This Row],[orderID]],order_details!F:F)</f>
        <v>1176</v>
      </c>
      <c r="L19" s="9">
        <f>_xlfn.XLOOKUP(Table1[[#This Row],[orderID]],Table3[orderID],Table3[discount])</f>
        <v>0</v>
      </c>
      <c r="M19" s="2">
        <f>SUM(Table1[[#This Row],[Sales]],Table1[[#This Row],[freight]])</f>
        <v>1231.28</v>
      </c>
      <c r="N19" s="3">
        <f>_xlfn.XLOOKUP(Table1[[#This Row],[orderID]],Table3[orderID],Table3[quantity])</f>
        <v>30</v>
      </c>
      <c r="O19" s="6" t="str">
        <f>_xlfn.XLOOKUP(Table1[[#This Row],[CustomerID]],customers!A:A,customers!B:B)</f>
        <v>Blondesddsl père et fils</v>
      </c>
      <c r="P19" s="6" t="str">
        <f>_xlfn.XLOOKUP(Table1[[#This Row],[shipperID]],Table6[shipperID],Table6[companyName])</f>
        <v>Speedy Express</v>
      </c>
      <c r="Q19">
        <f>YEAR(Table1[[#This Row],[OrderDate]])</f>
        <v>2013</v>
      </c>
      <c r="R19">
        <f>MONTH(Table1[[#This Row],[OrderDate]])</f>
        <v>7</v>
      </c>
      <c r="S19" t="str">
        <f>"Q"&amp;ROUNDUP(Table1[[#This Row],[month]]/3,0)</f>
        <v>Q3</v>
      </c>
      <c r="T19" t="str">
        <f>CONCATENATE(Table1[[#This Row],[year]],"-",Table1[[#This Row],[Quarter]])</f>
        <v>2013-Q3</v>
      </c>
      <c r="U19" s="6" t="str">
        <f>IF(H18="","Pending",IF(Table1[[#This Row],[Days to ship]]&lt;Table1[[#This Row],[RequiredDate]],"On Time","Late"))</f>
        <v>On Time</v>
      </c>
      <c r="V19">
        <f>_xlfn.XLOOKUP(Table1[[#This Row],[orderID]],Table3[orderID],Table3[unitPrice])</f>
        <v>31.2</v>
      </c>
    </row>
    <row r="20" spans="1:22" x14ac:dyDescent="0.45">
      <c r="A20" s="3">
        <v>10266</v>
      </c>
      <c r="B20" s="6" t="s">
        <v>192</v>
      </c>
      <c r="C20" s="3">
        <v>3</v>
      </c>
      <c r="D20" s="6" t="str">
        <f>_xlfn.XLOOKUP(Table1[[#This Row],[EmployeeID]],Table4[employeeID],Table4[employeeName])</f>
        <v>Janet Leverling</v>
      </c>
      <c r="E20" s="1">
        <v>41481</v>
      </c>
      <c r="F20" s="1">
        <v>41523</v>
      </c>
      <c r="G20" s="1">
        <v>41486</v>
      </c>
      <c r="H20" s="3">
        <f>IF(Table1[[#This Row],[ShippedDate]]="","",IF(Table1[[#This Row],[OrderDate]]="","",Table1[[#This Row],[ShippedDate]]-Table1[[#This Row],[OrderDate]]))</f>
        <v>5</v>
      </c>
      <c r="I20" s="3">
        <v>3</v>
      </c>
      <c r="J20" s="2">
        <v>25.73</v>
      </c>
      <c r="K20" s="2">
        <f>SUMIF(order_details!A:A,Table1[[#This Row],[orderID]],order_details!F:F)</f>
        <v>346.55999999999995</v>
      </c>
      <c r="L20" s="9">
        <f>_xlfn.XLOOKUP(Table1[[#This Row],[orderID]],Table3[orderID],Table3[discount])</f>
        <v>0.05</v>
      </c>
      <c r="M20" s="2">
        <f>SUM(Table1[[#This Row],[Sales]],Table1[[#This Row],[freight]])</f>
        <v>372.28999999999996</v>
      </c>
      <c r="N20" s="3">
        <f>_xlfn.XLOOKUP(Table1[[#This Row],[orderID]],Table3[orderID],Table3[quantity])</f>
        <v>12</v>
      </c>
      <c r="O20" s="6" t="str">
        <f>_xlfn.XLOOKUP(Table1[[#This Row],[CustomerID]],customers!A:A,customers!B:B)</f>
        <v>Wartian Herkku</v>
      </c>
      <c r="P20" s="6" t="str">
        <f>_xlfn.XLOOKUP(Table1[[#This Row],[shipperID]],Table6[shipperID],Table6[companyName])</f>
        <v>Federal Shipping</v>
      </c>
      <c r="Q20">
        <f>YEAR(Table1[[#This Row],[OrderDate]])</f>
        <v>2013</v>
      </c>
      <c r="R20">
        <f>MONTH(Table1[[#This Row],[OrderDate]])</f>
        <v>7</v>
      </c>
      <c r="S20" t="str">
        <f>"Q"&amp;ROUNDUP(Table1[[#This Row],[month]]/3,0)</f>
        <v>Q3</v>
      </c>
      <c r="T20" t="str">
        <f>CONCATENATE(Table1[[#This Row],[year]],"-",Table1[[#This Row],[Quarter]])</f>
        <v>2013-Q3</v>
      </c>
      <c r="U20" s="6" t="str">
        <f>IF(H19="","Pending",IF(Table1[[#This Row],[Days to ship]]&lt;Table1[[#This Row],[RequiredDate]],"On Time","Late"))</f>
        <v>On Time</v>
      </c>
      <c r="V20">
        <f>_xlfn.XLOOKUP(Table1[[#This Row],[orderID]],Table3[orderID],Table3[unitPrice])</f>
        <v>30.4</v>
      </c>
    </row>
    <row r="21" spans="1:22" x14ac:dyDescent="0.45">
      <c r="A21" s="3">
        <v>10267</v>
      </c>
      <c r="B21" s="6" t="s">
        <v>201</v>
      </c>
      <c r="C21" s="3">
        <v>4</v>
      </c>
      <c r="D21" s="6" t="str">
        <f>_xlfn.XLOOKUP(Table1[[#This Row],[EmployeeID]],Table4[employeeID],Table4[employeeName])</f>
        <v>Margaret Peacock</v>
      </c>
      <c r="E21" s="1">
        <v>41484</v>
      </c>
      <c r="F21" s="1">
        <v>41512</v>
      </c>
      <c r="G21" s="1">
        <v>41492</v>
      </c>
      <c r="H21" s="3">
        <f>IF(Table1[[#This Row],[ShippedDate]]="","",IF(Table1[[#This Row],[OrderDate]]="","",Table1[[#This Row],[ShippedDate]]-Table1[[#This Row],[OrderDate]]))</f>
        <v>8</v>
      </c>
      <c r="I21" s="3">
        <v>1</v>
      </c>
      <c r="J21" s="2">
        <v>208.58</v>
      </c>
      <c r="K21" s="2">
        <f>SUMIF(order_details!A:A,Table1[[#This Row],[orderID]],order_details!F:F)</f>
        <v>3536.6</v>
      </c>
      <c r="L21" s="9">
        <f>_xlfn.XLOOKUP(Table1[[#This Row],[orderID]],Table3[orderID],Table3[discount])</f>
        <v>0</v>
      </c>
      <c r="M21" s="2">
        <f>SUM(Table1[[#This Row],[Sales]],Table1[[#This Row],[freight]])</f>
        <v>3745.18</v>
      </c>
      <c r="N21" s="3">
        <f>_xlfn.XLOOKUP(Table1[[#This Row],[orderID]],Table3[orderID],Table3[quantity])</f>
        <v>50</v>
      </c>
      <c r="O21" s="6" t="str">
        <f>_xlfn.XLOOKUP(Table1[[#This Row],[CustomerID]],customers!A:A,customers!B:B)</f>
        <v>Frankenversand</v>
      </c>
      <c r="P21" s="6" t="str">
        <f>_xlfn.XLOOKUP(Table1[[#This Row],[shipperID]],Table6[shipperID],Table6[companyName])</f>
        <v>Speedy Express</v>
      </c>
      <c r="Q21">
        <f>YEAR(Table1[[#This Row],[OrderDate]])</f>
        <v>2013</v>
      </c>
      <c r="R21">
        <f>MONTH(Table1[[#This Row],[OrderDate]])</f>
        <v>7</v>
      </c>
      <c r="S21" t="str">
        <f>"Q"&amp;ROUNDUP(Table1[[#This Row],[month]]/3,0)</f>
        <v>Q3</v>
      </c>
      <c r="T21" t="str">
        <f>CONCATENATE(Table1[[#This Row],[year]],"-",Table1[[#This Row],[Quarter]])</f>
        <v>2013-Q3</v>
      </c>
      <c r="U21" s="6" t="str">
        <f>IF(H20="","Pending",IF(Table1[[#This Row],[Days to ship]]&lt;Table1[[#This Row],[RequiredDate]],"On Time","Late"))</f>
        <v>On Time</v>
      </c>
      <c r="V21">
        <f>_xlfn.XLOOKUP(Table1[[#This Row],[orderID]],Table3[orderID],Table3[unitPrice])</f>
        <v>14.7</v>
      </c>
    </row>
    <row r="22" spans="1:22" x14ac:dyDescent="0.45">
      <c r="A22" s="3">
        <v>10268</v>
      </c>
      <c r="B22" s="6" t="s">
        <v>235</v>
      </c>
      <c r="C22" s="3">
        <v>8</v>
      </c>
      <c r="D22" s="6" t="str">
        <f>_xlfn.XLOOKUP(Table1[[#This Row],[EmployeeID]],Table4[employeeID],Table4[employeeName])</f>
        <v>Laura Callahan</v>
      </c>
      <c r="E22" s="1">
        <v>41485</v>
      </c>
      <c r="F22" s="1">
        <v>41513</v>
      </c>
      <c r="G22" s="1">
        <v>41488</v>
      </c>
      <c r="H22" s="3">
        <f>IF(Table1[[#This Row],[ShippedDate]]="","",IF(Table1[[#This Row],[OrderDate]]="","",Table1[[#This Row],[ShippedDate]]-Table1[[#This Row],[OrderDate]]))</f>
        <v>3</v>
      </c>
      <c r="I22" s="3">
        <v>3</v>
      </c>
      <c r="J22" s="2">
        <v>66.290000000000006</v>
      </c>
      <c r="K22" s="2">
        <f>SUMIF(order_details!A:A,Table1[[#This Row],[orderID]],order_details!F:F)</f>
        <v>1101.2</v>
      </c>
      <c r="L22" s="9">
        <f>_xlfn.XLOOKUP(Table1[[#This Row],[orderID]],Table3[orderID],Table3[discount])</f>
        <v>0</v>
      </c>
      <c r="M22" s="2">
        <f>SUM(Table1[[#This Row],[Sales]],Table1[[#This Row],[freight]])</f>
        <v>1167.49</v>
      </c>
      <c r="N22" s="3">
        <f>_xlfn.XLOOKUP(Table1[[#This Row],[orderID]],Table3[orderID],Table3[quantity])</f>
        <v>10</v>
      </c>
      <c r="O22" s="6" t="str">
        <f>_xlfn.XLOOKUP(Table1[[#This Row],[CustomerID]],customers!A:A,customers!B:B)</f>
        <v>GROSELLA-Restaurante</v>
      </c>
      <c r="P22" s="6" t="str">
        <f>_xlfn.XLOOKUP(Table1[[#This Row],[shipperID]],Table6[shipperID],Table6[companyName])</f>
        <v>Federal Shipping</v>
      </c>
      <c r="Q22">
        <f>YEAR(Table1[[#This Row],[OrderDate]])</f>
        <v>2013</v>
      </c>
      <c r="R22">
        <f>MONTH(Table1[[#This Row],[OrderDate]])</f>
        <v>7</v>
      </c>
      <c r="S22" t="str">
        <f>"Q"&amp;ROUNDUP(Table1[[#This Row],[month]]/3,0)</f>
        <v>Q3</v>
      </c>
      <c r="T22" t="str">
        <f>CONCATENATE(Table1[[#This Row],[year]],"-",Table1[[#This Row],[Quarter]])</f>
        <v>2013-Q3</v>
      </c>
      <c r="U22" s="6" t="str">
        <f>IF(H21="","Pending",IF(Table1[[#This Row],[Days to ship]]&lt;Table1[[#This Row],[RequiredDate]],"On Time","Late"))</f>
        <v>On Time</v>
      </c>
      <c r="V22">
        <f>_xlfn.XLOOKUP(Table1[[#This Row],[orderID]],Table3[orderID],Table3[unitPrice])</f>
        <v>99</v>
      </c>
    </row>
    <row r="23" spans="1:22" x14ac:dyDescent="0.45">
      <c r="A23" s="3">
        <v>10269</v>
      </c>
      <c r="B23" s="6" t="s">
        <v>164</v>
      </c>
      <c r="C23" s="3">
        <v>5</v>
      </c>
      <c r="D23" s="6" t="str">
        <f>_xlfn.XLOOKUP(Table1[[#This Row],[EmployeeID]],Table4[employeeID],Table4[employeeName])</f>
        <v>Steven Buchanan</v>
      </c>
      <c r="E23" s="1">
        <v>41486</v>
      </c>
      <c r="F23" s="1">
        <v>41500</v>
      </c>
      <c r="G23" s="1">
        <v>41495</v>
      </c>
      <c r="H23" s="3">
        <f>IF(Table1[[#This Row],[ShippedDate]]="","",IF(Table1[[#This Row],[OrderDate]]="","",Table1[[#This Row],[ShippedDate]]-Table1[[#This Row],[OrderDate]]))</f>
        <v>9</v>
      </c>
      <c r="I23" s="3">
        <v>1</v>
      </c>
      <c r="J23" s="2">
        <v>4.5599999999999996</v>
      </c>
      <c r="K23" s="2">
        <f>SUMIF(order_details!A:A,Table1[[#This Row],[orderID]],order_details!F:F)</f>
        <v>642.19999999999993</v>
      </c>
      <c r="L23" s="9">
        <f>_xlfn.XLOOKUP(Table1[[#This Row],[orderID]],Table3[orderID],Table3[discount])</f>
        <v>0.05</v>
      </c>
      <c r="M23" s="2">
        <f>SUM(Table1[[#This Row],[Sales]],Table1[[#This Row],[freight]])</f>
        <v>646.75999999999988</v>
      </c>
      <c r="N23" s="3">
        <f>_xlfn.XLOOKUP(Table1[[#This Row],[orderID]],Table3[orderID],Table3[quantity])</f>
        <v>60</v>
      </c>
      <c r="O23" s="6" t="str">
        <f>_xlfn.XLOOKUP(Table1[[#This Row],[CustomerID]],customers!A:A,customers!B:B)</f>
        <v>White Clover Markets</v>
      </c>
      <c r="P23" s="6" t="str">
        <f>_xlfn.XLOOKUP(Table1[[#This Row],[shipperID]],Table6[shipperID],Table6[companyName])</f>
        <v>Speedy Express</v>
      </c>
      <c r="Q23">
        <f>YEAR(Table1[[#This Row],[OrderDate]])</f>
        <v>2013</v>
      </c>
      <c r="R23">
        <f>MONTH(Table1[[#This Row],[OrderDate]])</f>
        <v>7</v>
      </c>
      <c r="S23" t="str">
        <f>"Q"&amp;ROUNDUP(Table1[[#This Row],[month]]/3,0)</f>
        <v>Q3</v>
      </c>
      <c r="T23" t="str">
        <f>CONCATENATE(Table1[[#This Row],[year]],"-",Table1[[#This Row],[Quarter]])</f>
        <v>2013-Q3</v>
      </c>
      <c r="U23" s="6" t="str">
        <f>IF(H22="","Pending",IF(Table1[[#This Row],[Days to ship]]&lt;Table1[[#This Row],[RequiredDate]],"On Time","Late"))</f>
        <v>On Time</v>
      </c>
      <c r="V23">
        <f>_xlfn.XLOOKUP(Table1[[#This Row],[orderID]],Table3[orderID],Table3[unitPrice])</f>
        <v>2</v>
      </c>
    </row>
    <row r="24" spans="1:22" x14ac:dyDescent="0.45">
      <c r="A24" s="3">
        <v>10270</v>
      </c>
      <c r="B24" s="6" t="s">
        <v>192</v>
      </c>
      <c r="C24" s="3">
        <v>1</v>
      </c>
      <c r="D24" s="6" t="str">
        <f>_xlfn.XLOOKUP(Table1[[#This Row],[EmployeeID]],Table4[employeeID],Table4[employeeName])</f>
        <v>Nancy Davolio</v>
      </c>
      <c r="E24" s="1">
        <v>41487</v>
      </c>
      <c r="F24" s="1">
        <v>41515</v>
      </c>
      <c r="G24" s="1">
        <v>41488</v>
      </c>
      <c r="H24" s="3">
        <f>IF(Table1[[#This Row],[ShippedDate]]="","",IF(Table1[[#This Row],[OrderDate]]="","",Table1[[#This Row],[ShippedDate]]-Table1[[#This Row],[OrderDate]]))</f>
        <v>1</v>
      </c>
      <c r="I24" s="3">
        <v>1</v>
      </c>
      <c r="J24" s="2">
        <v>136.54</v>
      </c>
      <c r="K24" s="2">
        <f>SUMIF(order_details!A:A,Table1[[#This Row],[orderID]],order_details!F:F)</f>
        <v>1376</v>
      </c>
      <c r="L24" s="9">
        <f>_xlfn.XLOOKUP(Table1[[#This Row],[orderID]],Table3[orderID],Table3[discount])</f>
        <v>0</v>
      </c>
      <c r="M24" s="2">
        <f>SUM(Table1[[#This Row],[Sales]],Table1[[#This Row],[freight]])</f>
        <v>1512.54</v>
      </c>
      <c r="N24" s="3">
        <f>_xlfn.XLOOKUP(Table1[[#This Row],[orderID]],Table3[orderID],Table3[quantity])</f>
        <v>30</v>
      </c>
      <c r="O24" s="6" t="str">
        <f>_xlfn.XLOOKUP(Table1[[#This Row],[CustomerID]],customers!A:A,customers!B:B)</f>
        <v>Wartian Herkku</v>
      </c>
      <c r="P24" s="6" t="str">
        <f>_xlfn.XLOOKUP(Table1[[#This Row],[shipperID]],Table6[shipperID],Table6[companyName])</f>
        <v>Speedy Express</v>
      </c>
      <c r="Q24">
        <f>YEAR(Table1[[#This Row],[OrderDate]])</f>
        <v>2013</v>
      </c>
      <c r="R24">
        <f>MONTH(Table1[[#This Row],[OrderDate]])</f>
        <v>8</v>
      </c>
      <c r="S24" t="str">
        <f>"Q"&amp;ROUNDUP(Table1[[#This Row],[month]]/3,0)</f>
        <v>Q3</v>
      </c>
      <c r="T24" t="str">
        <f>CONCATENATE(Table1[[#This Row],[year]],"-",Table1[[#This Row],[Quarter]])</f>
        <v>2013-Q3</v>
      </c>
      <c r="U24" s="6" t="str">
        <f>IF(H23="","Pending",IF(Table1[[#This Row],[Days to ship]]&lt;Table1[[#This Row],[RequiredDate]],"On Time","Late"))</f>
        <v>On Time</v>
      </c>
      <c r="V24">
        <f>_xlfn.XLOOKUP(Table1[[#This Row],[orderID]],Table3[orderID],Table3[unitPrice])</f>
        <v>15.2</v>
      </c>
    </row>
    <row r="25" spans="1:22" x14ac:dyDescent="0.45">
      <c r="A25" s="3">
        <v>10271</v>
      </c>
      <c r="B25" s="6" t="s">
        <v>211</v>
      </c>
      <c r="C25" s="3">
        <v>6</v>
      </c>
      <c r="D25" s="6" t="str">
        <f>_xlfn.XLOOKUP(Table1[[#This Row],[EmployeeID]],Table4[employeeID],Table4[employeeName])</f>
        <v>Michael Suyama</v>
      </c>
      <c r="E25" s="1">
        <v>41487</v>
      </c>
      <c r="F25" s="1">
        <v>41515</v>
      </c>
      <c r="G25" s="1">
        <v>41516</v>
      </c>
      <c r="H25" s="3">
        <f>IF(Table1[[#This Row],[ShippedDate]]="","",IF(Table1[[#This Row],[OrderDate]]="","",Table1[[#This Row],[ShippedDate]]-Table1[[#This Row],[OrderDate]]))</f>
        <v>29</v>
      </c>
      <c r="I25" s="3">
        <v>2</v>
      </c>
      <c r="J25" s="2">
        <v>4.54</v>
      </c>
      <c r="K25" s="2">
        <f>SUMIF(order_details!A:A,Table1[[#This Row],[orderID]],order_details!F:F)</f>
        <v>48</v>
      </c>
      <c r="L25" s="9">
        <f>_xlfn.XLOOKUP(Table1[[#This Row],[orderID]],Table3[orderID],Table3[discount])</f>
        <v>0</v>
      </c>
      <c r="M25" s="2">
        <f>SUM(Table1[[#This Row],[Sales]],Table1[[#This Row],[freight]])</f>
        <v>52.54</v>
      </c>
      <c r="N25" s="3">
        <f>_xlfn.XLOOKUP(Table1[[#This Row],[orderID]],Table3[orderID],Table3[quantity])</f>
        <v>24</v>
      </c>
      <c r="O25" s="6" t="str">
        <f>_xlfn.XLOOKUP(Table1[[#This Row],[CustomerID]],customers!A:A,customers!B:B)</f>
        <v>Split Rail Beer &amp; Ale</v>
      </c>
      <c r="P25" s="6" t="str">
        <f>_xlfn.XLOOKUP(Table1[[#This Row],[shipperID]],Table6[shipperID],Table6[companyName])</f>
        <v>United Package</v>
      </c>
      <c r="Q25">
        <f>YEAR(Table1[[#This Row],[OrderDate]])</f>
        <v>2013</v>
      </c>
      <c r="R25">
        <f>MONTH(Table1[[#This Row],[OrderDate]])</f>
        <v>8</v>
      </c>
      <c r="S25" t="str">
        <f>"Q"&amp;ROUNDUP(Table1[[#This Row],[month]]/3,0)</f>
        <v>Q3</v>
      </c>
      <c r="T25" t="str">
        <f>CONCATENATE(Table1[[#This Row],[year]],"-",Table1[[#This Row],[Quarter]])</f>
        <v>2013-Q3</v>
      </c>
      <c r="U25" s="6" t="str">
        <f>IF(H24="","Pending",IF(Table1[[#This Row],[Days to ship]]&lt;Table1[[#This Row],[RequiredDate]],"On Time","Late"))</f>
        <v>On Time</v>
      </c>
      <c r="V25">
        <f>_xlfn.XLOOKUP(Table1[[#This Row],[orderID]],Table3[orderID],Table3[unitPrice])</f>
        <v>2</v>
      </c>
    </row>
    <row r="26" spans="1:22" x14ac:dyDescent="0.45">
      <c r="A26" s="3">
        <v>10272</v>
      </c>
      <c r="B26" s="6" t="s">
        <v>153</v>
      </c>
      <c r="C26" s="3">
        <v>6</v>
      </c>
      <c r="D26" s="6" t="str">
        <f>_xlfn.XLOOKUP(Table1[[#This Row],[EmployeeID]],Table4[employeeID],Table4[employeeName])</f>
        <v>Michael Suyama</v>
      </c>
      <c r="E26" s="1">
        <v>41488</v>
      </c>
      <c r="F26" s="1">
        <v>41516</v>
      </c>
      <c r="G26" s="1">
        <v>41492</v>
      </c>
      <c r="H26" s="3">
        <f>IF(Table1[[#This Row],[ShippedDate]]="","",IF(Table1[[#This Row],[OrderDate]]="","",Table1[[#This Row],[ShippedDate]]-Table1[[#This Row],[OrderDate]]))</f>
        <v>4</v>
      </c>
      <c r="I26" s="3">
        <v>2</v>
      </c>
      <c r="J26" s="2">
        <v>98.03</v>
      </c>
      <c r="K26" s="2">
        <f>SUMIF(order_details!A:A,Table1[[#This Row],[orderID]],order_details!F:F)</f>
        <v>1456</v>
      </c>
      <c r="L26" s="9">
        <f>_xlfn.XLOOKUP(Table1[[#This Row],[orderID]],Table3[orderID],Table3[discount])</f>
        <v>0</v>
      </c>
      <c r="M26" s="2">
        <f>SUM(Table1[[#This Row],[Sales]],Table1[[#This Row],[freight]])</f>
        <v>1554.03</v>
      </c>
      <c r="N26" s="3">
        <f>_xlfn.XLOOKUP(Table1[[#This Row],[orderID]],Table3[orderID],Table3[quantity])</f>
        <v>6</v>
      </c>
      <c r="O26" s="6" t="str">
        <f>_xlfn.XLOOKUP(Table1[[#This Row],[CustomerID]],customers!A:A,customers!B:B)</f>
        <v>Rattlesnake Canyon Grocery</v>
      </c>
      <c r="P26" s="6" t="str">
        <f>_xlfn.XLOOKUP(Table1[[#This Row],[shipperID]],Table6[shipperID],Table6[companyName])</f>
        <v>United Package</v>
      </c>
      <c r="Q26">
        <f>YEAR(Table1[[#This Row],[OrderDate]])</f>
        <v>2013</v>
      </c>
      <c r="R26">
        <f>MONTH(Table1[[#This Row],[OrderDate]])</f>
        <v>8</v>
      </c>
      <c r="S26" t="str">
        <f>"Q"&amp;ROUNDUP(Table1[[#This Row],[month]]/3,0)</f>
        <v>Q3</v>
      </c>
      <c r="T26" t="str">
        <f>CONCATENATE(Table1[[#This Row],[year]],"-",Table1[[#This Row],[Quarter]])</f>
        <v>2013-Q3</v>
      </c>
      <c r="U26" s="6" t="str">
        <f>IF(H25="","Pending",IF(Table1[[#This Row],[Days to ship]]&lt;Table1[[#This Row],[RequiredDate]],"On Time","Late"))</f>
        <v>On Time</v>
      </c>
      <c r="V26">
        <f>_xlfn.XLOOKUP(Table1[[#This Row],[orderID]],Table3[orderID],Table3[unitPrice])</f>
        <v>64.8</v>
      </c>
    </row>
    <row r="27" spans="1:22" x14ac:dyDescent="0.45">
      <c r="A27" s="3">
        <v>10273</v>
      </c>
      <c r="B27" s="6" t="s">
        <v>194</v>
      </c>
      <c r="C27" s="3">
        <v>3</v>
      </c>
      <c r="D27" s="6" t="str">
        <f>_xlfn.XLOOKUP(Table1[[#This Row],[EmployeeID]],Table4[employeeID],Table4[employeeName])</f>
        <v>Janet Leverling</v>
      </c>
      <c r="E27" s="1">
        <v>41491</v>
      </c>
      <c r="F27" s="1">
        <v>41519</v>
      </c>
      <c r="G27" s="1">
        <v>41498</v>
      </c>
      <c r="H27" s="3">
        <f>IF(Table1[[#This Row],[ShippedDate]]="","",IF(Table1[[#This Row],[OrderDate]]="","",Table1[[#This Row],[ShippedDate]]-Table1[[#This Row],[OrderDate]]))</f>
        <v>7</v>
      </c>
      <c r="I27" s="3">
        <v>3</v>
      </c>
      <c r="J27" s="2">
        <v>76.069999999999993</v>
      </c>
      <c r="K27" s="2">
        <f>SUMIF(order_details!A:A,Table1[[#This Row],[orderID]],order_details!F:F)</f>
        <v>2037.2800000000002</v>
      </c>
      <c r="L27" s="9">
        <f>_xlfn.XLOOKUP(Table1[[#This Row],[orderID]],Table3[orderID],Table3[discount])</f>
        <v>0.05</v>
      </c>
      <c r="M27" s="2">
        <f>SUM(Table1[[#This Row],[Sales]],Table1[[#This Row],[freight]])</f>
        <v>2113.3500000000004</v>
      </c>
      <c r="N27" s="3">
        <f>_xlfn.XLOOKUP(Table1[[#This Row],[orderID]],Table3[orderID],Table3[quantity])</f>
        <v>24</v>
      </c>
      <c r="O27" s="6" t="str">
        <f>_xlfn.XLOOKUP(Table1[[#This Row],[CustomerID]],customers!A:A,customers!B:B)</f>
        <v>QUICK-Stop</v>
      </c>
      <c r="P27" s="6" t="str">
        <f>_xlfn.XLOOKUP(Table1[[#This Row],[shipperID]],Table6[shipperID],Table6[companyName])</f>
        <v>Federal Shipping</v>
      </c>
      <c r="Q27">
        <f>YEAR(Table1[[#This Row],[OrderDate]])</f>
        <v>2013</v>
      </c>
      <c r="R27">
        <f>MONTH(Table1[[#This Row],[OrderDate]])</f>
        <v>8</v>
      </c>
      <c r="S27" t="str">
        <f>"Q"&amp;ROUNDUP(Table1[[#This Row],[month]]/3,0)</f>
        <v>Q3</v>
      </c>
      <c r="T27" t="str">
        <f>CONCATENATE(Table1[[#This Row],[year]],"-",Table1[[#This Row],[Quarter]])</f>
        <v>2013-Q3</v>
      </c>
      <c r="U27" s="6" t="str">
        <f>IF(H26="","Pending",IF(Table1[[#This Row],[Days to ship]]&lt;Table1[[#This Row],[RequiredDate]],"On Time","Late"))</f>
        <v>On Time</v>
      </c>
      <c r="V27">
        <f>_xlfn.XLOOKUP(Table1[[#This Row],[orderID]],Table3[orderID],Table3[unitPrice])</f>
        <v>24.8</v>
      </c>
    </row>
    <row r="28" spans="1:22" x14ac:dyDescent="0.45">
      <c r="A28" s="3">
        <v>10274</v>
      </c>
      <c r="B28" s="6" t="s">
        <v>236</v>
      </c>
      <c r="C28" s="3">
        <v>6</v>
      </c>
      <c r="D28" s="6" t="str">
        <f>_xlfn.XLOOKUP(Table1[[#This Row],[EmployeeID]],Table4[employeeID],Table4[employeeName])</f>
        <v>Michael Suyama</v>
      </c>
      <c r="E28" s="1">
        <v>41492</v>
      </c>
      <c r="F28" s="1">
        <v>41520</v>
      </c>
      <c r="G28" s="1">
        <v>41502</v>
      </c>
      <c r="H28" s="3">
        <f>IF(Table1[[#This Row],[ShippedDate]]="","",IF(Table1[[#This Row],[OrderDate]]="","",Table1[[#This Row],[ShippedDate]]-Table1[[#This Row],[OrderDate]]))</f>
        <v>10</v>
      </c>
      <c r="I28" s="3">
        <v>1</v>
      </c>
      <c r="J28" s="2">
        <v>6.01</v>
      </c>
      <c r="K28" s="2">
        <f>SUMIF(order_details!A:A,Table1[[#This Row],[orderID]],order_details!F:F)</f>
        <v>538.6</v>
      </c>
      <c r="L28" s="9">
        <f>_xlfn.XLOOKUP(Table1[[#This Row],[orderID]],Table3[orderID],Table3[discount])</f>
        <v>0</v>
      </c>
      <c r="M28" s="2">
        <f>SUM(Table1[[#This Row],[Sales]],Table1[[#This Row],[freight]])</f>
        <v>544.61</v>
      </c>
      <c r="N28" s="3">
        <f>_xlfn.XLOOKUP(Table1[[#This Row],[orderID]],Table3[orderID],Table3[quantity])</f>
        <v>20</v>
      </c>
      <c r="O28" s="6" t="str">
        <f>_xlfn.XLOOKUP(Table1[[#This Row],[CustomerID]],customers!A:A,customers!B:B)</f>
        <v>Vins et alcools Chevalier</v>
      </c>
      <c r="P28" s="6" t="str">
        <f>_xlfn.XLOOKUP(Table1[[#This Row],[shipperID]],Table6[shipperID],Table6[companyName])</f>
        <v>Speedy Express</v>
      </c>
      <c r="Q28">
        <f>YEAR(Table1[[#This Row],[OrderDate]])</f>
        <v>2013</v>
      </c>
      <c r="R28">
        <f>MONTH(Table1[[#This Row],[OrderDate]])</f>
        <v>8</v>
      </c>
      <c r="S28" t="str">
        <f>"Q"&amp;ROUNDUP(Table1[[#This Row],[month]]/3,0)</f>
        <v>Q3</v>
      </c>
      <c r="T28" t="str">
        <f>CONCATENATE(Table1[[#This Row],[year]],"-",Table1[[#This Row],[Quarter]])</f>
        <v>2013-Q3</v>
      </c>
      <c r="U28" s="6" t="str">
        <f>IF(H27="","Pending",IF(Table1[[#This Row],[Days to ship]]&lt;Table1[[#This Row],[RequiredDate]],"On Time","Late"))</f>
        <v>On Time</v>
      </c>
      <c r="V28">
        <f>_xlfn.XLOOKUP(Table1[[#This Row],[orderID]],Table3[orderID],Table3[unitPrice])</f>
        <v>17.2</v>
      </c>
    </row>
    <row r="29" spans="1:22" x14ac:dyDescent="0.45">
      <c r="A29" s="3">
        <v>10275</v>
      </c>
      <c r="B29" s="6" t="s">
        <v>217</v>
      </c>
      <c r="C29" s="3">
        <v>1</v>
      </c>
      <c r="D29" s="6" t="str">
        <f>_xlfn.XLOOKUP(Table1[[#This Row],[EmployeeID]],Table4[employeeID],Table4[employeeName])</f>
        <v>Nancy Davolio</v>
      </c>
      <c r="E29" s="1">
        <v>41493</v>
      </c>
      <c r="F29" s="1">
        <v>41521</v>
      </c>
      <c r="G29" s="1">
        <v>41495</v>
      </c>
      <c r="H29" s="3">
        <f>IF(Table1[[#This Row],[ShippedDate]]="","",IF(Table1[[#This Row],[OrderDate]]="","",Table1[[#This Row],[ShippedDate]]-Table1[[#This Row],[OrderDate]]))</f>
        <v>2</v>
      </c>
      <c r="I29" s="3">
        <v>1</v>
      </c>
      <c r="J29" s="2">
        <v>26.93</v>
      </c>
      <c r="K29" s="2">
        <f>SUMIF(order_details!A:A,Table1[[#This Row],[orderID]],order_details!F:F)</f>
        <v>291.83999999999997</v>
      </c>
      <c r="L29" s="9">
        <f>_xlfn.XLOOKUP(Table1[[#This Row],[orderID]],Table3[orderID],Table3[discount])</f>
        <v>0.05</v>
      </c>
      <c r="M29" s="2">
        <f>SUM(Table1[[#This Row],[Sales]],Table1[[#This Row],[freight]])</f>
        <v>318.77</v>
      </c>
      <c r="N29" s="3">
        <f>_xlfn.XLOOKUP(Table1[[#This Row],[orderID]],Table3[orderID],Table3[quantity])</f>
        <v>12</v>
      </c>
      <c r="O29" s="6" t="str">
        <f>_xlfn.XLOOKUP(Table1[[#This Row],[CustomerID]],customers!A:A,customers!B:B)</f>
        <v>Magazzini Alimentari Riuniti</v>
      </c>
      <c r="P29" s="6" t="str">
        <f>_xlfn.XLOOKUP(Table1[[#This Row],[shipperID]],Table6[shipperID],Table6[companyName])</f>
        <v>Speedy Express</v>
      </c>
      <c r="Q29">
        <f>YEAR(Table1[[#This Row],[OrderDate]])</f>
        <v>2013</v>
      </c>
      <c r="R29">
        <f>MONTH(Table1[[#This Row],[OrderDate]])</f>
        <v>8</v>
      </c>
      <c r="S29" t="str">
        <f>"Q"&amp;ROUNDUP(Table1[[#This Row],[month]]/3,0)</f>
        <v>Q3</v>
      </c>
      <c r="T29" t="str">
        <f>CONCATENATE(Table1[[#This Row],[year]],"-",Table1[[#This Row],[Quarter]])</f>
        <v>2013-Q3</v>
      </c>
      <c r="U29" s="6" t="str">
        <f>IF(H28="","Pending",IF(Table1[[#This Row],[Days to ship]]&lt;Table1[[#This Row],[RequiredDate]],"On Time","Late"))</f>
        <v>On Time</v>
      </c>
      <c r="V29">
        <f>_xlfn.XLOOKUP(Table1[[#This Row],[orderID]],Table3[orderID],Table3[unitPrice])</f>
        <v>3.6</v>
      </c>
    </row>
    <row r="30" spans="1:22" x14ac:dyDescent="0.45">
      <c r="A30" s="3">
        <v>10276</v>
      </c>
      <c r="B30" s="6" t="s">
        <v>161</v>
      </c>
      <c r="C30" s="3">
        <v>8</v>
      </c>
      <c r="D30" s="6" t="str">
        <f>_xlfn.XLOOKUP(Table1[[#This Row],[EmployeeID]],Table4[employeeID],Table4[employeeName])</f>
        <v>Laura Callahan</v>
      </c>
      <c r="E30" s="1">
        <v>41494</v>
      </c>
      <c r="F30" s="1">
        <v>41508</v>
      </c>
      <c r="G30" s="1">
        <v>41500</v>
      </c>
      <c r="H30" s="3">
        <f>IF(Table1[[#This Row],[ShippedDate]]="","",IF(Table1[[#This Row],[OrderDate]]="","",Table1[[#This Row],[ShippedDate]]-Table1[[#This Row],[OrderDate]]))</f>
        <v>6</v>
      </c>
      <c r="I30" s="3">
        <v>3</v>
      </c>
      <c r="J30" s="2">
        <v>13.84</v>
      </c>
      <c r="K30" s="2">
        <f>SUMIF(order_details!A:A,Table1[[#This Row],[orderID]],order_details!F:F)</f>
        <v>420</v>
      </c>
      <c r="L30" s="9">
        <f>_xlfn.XLOOKUP(Table1[[#This Row],[orderID]],Table3[orderID],Table3[discount])</f>
        <v>0</v>
      </c>
      <c r="M30" s="2">
        <f>SUM(Table1[[#This Row],[Sales]],Table1[[#This Row],[freight]])</f>
        <v>433.84</v>
      </c>
      <c r="N30" s="3">
        <f>_xlfn.XLOOKUP(Table1[[#This Row],[orderID]],Table3[orderID],Table3[quantity])</f>
        <v>15</v>
      </c>
      <c r="O30" s="6" t="str">
        <f>_xlfn.XLOOKUP(Table1[[#This Row],[CustomerID]],customers!A:A,customers!B:B)</f>
        <v>Tortuga Restaurante</v>
      </c>
      <c r="P30" s="6" t="str">
        <f>_xlfn.XLOOKUP(Table1[[#This Row],[shipperID]],Table6[shipperID],Table6[companyName])</f>
        <v>Federal Shipping</v>
      </c>
      <c r="Q30">
        <f>YEAR(Table1[[#This Row],[OrderDate]])</f>
        <v>2013</v>
      </c>
      <c r="R30">
        <f>MONTH(Table1[[#This Row],[OrderDate]])</f>
        <v>8</v>
      </c>
      <c r="S30" t="str">
        <f>"Q"&amp;ROUNDUP(Table1[[#This Row],[month]]/3,0)</f>
        <v>Q3</v>
      </c>
      <c r="T30" t="str">
        <f>CONCATENATE(Table1[[#This Row],[year]],"-",Table1[[#This Row],[Quarter]])</f>
        <v>2013-Q3</v>
      </c>
      <c r="U30" s="6" t="str">
        <f>IF(H29="","Pending",IF(Table1[[#This Row],[Days to ship]]&lt;Table1[[#This Row],[RequiredDate]],"On Time","Late"))</f>
        <v>On Time</v>
      </c>
      <c r="V30">
        <f>_xlfn.XLOOKUP(Table1[[#This Row],[orderID]],Table3[orderID],Table3[unitPrice])</f>
        <v>24.8</v>
      </c>
    </row>
    <row r="31" spans="1:22" x14ac:dyDescent="0.45">
      <c r="A31" s="3">
        <v>10277</v>
      </c>
      <c r="B31" s="6" t="s">
        <v>218</v>
      </c>
      <c r="C31" s="3">
        <v>2</v>
      </c>
      <c r="D31" s="6" t="str">
        <f>_xlfn.XLOOKUP(Table1[[#This Row],[EmployeeID]],Table4[employeeID],Table4[employeeName])</f>
        <v>Andrew Fuller</v>
      </c>
      <c r="E31" s="1">
        <v>41495</v>
      </c>
      <c r="F31" s="1">
        <v>41523</v>
      </c>
      <c r="G31" s="1">
        <v>41499</v>
      </c>
      <c r="H31" s="3">
        <f>IF(Table1[[#This Row],[ShippedDate]]="","",IF(Table1[[#This Row],[OrderDate]]="","",Table1[[#This Row],[ShippedDate]]-Table1[[#This Row],[OrderDate]]))</f>
        <v>4</v>
      </c>
      <c r="I31" s="3">
        <v>3</v>
      </c>
      <c r="J31" s="2">
        <v>125.77</v>
      </c>
      <c r="K31" s="2">
        <f>SUMIF(order_details!A:A,Table1[[#This Row],[orderID]],order_details!F:F)</f>
        <v>1200.8</v>
      </c>
      <c r="L31" s="9">
        <f>_xlfn.XLOOKUP(Table1[[#This Row],[orderID]],Table3[orderID],Table3[discount])</f>
        <v>0</v>
      </c>
      <c r="M31" s="2">
        <f>SUM(Table1[[#This Row],[Sales]],Table1[[#This Row],[freight]])</f>
        <v>1326.57</v>
      </c>
      <c r="N31" s="3">
        <f>_xlfn.XLOOKUP(Table1[[#This Row],[orderID]],Table3[orderID],Table3[quantity])</f>
        <v>20</v>
      </c>
      <c r="O31" s="6" t="str">
        <f>_xlfn.XLOOKUP(Table1[[#This Row],[CustomerID]],customers!A:A,customers!B:B)</f>
        <v>Morgenstern Gesundkost</v>
      </c>
      <c r="P31" s="6" t="str">
        <f>_xlfn.XLOOKUP(Table1[[#This Row],[shipperID]],Table6[shipperID],Table6[companyName])</f>
        <v>Federal Shipping</v>
      </c>
      <c r="Q31">
        <f>YEAR(Table1[[#This Row],[OrderDate]])</f>
        <v>2013</v>
      </c>
      <c r="R31">
        <f>MONTH(Table1[[#This Row],[OrderDate]])</f>
        <v>8</v>
      </c>
      <c r="S31" t="str">
        <f>"Q"&amp;ROUNDUP(Table1[[#This Row],[month]]/3,0)</f>
        <v>Q3</v>
      </c>
      <c r="T31" t="str">
        <f>CONCATENATE(Table1[[#This Row],[year]],"-",Table1[[#This Row],[Quarter]])</f>
        <v>2013-Q3</v>
      </c>
      <c r="U31" s="6" t="str">
        <f>IF(H30="","Pending",IF(Table1[[#This Row],[Days to ship]]&lt;Table1[[#This Row],[RequiredDate]],"On Time","Late"))</f>
        <v>On Time</v>
      </c>
      <c r="V31">
        <f>_xlfn.XLOOKUP(Table1[[#This Row],[orderID]],Table3[orderID],Table3[unitPrice])</f>
        <v>36.4</v>
      </c>
    </row>
    <row r="32" spans="1:22" x14ac:dyDescent="0.45">
      <c r="A32" s="3">
        <v>10278</v>
      </c>
      <c r="B32" s="6" t="s">
        <v>223</v>
      </c>
      <c r="C32" s="3">
        <v>8</v>
      </c>
      <c r="D32" s="6" t="str">
        <f>_xlfn.XLOOKUP(Table1[[#This Row],[EmployeeID]],Table4[employeeID],Table4[employeeName])</f>
        <v>Laura Callahan</v>
      </c>
      <c r="E32" s="1">
        <v>41498</v>
      </c>
      <c r="F32" s="1">
        <v>41526</v>
      </c>
      <c r="G32" s="1">
        <v>41502</v>
      </c>
      <c r="H32" s="3">
        <f>IF(Table1[[#This Row],[ShippedDate]]="","",IF(Table1[[#This Row],[OrderDate]]="","",Table1[[#This Row],[ShippedDate]]-Table1[[#This Row],[OrderDate]]))</f>
        <v>4</v>
      </c>
      <c r="I32" s="3">
        <v>2</v>
      </c>
      <c r="J32" s="2">
        <v>92.69</v>
      </c>
      <c r="K32" s="2">
        <f>SUMIF(order_details!A:A,Table1[[#This Row],[orderID]],order_details!F:F)</f>
        <v>1488.8</v>
      </c>
      <c r="L32" s="9">
        <f>_xlfn.XLOOKUP(Table1[[#This Row],[orderID]],Table3[orderID],Table3[discount])</f>
        <v>0</v>
      </c>
      <c r="M32" s="2">
        <f>SUM(Table1[[#This Row],[Sales]],Table1[[#This Row],[freight]])</f>
        <v>1581.49</v>
      </c>
      <c r="N32" s="3">
        <f>_xlfn.XLOOKUP(Table1[[#This Row],[orderID]],Table3[orderID],Table3[quantity])</f>
        <v>16</v>
      </c>
      <c r="O32" s="6" t="str">
        <f>_xlfn.XLOOKUP(Table1[[#This Row],[CustomerID]],customers!A:A,customers!B:B)</f>
        <v>Berglunds snabbköp</v>
      </c>
      <c r="P32" s="6" t="str">
        <f>_xlfn.XLOOKUP(Table1[[#This Row],[shipperID]],Table6[shipperID],Table6[companyName])</f>
        <v>United Package</v>
      </c>
      <c r="Q32">
        <f>YEAR(Table1[[#This Row],[OrderDate]])</f>
        <v>2013</v>
      </c>
      <c r="R32">
        <f>MONTH(Table1[[#This Row],[OrderDate]])</f>
        <v>8</v>
      </c>
      <c r="S32" t="str">
        <f>"Q"&amp;ROUNDUP(Table1[[#This Row],[month]]/3,0)</f>
        <v>Q3</v>
      </c>
      <c r="T32" t="str">
        <f>CONCATENATE(Table1[[#This Row],[year]],"-",Table1[[#This Row],[Quarter]])</f>
        <v>2013-Q3</v>
      </c>
      <c r="U32" s="6" t="str">
        <f>IF(H31="","Pending",IF(Table1[[#This Row],[Days to ship]]&lt;Table1[[#This Row],[RequiredDate]],"On Time","Late"))</f>
        <v>On Time</v>
      </c>
      <c r="V32">
        <f>_xlfn.XLOOKUP(Table1[[#This Row],[orderID]],Table3[orderID],Table3[unitPrice])</f>
        <v>15.5</v>
      </c>
    </row>
    <row r="33" spans="1:22" x14ac:dyDescent="0.45">
      <c r="A33" s="3">
        <v>10279</v>
      </c>
      <c r="B33" s="6" t="s">
        <v>160</v>
      </c>
      <c r="C33" s="3">
        <v>8</v>
      </c>
      <c r="D33" s="6" t="str">
        <f>_xlfn.XLOOKUP(Table1[[#This Row],[EmployeeID]],Table4[employeeID],Table4[employeeName])</f>
        <v>Laura Callahan</v>
      </c>
      <c r="E33" s="1">
        <v>41499</v>
      </c>
      <c r="F33" s="1">
        <v>41527</v>
      </c>
      <c r="G33" s="1">
        <v>41502</v>
      </c>
      <c r="H33" s="3">
        <f>IF(Table1[[#This Row],[ShippedDate]]="","",IF(Table1[[#This Row],[OrderDate]]="","",Table1[[#This Row],[ShippedDate]]-Table1[[#This Row],[OrderDate]]))</f>
        <v>3</v>
      </c>
      <c r="I33" s="3">
        <v>2</v>
      </c>
      <c r="J33" s="2">
        <v>25.83</v>
      </c>
      <c r="K33" s="2">
        <f>SUMIF(order_details!A:A,Table1[[#This Row],[orderID]],order_details!F:F)</f>
        <v>351</v>
      </c>
      <c r="L33" s="9">
        <f>_xlfn.XLOOKUP(Table1[[#This Row],[orderID]],Table3[orderID],Table3[discount])</f>
        <v>0.25</v>
      </c>
      <c r="M33" s="2">
        <f>SUM(Table1[[#This Row],[Sales]],Table1[[#This Row],[freight]])</f>
        <v>376.83</v>
      </c>
      <c r="N33" s="3">
        <f>_xlfn.XLOOKUP(Table1[[#This Row],[orderID]],Table3[orderID],Table3[quantity])</f>
        <v>15</v>
      </c>
      <c r="O33" s="6" t="str">
        <f>_xlfn.XLOOKUP(Table1[[#This Row],[CustomerID]],customers!A:A,customers!B:B)</f>
        <v>Lehmanns Marktstand</v>
      </c>
      <c r="P33" s="6" t="str">
        <f>_xlfn.XLOOKUP(Table1[[#This Row],[shipperID]],Table6[shipperID],Table6[companyName])</f>
        <v>United Package</v>
      </c>
      <c r="Q33">
        <f>YEAR(Table1[[#This Row],[OrderDate]])</f>
        <v>2013</v>
      </c>
      <c r="R33">
        <f>MONTH(Table1[[#This Row],[OrderDate]])</f>
        <v>8</v>
      </c>
      <c r="S33" t="str">
        <f>"Q"&amp;ROUNDUP(Table1[[#This Row],[month]]/3,0)</f>
        <v>Q3</v>
      </c>
      <c r="T33" t="str">
        <f>CONCATENATE(Table1[[#This Row],[year]],"-",Table1[[#This Row],[Quarter]])</f>
        <v>2013-Q3</v>
      </c>
      <c r="U33" s="6" t="str">
        <f>IF(H32="","Pending",IF(Table1[[#This Row],[Days to ship]]&lt;Table1[[#This Row],[RequiredDate]],"On Time","Late"))</f>
        <v>On Time</v>
      </c>
      <c r="V33">
        <f>_xlfn.XLOOKUP(Table1[[#This Row],[orderID]],Table3[orderID],Table3[unitPrice])</f>
        <v>31.2</v>
      </c>
    </row>
    <row r="34" spans="1:22" x14ac:dyDescent="0.45">
      <c r="A34" s="3">
        <v>10280</v>
      </c>
      <c r="B34" s="6" t="s">
        <v>223</v>
      </c>
      <c r="C34" s="3">
        <v>2</v>
      </c>
      <c r="D34" s="6" t="str">
        <f>_xlfn.XLOOKUP(Table1[[#This Row],[EmployeeID]],Table4[employeeID],Table4[employeeName])</f>
        <v>Andrew Fuller</v>
      </c>
      <c r="E34" s="1">
        <v>41500</v>
      </c>
      <c r="F34" s="1">
        <v>41528</v>
      </c>
      <c r="G34" s="1">
        <v>41529</v>
      </c>
      <c r="H34" s="3">
        <f>IF(Table1[[#This Row],[ShippedDate]]="","",IF(Table1[[#This Row],[OrderDate]]="","",Table1[[#This Row],[ShippedDate]]-Table1[[#This Row],[OrderDate]]))</f>
        <v>29</v>
      </c>
      <c r="I34" s="3">
        <v>1</v>
      </c>
      <c r="J34" s="2">
        <v>8.98</v>
      </c>
      <c r="K34" s="2">
        <f>SUMIF(order_details!A:A,Table1[[#This Row],[orderID]],order_details!F:F)</f>
        <v>613.20000000000005</v>
      </c>
      <c r="L34" s="9">
        <f>_xlfn.XLOOKUP(Table1[[#This Row],[orderID]],Table3[orderID],Table3[discount])</f>
        <v>0</v>
      </c>
      <c r="M34" s="2">
        <f>SUM(Table1[[#This Row],[Sales]],Table1[[#This Row],[freight]])</f>
        <v>622.18000000000006</v>
      </c>
      <c r="N34" s="3">
        <f>_xlfn.XLOOKUP(Table1[[#This Row],[orderID]],Table3[orderID],Table3[quantity])</f>
        <v>12</v>
      </c>
      <c r="O34" s="6" t="str">
        <f>_xlfn.XLOOKUP(Table1[[#This Row],[CustomerID]],customers!A:A,customers!B:B)</f>
        <v>Berglunds snabbköp</v>
      </c>
      <c r="P34" s="6" t="str">
        <f>_xlfn.XLOOKUP(Table1[[#This Row],[shipperID]],Table6[shipperID],Table6[companyName])</f>
        <v>Speedy Express</v>
      </c>
      <c r="Q34">
        <f>YEAR(Table1[[#This Row],[OrderDate]])</f>
        <v>2013</v>
      </c>
      <c r="R34">
        <f>MONTH(Table1[[#This Row],[OrderDate]])</f>
        <v>8</v>
      </c>
      <c r="S34" t="str">
        <f>"Q"&amp;ROUNDUP(Table1[[#This Row],[month]]/3,0)</f>
        <v>Q3</v>
      </c>
      <c r="T34" t="str">
        <f>CONCATENATE(Table1[[#This Row],[year]],"-",Table1[[#This Row],[Quarter]])</f>
        <v>2013-Q3</v>
      </c>
      <c r="U34" s="6" t="str">
        <f>IF(H33="","Pending",IF(Table1[[#This Row],[Days to ship]]&lt;Table1[[#This Row],[RequiredDate]],"On Time","Late"))</f>
        <v>On Time</v>
      </c>
      <c r="V34">
        <f>_xlfn.XLOOKUP(Table1[[#This Row],[orderID]],Table3[orderID],Table3[unitPrice])</f>
        <v>3.6</v>
      </c>
    </row>
    <row r="35" spans="1:22" x14ac:dyDescent="0.45">
      <c r="A35" s="3">
        <v>10281</v>
      </c>
      <c r="B35" s="6" t="s">
        <v>200</v>
      </c>
      <c r="C35" s="3">
        <v>4</v>
      </c>
      <c r="D35" s="6" t="str">
        <f>_xlfn.XLOOKUP(Table1[[#This Row],[EmployeeID]],Table4[employeeID],Table4[employeeName])</f>
        <v>Margaret Peacock</v>
      </c>
      <c r="E35" s="1">
        <v>41500</v>
      </c>
      <c r="F35" s="1">
        <v>41514</v>
      </c>
      <c r="G35" s="1">
        <v>41507</v>
      </c>
      <c r="H35" s="3">
        <f>IF(Table1[[#This Row],[ShippedDate]]="","",IF(Table1[[#This Row],[OrderDate]]="","",Table1[[#This Row],[ShippedDate]]-Table1[[#This Row],[OrderDate]]))</f>
        <v>7</v>
      </c>
      <c r="I35" s="3">
        <v>1</v>
      </c>
      <c r="J35" s="2">
        <v>2.94</v>
      </c>
      <c r="K35" s="2">
        <f>SUMIF(order_details!A:A,Table1[[#This Row],[orderID]],order_details!F:F)</f>
        <v>86.5</v>
      </c>
      <c r="L35" s="9">
        <f>_xlfn.XLOOKUP(Table1[[#This Row],[orderID]],Table3[orderID],Table3[discount])</f>
        <v>0</v>
      </c>
      <c r="M35" s="2">
        <f>SUM(Table1[[#This Row],[Sales]],Table1[[#This Row],[freight]])</f>
        <v>89.44</v>
      </c>
      <c r="N35" s="3">
        <f>_xlfn.XLOOKUP(Table1[[#This Row],[orderID]],Table3[orderID],Table3[quantity])</f>
        <v>1</v>
      </c>
      <c r="O35" s="6" t="str">
        <f>_xlfn.XLOOKUP(Table1[[#This Row],[CustomerID]],customers!A:A,customers!B:B)</f>
        <v>Romero y tomillo</v>
      </c>
      <c r="P35" s="6" t="str">
        <f>_xlfn.XLOOKUP(Table1[[#This Row],[shipperID]],Table6[shipperID],Table6[companyName])</f>
        <v>Speedy Express</v>
      </c>
      <c r="Q35">
        <f>YEAR(Table1[[#This Row],[OrderDate]])</f>
        <v>2013</v>
      </c>
      <c r="R35">
        <f>MONTH(Table1[[#This Row],[OrderDate]])</f>
        <v>8</v>
      </c>
      <c r="S35" t="str">
        <f>"Q"&amp;ROUNDUP(Table1[[#This Row],[month]]/3,0)</f>
        <v>Q3</v>
      </c>
      <c r="T35" t="str">
        <f>CONCATENATE(Table1[[#This Row],[year]],"-",Table1[[#This Row],[Quarter]])</f>
        <v>2013-Q3</v>
      </c>
      <c r="U35" s="6" t="str">
        <f>IF(H34="","Pending",IF(Table1[[#This Row],[Days to ship]]&lt;Table1[[#This Row],[RequiredDate]],"On Time","Late"))</f>
        <v>On Time</v>
      </c>
      <c r="V35">
        <f>_xlfn.XLOOKUP(Table1[[#This Row],[orderID]],Table3[orderID],Table3[unitPrice])</f>
        <v>7.3</v>
      </c>
    </row>
    <row r="36" spans="1:22" x14ac:dyDescent="0.45">
      <c r="A36" s="3">
        <v>10282</v>
      </c>
      <c r="B36" s="6" t="s">
        <v>200</v>
      </c>
      <c r="C36" s="3">
        <v>4</v>
      </c>
      <c r="D36" s="6" t="str">
        <f>_xlfn.XLOOKUP(Table1[[#This Row],[EmployeeID]],Table4[employeeID],Table4[employeeName])</f>
        <v>Margaret Peacock</v>
      </c>
      <c r="E36" s="1">
        <v>41501</v>
      </c>
      <c r="F36" s="1">
        <v>41529</v>
      </c>
      <c r="G36" s="1">
        <v>41507</v>
      </c>
      <c r="H36" s="3">
        <f>IF(Table1[[#This Row],[ShippedDate]]="","",IF(Table1[[#This Row],[OrderDate]]="","",Table1[[#This Row],[ShippedDate]]-Table1[[#This Row],[OrderDate]]))</f>
        <v>6</v>
      </c>
      <c r="I36" s="3">
        <v>1</v>
      </c>
      <c r="J36" s="2">
        <v>12.69</v>
      </c>
      <c r="K36" s="2">
        <f>SUMIF(order_details!A:A,Table1[[#This Row],[orderID]],order_details!F:F)</f>
        <v>155.39999999999998</v>
      </c>
      <c r="L36" s="9">
        <f>_xlfn.XLOOKUP(Table1[[#This Row],[orderID]],Table3[orderID],Table3[discount])</f>
        <v>0</v>
      </c>
      <c r="M36" s="2">
        <f>SUM(Table1[[#This Row],[Sales]],Table1[[#This Row],[freight]])</f>
        <v>168.08999999999997</v>
      </c>
      <c r="N36" s="3">
        <f>_xlfn.XLOOKUP(Table1[[#This Row],[orderID]],Table3[orderID],Table3[quantity])</f>
        <v>6</v>
      </c>
      <c r="O36" s="6" t="str">
        <f>_xlfn.XLOOKUP(Table1[[#This Row],[CustomerID]],customers!A:A,customers!B:B)</f>
        <v>Romero y tomillo</v>
      </c>
      <c r="P36" s="6" t="str">
        <f>_xlfn.XLOOKUP(Table1[[#This Row],[shipperID]],Table6[shipperID],Table6[companyName])</f>
        <v>Speedy Express</v>
      </c>
      <c r="Q36">
        <f>YEAR(Table1[[#This Row],[OrderDate]])</f>
        <v>2013</v>
      </c>
      <c r="R36">
        <f>MONTH(Table1[[#This Row],[OrderDate]])</f>
        <v>8</v>
      </c>
      <c r="S36" t="str">
        <f>"Q"&amp;ROUNDUP(Table1[[#This Row],[month]]/3,0)</f>
        <v>Q3</v>
      </c>
      <c r="T36" t="str">
        <f>CONCATENATE(Table1[[#This Row],[year]],"-",Table1[[#This Row],[Quarter]])</f>
        <v>2013-Q3</v>
      </c>
      <c r="U36" s="6" t="str">
        <f>IF(H35="","Pending",IF(Table1[[#This Row],[Days to ship]]&lt;Table1[[#This Row],[RequiredDate]],"On Time","Late"))</f>
        <v>On Time</v>
      </c>
      <c r="V36">
        <f>_xlfn.XLOOKUP(Table1[[#This Row],[orderID]],Table3[orderID],Table3[unitPrice])</f>
        <v>20.7</v>
      </c>
    </row>
    <row r="37" spans="1:22" x14ac:dyDescent="0.45">
      <c r="A37" s="3">
        <v>10283</v>
      </c>
      <c r="B37" s="6" t="s">
        <v>159</v>
      </c>
      <c r="C37" s="3">
        <v>3</v>
      </c>
      <c r="D37" s="6" t="str">
        <f>_xlfn.XLOOKUP(Table1[[#This Row],[EmployeeID]],Table4[employeeID],Table4[employeeName])</f>
        <v>Janet Leverling</v>
      </c>
      <c r="E37" s="1">
        <v>41502</v>
      </c>
      <c r="F37" s="1">
        <v>41530</v>
      </c>
      <c r="G37" s="1">
        <v>41509</v>
      </c>
      <c r="H37" s="3">
        <f>IF(Table1[[#This Row],[ShippedDate]]="","",IF(Table1[[#This Row],[OrderDate]]="","",Table1[[#This Row],[ShippedDate]]-Table1[[#This Row],[OrderDate]]))</f>
        <v>7</v>
      </c>
      <c r="I37" s="3">
        <v>3</v>
      </c>
      <c r="J37" s="2">
        <v>84.81</v>
      </c>
      <c r="K37" s="2">
        <f>SUMIF(order_details!A:A,Table1[[#This Row],[orderID]],order_details!F:F)</f>
        <v>1414.8000000000002</v>
      </c>
      <c r="L37" s="9">
        <f>_xlfn.XLOOKUP(Table1[[#This Row],[orderID]],Table3[orderID],Table3[discount])</f>
        <v>0</v>
      </c>
      <c r="M37" s="2">
        <f>SUM(Table1[[#This Row],[Sales]],Table1[[#This Row],[freight]])</f>
        <v>1499.6100000000001</v>
      </c>
      <c r="N37" s="3">
        <f>_xlfn.XLOOKUP(Table1[[#This Row],[orderID]],Table3[orderID],Table3[quantity])</f>
        <v>20</v>
      </c>
      <c r="O37" s="6" t="str">
        <f>_xlfn.XLOOKUP(Table1[[#This Row],[CustomerID]],customers!A:A,customers!B:B)</f>
        <v>LILA-Supermercado</v>
      </c>
      <c r="P37" s="6" t="str">
        <f>_xlfn.XLOOKUP(Table1[[#This Row],[shipperID]],Table6[shipperID],Table6[companyName])</f>
        <v>Federal Shipping</v>
      </c>
      <c r="Q37">
        <f>YEAR(Table1[[#This Row],[OrderDate]])</f>
        <v>2013</v>
      </c>
      <c r="R37">
        <f>MONTH(Table1[[#This Row],[OrderDate]])</f>
        <v>8</v>
      </c>
      <c r="S37" t="str">
        <f>"Q"&amp;ROUNDUP(Table1[[#This Row],[month]]/3,0)</f>
        <v>Q3</v>
      </c>
      <c r="T37" t="str">
        <f>CONCATENATE(Table1[[#This Row],[year]],"-",Table1[[#This Row],[Quarter]])</f>
        <v>2013-Q3</v>
      </c>
      <c r="U37" s="6" t="str">
        <f>IF(H36="","Pending",IF(Table1[[#This Row],[Days to ship]]&lt;Table1[[#This Row],[RequiredDate]],"On Time","Late"))</f>
        <v>On Time</v>
      </c>
      <c r="V37">
        <f>_xlfn.XLOOKUP(Table1[[#This Row],[orderID]],Table3[orderID],Table3[unitPrice])</f>
        <v>12.4</v>
      </c>
    </row>
    <row r="38" spans="1:22" x14ac:dyDescent="0.45">
      <c r="A38" s="3">
        <v>10284</v>
      </c>
      <c r="B38" s="6" t="s">
        <v>160</v>
      </c>
      <c r="C38" s="3">
        <v>4</v>
      </c>
      <c r="D38" s="6" t="str">
        <f>_xlfn.XLOOKUP(Table1[[#This Row],[EmployeeID]],Table4[employeeID],Table4[employeeName])</f>
        <v>Margaret Peacock</v>
      </c>
      <c r="E38" s="1">
        <v>41505</v>
      </c>
      <c r="F38" s="1">
        <v>41533</v>
      </c>
      <c r="G38" s="1">
        <v>41513</v>
      </c>
      <c r="H38" s="3">
        <f>IF(Table1[[#This Row],[ShippedDate]]="","",IF(Table1[[#This Row],[OrderDate]]="","",Table1[[#This Row],[ShippedDate]]-Table1[[#This Row],[OrderDate]]))</f>
        <v>8</v>
      </c>
      <c r="I38" s="3">
        <v>1</v>
      </c>
      <c r="J38" s="2">
        <v>76.56</v>
      </c>
      <c r="K38" s="2">
        <f>SUMIF(order_details!A:A,Table1[[#This Row],[orderID]],order_details!F:F)</f>
        <v>1170.375</v>
      </c>
      <c r="L38" s="9">
        <f>_xlfn.XLOOKUP(Table1[[#This Row],[orderID]],Table3[orderID],Table3[discount])</f>
        <v>0.25</v>
      </c>
      <c r="M38" s="2">
        <f>SUM(Table1[[#This Row],[Sales]],Table1[[#This Row],[freight]])</f>
        <v>1246.9349999999999</v>
      </c>
      <c r="N38" s="3">
        <f>_xlfn.XLOOKUP(Table1[[#This Row],[orderID]],Table3[orderID],Table3[quantity])</f>
        <v>15</v>
      </c>
      <c r="O38" s="6" t="str">
        <f>_xlfn.XLOOKUP(Table1[[#This Row],[CustomerID]],customers!A:A,customers!B:B)</f>
        <v>Lehmanns Marktstand</v>
      </c>
      <c r="P38" s="6" t="str">
        <f>_xlfn.XLOOKUP(Table1[[#This Row],[shipperID]],Table6[shipperID],Table6[companyName])</f>
        <v>Speedy Express</v>
      </c>
      <c r="Q38">
        <f>YEAR(Table1[[#This Row],[OrderDate]])</f>
        <v>2013</v>
      </c>
      <c r="R38">
        <f>MONTH(Table1[[#This Row],[OrderDate]])</f>
        <v>8</v>
      </c>
      <c r="S38" t="str">
        <f>"Q"&amp;ROUNDUP(Table1[[#This Row],[month]]/3,0)</f>
        <v>Q3</v>
      </c>
      <c r="T38" t="str">
        <f>CONCATENATE(Table1[[#This Row],[year]],"-",Table1[[#This Row],[Quarter]])</f>
        <v>2013-Q3</v>
      </c>
      <c r="U38" s="6" t="str">
        <f>IF(H37="","Pending",IF(Table1[[#This Row],[Days to ship]]&lt;Table1[[#This Row],[RequiredDate]],"On Time","Late"))</f>
        <v>On Time</v>
      </c>
      <c r="V38">
        <f>_xlfn.XLOOKUP(Table1[[#This Row],[orderID]],Table3[orderID],Table3[unitPrice])</f>
        <v>35.1</v>
      </c>
    </row>
    <row r="39" spans="1:22" x14ac:dyDescent="0.45">
      <c r="A39" s="3">
        <v>10285</v>
      </c>
      <c r="B39" s="6" t="s">
        <v>194</v>
      </c>
      <c r="C39" s="3">
        <v>1</v>
      </c>
      <c r="D39" s="6" t="str">
        <f>_xlfn.XLOOKUP(Table1[[#This Row],[EmployeeID]],Table4[employeeID],Table4[employeeName])</f>
        <v>Nancy Davolio</v>
      </c>
      <c r="E39" s="1">
        <v>41506</v>
      </c>
      <c r="F39" s="1">
        <v>41534</v>
      </c>
      <c r="G39" s="1">
        <v>41512</v>
      </c>
      <c r="H39" s="3">
        <f>IF(Table1[[#This Row],[ShippedDate]]="","",IF(Table1[[#This Row],[OrderDate]]="","",Table1[[#This Row],[ShippedDate]]-Table1[[#This Row],[OrderDate]]))</f>
        <v>6</v>
      </c>
      <c r="I39" s="3">
        <v>2</v>
      </c>
      <c r="J39" s="2">
        <v>76.83</v>
      </c>
      <c r="K39" s="2">
        <f>SUMIF(order_details!A:A,Table1[[#This Row],[orderID]],order_details!F:F)</f>
        <v>1743.36</v>
      </c>
      <c r="L39" s="9">
        <f>_xlfn.XLOOKUP(Table1[[#This Row],[orderID]],Table3[orderID],Table3[discount])</f>
        <v>0.2</v>
      </c>
      <c r="M39" s="2">
        <f>SUM(Table1[[#This Row],[Sales]],Table1[[#This Row],[freight]])</f>
        <v>1820.1899999999998</v>
      </c>
      <c r="N39" s="3">
        <f>_xlfn.XLOOKUP(Table1[[#This Row],[orderID]],Table3[orderID],Table3[quantity])</f>
        <v>45</v>
      </c>
      <c r="O39" s="6" t="str">
        <f>_xlfn.XLOOKUP(Table1[[#This Row],[CustomerID]],customers!A:A,customers!B:B)</f>
        <v>QUICK-Stop</v>
      </c>
      <c r="P39" s="6" t="str">
        <f>_xlfn.XLOOKUP(Table1[[#This Row],[shipperID]],Table6[shipperID],Table6[companyName])</f>
        <v>United Package</v>
      </c>
      <c r="Q39">
        <f>YEAR(Table1[[#This Row],[OrderDate]])</f>
        <v>2013</v>
      </c>
      <c r="R39">
        <f>MONTH(Table1[[#This Row],[OrderDate]])</f>
        <v>8</v>
      </c>
      <c r="S39" t="str">
        <f>"Q"&amp;ROUNDUP(Table1[[#This Row],[month]]/3,0)</f>
        <v>Q3</v>
      </c>
      <c r="T39" t="str">
        <f>CONCATENATE(Table1[[#This Row],[year]],"-",Table1[[#This Row],[Quarter]])</f>
        <v>2013-Q3</v>
      </c>
      <c r="U39" s="6" t="str">
        <f>IF(H38="","Pending",IF(Table1[[#This Row],[Days to ship]]&lt;Table1[[#This Row],[RequiredDate]],"On Time","Late"))</f>
        <v>On Time</v>
      </c>
      <c r="V39">
        <f>_xlfn.XLOOKUP(Table1[[#This Row],[orderID]],Table3[orderID],Table3[unitPrice])</f>
        <v>14.4</v>
      </c>
    </row>
    <row r="40" spans="1:22" x14ac:dyDescent="0.45">
      <c r="A40" s="3">
        <v>10286</v>
      </c>
      <c r="B40" s="6" t="s">
        <v>194</v>
      </c>
      <c r="C40" s="3">
        <v>8</v>
      </c>
      <c r="D40" s="6" t="str">
        <f>_xlfn.XLOOKUP(Table1[[#This Row],[EmployeeID]],Table4[employeeID],Table4[employeeName])</f>
        <v>Laura Callahan</v>
      </c>
      <c r="E40" s="1">
        <v>41507</v>
      </c>
      <c r="F40" s="1">
        <v>41535</v>
      </c>
      <c r="G40" s="1">
        <v>41516</v>
      </c>
      <c r="H40" s="3">
        <f>IF(Table1[[#This Row],[ShippedDate]]="","",IF(Table1[[#This Row],[OrderDate]]="","",Table1[[#This Row],[ShippedDate]]-Table1[[#This Row],[OrderDate]]))</f>
        <v>9</v>
      </c>
      <c r="I40" s="3">
        <v>3</v>
      </c>
      <c r="J40" s="2">
        <v>229.24</v>
      </c>
      <c r="K40" s="2">
        <f>SUMIF(order_details!A:A,Table1[[#This Row],[orderID]],order_details!F:F)</f>
        <v>3016</v>
      </c>
      <c r="L40" s="9">
        <f>_xlfn.XLOOKUP(Table1[[#This Row],[orderID]],Table3[orderID],Table3[discount])</f>
        <v>0</v>
      </c>
      <c r="M40" s="2">
        <f>SUM(Table1[[#This Row],[Sales]],Table1[[#This Row],[freight]])</f>
        <v>3245.24</v>
      </c>
      <c r="N40" s="3">
        <f>_xlfn.XLOOKUP(Table1[[#This Row],[orderID]],Table3[orderID],Table3[quantity])</f>
        <v>100</v>
      </c>
      <c r="O40" s="6" t="str">
        <f>_xlfn.XLOOKUP(Table1[[#This Row],[CustomerID]],customers!A:A,customers!B:B)</f>
        <v>QUICK-Stop</v>
      </c>
      <c r="P40" s="6" t="str">
        <f>_xlfn.XLOOKUP(Table1[[#This Row],[shipperID]],Table6[shipperID],Table6[companyName])</f>
        <v>Federal Shipping</v>
      </c>
      <c r="Q40">
        <f>YEAR(Table1[[#This Row],[OrderDate]])</f>
        <v>2013</v>
      </c>
      <c r="R40">
        <f>MONTH(Table1[[#This Row],[OrderDate]])</f>
        <v>8</v>
      </c>
      <c r="S40" t="str">
        <f>"Q"&amp;ROUNDUP(Table1[[#This Row],[month]]/3,0)</f>
        <v>Q3</v>
      </c>
      <c r="T40" t="str">
        <f>CONCATENATE(Table1[[#This Row],[year]],"-",Table1[[#This Row],[Quarter]])</f>
        <v>2013-Q3</v>
      </c>
      <c r="U40" s="6" t="str">
        <f>IF(H39="","Pending",IF(Table1[[#This Row],[Days to ship]]&lt;Table1[[#This Row],[RequiredDate]],"On Time","Late"))</f>
        <v>On Time</v>
      </c>
      <c r="V40">
        <f>_xlfn.XLOOKUP(Table1[[#This Row],[orderID]],Table3[orderID],Table3[unitPrice])</f>
        <v>14.4</v>
      </c>
    </row>
    <row r="41" spans="1:22" x14ac:dyDescent="0.45">
      <c r="A41" s="3">
        <v>10287</v>
      </c>
      <c r="B41" s="6" t="s">
        <v>170</v>
      </c>
      <c r="C41" s="3">
        <v>8</v>
      </c>
      <c r="D41" s="6" t="str">
        <f>_xlfn.XLOOKUP(Table1[[#This Row],[EmployeeID]],Table4[employeeID],Table4[employeeName])</f>
        <v>Laura Callahan</v>
      </c>
      <c r="E41" s="1">
        <v>41508</v>
      </c>
      <c r="F41" s="1">
        <v>41536</v>
      </c>
      <c r="G41" s="1">
        <v>41514</v>
      </c>
      <c r="H41" s="3">
        <f>IF(Table1[[#This Row],[ShippedDate]]="","",IF(Table1[[#This Row],[OrderDate]]="","",Table1[[#This Row],[ShippedDate]]-Table1[[#This Row],[OrderDate]]))</f>
        <v>6</v>
      </c>
      <c r="I41" s="3">
        <v>3</v>
      </c>
      <c r="J41" s="2">
        <v>12.76</v>
      </c>
      <c r="K41" s="2">
        <f>SUMIF(order_details!A:A,Table1[[#This Row],[orderID]],order_details!F:F)</f>
        <v>818.99999999999989</v>
      </c>
      <c r="L41" s="9">
        <f>_xlfn.XLOOKUP(Table1[[#This Row],[orderID]],Table3[orderID],Table3[discount])</f>
        <v>0.15</v>
      </c>
      <c r="M41" s="2">
        <f>SUM(Table1[[#This Row],[Sales]],Table1[[#This Row],[freight]])</f>
        <v>831.75999999999988</v>
      </c>
      <c r="N41" s="3">
        <f>_xlfn.XLOOKUP(Table1[[#This Row],[orderID]],Table3[orderID],Table3[quantity])</f>
        <v>40</v>
      </c>
      <c r="O41" s="6" t="str">
        <f>_xlfn.XLOOKUP(Table1[[#This Row],[CustomerID]],customers!A:A,customers!B:B)</f>
        <v>Ricardo Adocicados</v>
      </c>
      <c r="P41" s="6" t="str">
        <f>_xlfn.XLOOKUP(Table1[[#This Row],[shipperID]],Table6[shipperID],Table6[companyName])</f>
        <v>Federal Shipping</v>
      </c>
      <c r="Q41">
        <f>YEAR(Table1[[#This Row],[OrderDate]])</f>
        <v>2013</v>
      </c>
      <c r="R41">
        <f>MONTH(Table1[[#This Row],[OrderDate]])</f>
        <v>8</v>
      </c>
      <c r="S41" t="str">
        <f>"Q"&amp;ROUNDUP(Table1[[#This Row],[month]]/3,0)</f>
        <v>Q3</v>
      </c>
      <c r="T41" t="str">
        <f>CONCATENATE(Table1[[#This Row],[year]],"-",Table1[[#This Row],[Quarter]])</f>
        <v>2013-Q3</v>
      </c>
      <c r="U41" s="6" t="str">
        <f>IF(H40="","Pending",IF(Table1[[#This Row],[Days to ship]]&lt;Table1[[#This Row],[RequiredDate]],"On Time","Late"))</f>
        <v>On Time</v>
      </c>
      <c r="V41">
        <f>_xlfn.XLOOKUP(Table1[[#This Row],[orderID]],Table3[orderID],Table3[unitPrice])</f>
        <v>13.9</v>
      </c>
    </row>
    <row r="42" spans="1:22" x14ac:dyDescent="0.45">
      <c r="A42" s="3">
        <v>10288</v>
      </c>
      <c r="B42" s="6" t="s">
        <v>167</v>
      </c>
      <c r="C42" s="3">
        <v>4</v>
      </c>
      <c r="D42" s="6" t="str">
        <f>_xlfn.XLOOKUP(Table1[[#This Row],[EmployeeID]],Table4[employeeID],Table4[employeeName])</f>
        <v>Margaret Peacock</v>
      </c>
      <c r="E42" s="1">
        <v>41509</v>
      </c>
      <c r="F42" s="1">
        <v>41537</v>
      </c>
      <c r="G42" s="1">
        <v>41520</v>
      </c>
      <c r="H42" s="3">
        <f>IF(Table1[[#This Row],[ShippedDate]]="","",IF(Table1[[#This Row],[OrderDate]]="","",Table1[[#This Row],[ShippedDate]]-Table1[[#This Row],[OrderDate]]))</f>
        <v>11</v>
      </c>
      <c r="I42" s="3">
        <v>1</v>
      </c>
      <c r="J42" s="2">
        <v>7.45</v>
      </c>
      <c r="K42" s="2">
        <f>SUMIF(order_details!A:A,Table1[[#This Row],[orderID]],order_details!F:F)</f>
        <v>80.099999999999994</v>
      </c>
      <c r="L42" s="9">
        <f>_xlfn.XLOOKUP(Table1[[#This Row],[orderID]],Table3[orderID],Table3[discount])</f>
        <v>0.1</v>
      </c>
      <c r="M42" s="2">
        <f>SUM(Table1[[#This Row],[Sales]],Table1[[#This Row],[freight]])</f>
        <v>87.55</v>
      </c>
      <c r="N42" s="3">
        <f>_xlfn.XLOOKUP(Table1[[#This Row],[orderID]],Table3[orderID],Table3[quantity])</f>
        <v>10</v>
      </c>
      <c r="O42" s="6" t="str">
        <f>_xlfn.XLOOKUP(Table1[[#This Row],[CustomerID]],customers!A:A,customers!B:B)</f>
        <v>Reggiani Caseifici</v>
      </c>
      <c r="P42" s="6" t="str">
        <f>_xlfn.XLOOKUP(Table1[[#This Row],[shipperID]],Table6[shipperID],Table6[companyName])</f>
        <v>Speedy Express</v>
      </c>
      <c r="Q42">
        <f>YEAR(Table1[[#This Row],[OrderDate]])</f>
        <v>2013</v>
      </c>
      <c r="R42">
        <f>MONTH(Table1[[#This Row],[OrderDate]])</f>
        <v>8</v>
      </c>
      <c r="S42" t="str">
        <f>"Q"&amp;ROUNDUP(Table1[[#This Row],[month]]/3,0)</f>
        <v>Q3</v>
      </c>
      <c r="T42" t="str">
        <f>CONCATENATE(Table1[[#This Row],[year]],"-",Table1[[#This Row],[Quarter]])</f>
        <v>2013-Q3</v>
      </c>
      <c r="U42" s="6" t="str">
        <f>IF(H41="","Pending",IF(Table1[[#This Row],[Days to ship]]&lt;Table1[[#This Row],[RequiredDate]],"On Time","Late"))</f>
        <v>On Time</v>
      </c>
      <c r="V42">
        <f>_xlfn.XLOOKUP(Table1[[#This Row],[orderID]],Table3[orderID],Table3[unitPrice])</f>
        <v>5.9</v>
      </c>
    </row>
    <row r="43" spans="1:22" x14ac:dyDescent="0.45">
      <c r="A43" s="3">
        <v>10289</v>
      </c>
      <c r="B43" s="6" t="s">
        <v>193</v>
      </c>
      <c r="C43" s="3">
        <v>7</v>
      </c>
      <c r="D43" s="6" t="str">
        <f>_xlfn.XLOOKUP(Table1[[#This Row],[EmployeeID]],Table4[employeeID],Table4[employeeName])</f>
        <v>Robert King</v>
      </c>
      <c r="E43" s="1">
        <v>41512</v>
      </c>
      <c r="F43" s="1">
        <v>41540</v>
      </c>
      <c r="G43" s="1">
        <v>41514</v>
      </c>
      <c r="H43" s="3">
        <f>IF(Table1[[#This Row],[ShippedDate]]="","",IF(Table1[[#This Row],[OrderDate]]="","",Table1[[#This Row],[ShippedDate]]-Table1[[#This Row],[OrderDate]]))</f>
        <v>2</v>
      </c>
      <c r="I43" s="3">
        <v>3</v>
      </c>
      <c r="J43" s="2">
        <v>22.77</v>
      </c>
      <c r="K43" s="2">
        <f>SUMIF(order_details!A:A,Table1[[#This Row],[orderID]],order_details!F:F)</f>
        <v>479.4</v>
      </c>
      <c r="L43" s="9">
        <f>_xlfn.XLOOKUP(Table1[[#This Row],[orderID]],Table3[orderID],Table3[discount])</f>
        <v>0</v>
      </c>
      <c r="M43" s="2">
        <f>SUM(Table1[[#This Row],[Sales]],Table1[[#This Row],[freight]])</f>
        <v>502.16999999999996</v>
      </c>
      <c r="N43" s="3">
        <f>_xlfn.XLOOKUP(Table1[[#This Row],[orderID]],Table3[orderID],Table3[quantity])</f>
        <v>30</v>
      </c>
      <c r="O43" s="6" t="str">
        <f>_xlfn.XLOOKUP(Table1[[#This Row],[CustomerID]],customers!A:A,customers!B:B)</f>
        <v>B's Beverages</v>
      </c>
      <c r="P43" s="6" t="str">
        <f>_xlfn.XLOOKUP(Table1[[#This Row],[shipperID]],Table6[shipperID],Table6[companyName])</f>
        <v>Federal Shipping</v>
      </c>
      <c r="Q43">
        <f>YEAR(Table1[[#This Row],[OrderDate]])</f>
        <v>2013</v>
      </c>
      <c r="R43">
        <f>MONTH(Table1[[#This Row],[OrderDate]])</f>
        <v>8</v>
      </c>
      <c r="S43" t="str">
        <f>"Q"&amp;ROUNDUP(Table1[[#This Row],[month]]/3,0)</f>
        <v>Q3</v>
      </c>
      <c r="T43" t="str">
        <f>CONCATENATE(Table1[[#This Row],[year]],"-",Table1[[#This Row],[Quarter]])</f>
        <v>2013-Q3</v>
      </c>
      <c r="U43" s="6" t="str">
        <f>IF(H42="","Pending",IF(Table1[[#This Row],[Days to ship]]&lt;Table1[[#This Row],[RequiredDate]],"On Time","Late"))</f>
        <v>On Time</v>
      </c>
      <c r="V43">
        <f>_xlfn.XLOOKUP(Table1[[#This Row],[orderID]],Table3[orderID],Table3[unitPrice])</f>
        <v>8</v>
      </c>
    </row>
    <row r="44" spans="1:22" x14ac:dyDescent="0.45">
      <c r="A44" s="3">
        <v>10290</v>
      </c>
      <c r="B44" s="6" t="s">
        <v>185</v>
      </c>
      <c r="C44" s="3">
        <v>8</v>
      </c>
      <c r="D44" s="6" t="str">
        <f>_xlfn.XLOOKUP(Table1[[#This Row],[EmployeeID]],Table4[employeeID],Table4[employeeName])</f>
        <v>Laura Callahan</v>
      </c>
      <c r="E44" s="1">
        <v>41513</v>
      </c>
      <c r="F44" s="1">
        <v>41541</v>
      </c>
      <c r="G44" s="1">
        <v>41520</v>
      </c>
      <c r="H44" s="3">
        <f>IF(Table1[[#This Row],[ShippedDate]]="","",IF(Table1[[#This Row],[OrderDate]]="","",Table1[[#This Row],[ShippedDate]]-Table1[[#This Row],[OrderDate]]))</f>
        <v>7</v>
      </c>
      <c r="I44" s="3">
        <v>1</v>
      </c>
      <c r="J44" s="2">
        <v>79.7</v>
      </c>
      <c r="K44" s="2">
        <f>SUMIF(order_details!A:A,Table1[[#This Row],[orderID]],order_details!F:F)</f>
        <v>2169</v>
      </c>
      <c r="L44" s="9">
        <f>_xlfn.XLOOKUP(Table1[[#This Row],[orderID]],Table3[orderID],Table3[discount])</f>
        <v>0</v>
      </c>
      <c r="M44" s="2">
        <f>SUM(Table1[[#This Row],[Sales]],Table1[[#This Row],[freight]])</f>
        <v>2248.6999999999998</v>
      </c>
      <c r="N44" s="3">
        <f>_xlfn.XLOOKUP(Table1[[#This Row],[orderID]],Table3[orderID],Table3[quantity])</f>
        <v>20</v>
      </c>
      <c r="O44" s="6" t="str">
        <f>_xlfn.XLOOKUP(Table1[[#This Row],[CustomerID]],customers!A:A,customers!B:B)</f>
        <v>Comércio Mineiro</v>
      </c>
      <c r="P44" s="6" t="str">
        <f>_xlfn.XLOOKUP(Table1[[#This Row],[shipperID]],Table6[shipperID],Table6[companyName])</f>
        <v>Speedy Express</v>
      </c>
      <c r="Q44">
        <f>YEAR(Table1[[#This Row],[OrderDate]])</f>
        <v>2013</v>
      </c>
      <c r="R44">
        <f>MONTH(Table1[[#This Row],[OrderDate]])</f>
        <v>8</v>
      </c>
      <c r="S44" t="str">
        <f>"Q"&amp;ROUNDUP(Table1[[#This Row],[month]]/3,0)</f>
        <v>Q3</v>
      </c>
      <c r="T44" t="str">
        <f>CONCATENATE(Table1[[#This Row],[year]],"-",Table1[[#This Row],[Quarter]])</f>
        <v>2013-Q3</v>
      </c>
      <c r="U44" s="6" t="str">
        <f>IF(H43="","Pending",IF(Table1[[#This Row],[Days to ship]]&lt;Table1[[#This Row],[RequiredDate]],"On Time","Late"))</f>
        <v>On Time</v>
      </c>
      <c r="V44">
        <f>_xlfn.XLOOKUP(Table1[[#This Row],[orderID]],Table3[orderID],Table3[unitPrice])</f>
        <v>17</v>
      </c>
    </row>
    <row r="45" spans="1:22" x14ac:dyDescent="0.45">
      <c r="A45" s="3">
        <v>10291</v>
      </c>
      <c r="B45" s="6" t="s">
        <v>209</v>
      </c>
      <c r="C45" s="3">
        <v>6</v>
      </c>
      <c r="D45" s="6" t="str">
        <f>_xlfn.XLOOKUP(Table1[[#This Row],[EmployeeID]],Table4[employeeID],Table4[employeeName])</f>
        <v>Michael Suyama</v>
      </c>
      <c r="E45" s="1">
        <v>41513</v>
      </c>
      <c r="F45" s="1">
        <v>41541</v>
      </c>
      <c r="G45" s="1">
        <v>41521</v>
      </c>
      <c r="H45" s="3">
        <f>IF(Table1[[#This Row],[ShippedDate]]="","",IF(Table1[[#This Row],[OrderDate]]="","",Table1[[#This Row],[ShippedDate]]-Table1[[#This Row],[OrderDate]]))</f>
        <v>8</v>
      </c>
      <c r="I45" s="3">
        <v>2</v>
      </c>
      <c r="J45" s="2">
        <v>6.4</v>
      </c>
      <c r="K45" s="2">
        <f>SUMIF(order_details!A:A,Table1[[#This Row],[orderID]],order_details!F:F)</f>
        <v>497.52000000000004</v>
      </c>
      <c r="L45" s="9">
        <f>_xlfn.XLOOKUP(Table1[[#This Row],[orderID]],Table3[orderID],Table3[discount])</f>
        <v>0.1</v>
      </c>
      <c r="M45" s="2">
        <f>SUM(Table1[[#This Row],[Sales]],Table1[[#This Row],[freight]])</f>
        <v>503.92</v>
      </c>
      <c r="N45" s="3">
        <f>_xlfn.XLOOKUP(Table1[[#This Row],[orderID]],Table3[orderID],Table3[quantity])</f>
        <v>20</v>
      </c>
      <c r="O45" s="6" t="str">
        <f>_xlfn.XLOOKUP(Table1[[#This Row],[CustomerID]],customers!A:A,customers!B:B)</f>
        <v>Que Delícia</v>
      </c>
      <c r="P45" s="6" t="str">
        <f>_xlfn.XLOOKUP(Table1[[#This Row],[shipperID]],Table6[shipperID],Table6[companyName])</f>
        <v>United Package</v>
      </c>
      <c r="Q45">
        <f>YEAR(Table1[[#This Row],[OrderDate]])</f>
        <v>2013</v>
      </c>
      <c r="R45">
        <f>MONTH(Table1[[#This Row],[OrderDate]])</f>
        <v>8</v>
      </c>
      <c r="S45" t="str">
        <f>"Q"&amp;ROUNDUP(Table1[[#This Row],[month]]/3,0)</f>
        <v>Q3</v>
      </c>
      <c r="T45" t="str">
        <f>CONCATENATE(Table1[[#This Row],[year]],"-",Table1[[#This Row],[Quarter]])</f>
        <v>2013-Q3</v>
      </c>
      <c r="U45" s="6" t="str">
        <f>IF(H44="","Pending",IF(Table1[[#This Row],[Days to ship]]&lt;Table1[[#This Row],[RequiredDate]],"On Time","Late"))</f>
        <v>On Time</v>
      </c>
      <c r="V45">
        <f>_xlfn.XLOOKUP(Table1[[#This Row],[orderID]],Table3[orderID],Table3[unitPrice])</f>
        <v>4.8</v>
      </c>
    </row>
    <row r="46" spans="1:22" x14ac:dyDescent="0.45">
      <c r="A46" s="3">
        <v>10292</v>
      </c>
      <c r="B46" s="6" t="s">
        <v>230</v>
      </c>
      <c r="C46" s="3">
        <v>1</v>
      </c>
      <c r="D46" s="6" t="str">
        <f>_xlfn.XLOOKUP(Table1[[#This Row],[EmployeeID]],Table4[employeeID],Table4[employeeName])</f>
        <v>Nancy Davolio</v>
      </c>
      <c r="E46" s="1">
        <v>41514</v>
      </c>
      <c r="F46" s="1">
        <v>41542</v>
      </c>
      <c r="G46" s="1">
        <v>41519</v>
      </c>
      <c r="H46" s="3">
        <f>IF(Table1[[#This Row],[ShippedDate]]="","",IF(Table1[[#This Row],[OrderDate]]="","",Table1[[#This Row],[ShippedDate]]-Table1[[#This Row],[OrderDate]]))</f>
        <v>5</v>
      </c>
      <c r="I46" s="3">
        <v>2</v>
      </c>
      <c r="J46" s="2">
        <v>1.35</v>
      </c>
      <c r="K46" s="2">
        <f>SUMIF(order_details!A:A,Table1[[#This Row],[orderID]],order_details!F:F)</f>
        <v>1296</v>
      </c>
      <c r="L46" s="9">
        <f>_xlfn.XLOOKUP(Table1[[#This Row],[orderID]],Table3[orderID],Table3[discount])</f>
        <v>0</v>
      </c>
      <c r="M46" s="2">
        <f>SUM(Table1[[#This Row],[Sales]],Table1[[#This Row],[freight]])</f>
        <v>1297.3499999999999</v>
      </c>
      <c r="N46" s="3">
        <f>_xlfn.XLOOKUP(Table1[[#This Row],[orderID]],Table3[orderID],Table3[quantity])</f>
        <v>20</v>
      </c>
      <c r="O46" s="6" t="str">
        <f>_xlfn.XLOOKUP(Table1[[#This Row],[CustomerID]],customers!A:A,customers!B:B)</f>
        <v>Tradição Hipermercados</v>
      </c>
      <c r="P46" s="6" t="str">
        <f>_xlfn.XLOOKUP(Table1[[#This Row],[shipperID]],Table6[shipperID],Table6[companyName])</f>
        <v>United Package</v>
      </c>
      <c r="Q46">
        <f>YEAR(Table1[[#This Row],[OrderDate]])</f>
        <v>2013</v>
      </c>
      <c r="R46">
        <f>MONTH(Table1[[#This Row],[OrderDate]])</f>
        <v>8</v>
      </c>
      <c r="S46" t="str">
        <f>"Q"&amp;ROUNDUP(Table1[[#This Row],[month]]/3,0)</f>
        <v>Q3</v>
      </c>
      <c r="T46" t="str">
        <f>CONCATENATE(Table1[[#This Row],[year]],"-",Table1[[#This Row],[Quarter]])</f>
        <v>2013-Q3</v>
      </c>
      <c r="U46" s="6" t="str">
        <f>IF(H45="","Pending",IF(Table1[[#This Row],[Days to ship]]&lt;Table1[[#This Row],[RequiredDate]],"On Time","Late"))</f>
        <v>On Time</v>
      </c>
      <c r="V46">
        <f>_xlfn.XLOOKUP(Table1[[#This Row],[orderID]],Table3[orderID],Table3[unitPrice])</f>
        <v>64.8</v>
      </c>
    </row>
    <row r="47" spans="1:22" x14ac:dyDescent="0.45">
      <c r="A47" s="3">
        <v>10293</v>
      </c>
      <c r="B47" s="6" t="s">
        <v>161</v>
      </c>
      <c r="C47" s="3">
        <v>1</v>
      </c>
      <c r="D47" s="6" t="str">
        <f>_xlfn.XLOOKUP(Table1[[#This Row],[EmployeeID]],Table4[employeeID],Table4[employeeName])</f>
        <v>Nancy Davolio</v>
      </c>
      <c r="E47" s="1">
        <v>41515</v>
      </c>
      <c r="F47" s="1">
        <v>41543</v>
      </c>
      <c r="G47" s="1">
        <v>41528</v>
      </c>
      <c r="H47" s="3">
        <f>IF(Table1[[#This Row],[ShippedDate]]="","",IF(Table1[[#This Row],[OrderDate]]="","",Table1[[#This Row],[ShippedDate]]-Table1[[#This Row],[OrderDate]]))</f>
        <v>13</v>
      </c>
      <c r="I47" s="3">
        <v>3</v>
      </c>
      <c r="J47" s="2">
        <v>21.18</v>
      </c>
      <c r="K47" s="2">
        <f>SUMIF(order_details!A:A,Table1[[#This Row],[orderID]],order_details!F:F)</f>
        <v>848.7</v>
      </c>
      <c r="L47" s="9">
        <f>_xlfn.XLOOKUP(Table1[[#This Row],[orderID]],Table3[orderID],Table3[discount])</f>
        <v>0</v>
      </c>
      <c r="M47" s="2">
        <f>SUM(Table1[[#This Row],[Sales]],Table1[[#This Row],[freight]])</f>
        <v>869.88</v>
      </c>
      <c r="N47" s="3">
        <f>_xlfn.XLOOKUP(Table1[[#This Row],[orderID]],Table3[orderID],Table3[quantity])</f>
        <v>12</v>
      </c>
      <c r="O47" s="6" t="str">
        <f>_xlfn.XLOOKUP(Table1[[#This Row],[CustomerID]],customers!A:A,customers!B:B)</f>
        <v>Tortuga Restaurante</v>
      </c>
      <c r="P47" s="6" t="str">
        <f>_xlfn.XLOOKUP(Table1[[#This Row],[shipperID]],Table6[shipperID],Table6[companyName])</f>
        <v>Federal Shipping</v>
      </c>
      <c r="Q47">
        <f>YEAR(Table1[[#This Row],[OrderDate]])</f>
        <v>2013</v>
      </c>
      <c r="R47">
        <f>MONTH(Table1[[#This Row],[OrderDate]])</f>
        <v>8</v>
      </c>
      <c r="S47" t="str">
        <f>"Q"&amp;ROUNDUP(Table1[[#This Row],[month]]/3,0)</f>
        <v>Q3</v>
      </c>
      <c r="T47" t="str">
        <f>CONCATENATE(Table1[[#This Row],[year]],"-",Table1[[#This Row],[Quarter]])</f>
        <v>2013-Q3</v>
      </c>
      <c r="U47" s="6" t="str">
        <f>IF(H46="","Pending",IF(Table1[[#This Row],[Days to ship]]&lt;Table1[[#This Row],[RequiredDate]],"On Time","Late"))</f>
        <v>On Time</v>
      </c>
      <c r="V47">
        <f>_xlfn.XLOOKUP(Table1[[#This Row],[orderID]],Table3[orderID],Table3[unitPrice])</f>
        <v>50</v>
      </c>
    </row>
    <row r="48" spans="1:22" x14ac:dyDescent="0.45">
      <c r="A48" s="3">
        <v>10294</v>
      </c>
      <c r="B48" s="6" t="s">
        <v>153</v>
      </c>
      <c r="C48" s="3">
        <v>4</v>
      </c>
      <c r="D48" s="6" t="str">
        <f>_xlfn.XLOOKUP(Table1[[#This Row],[EmployeeID]],Table4[employeeID],Table4[employeeName])</f>
        <v>Margaret Peacock</v>
      </c>
      <c r="E48" s="1">
        <v>41516</v>
      </c>
      <c r="F48" s="1">
        <v>41544</v>
      </c>
      <c r="G48" s="1">
        <v>41522</v>
      </c>
      <c r="H48" s="3">
        <f>IF(Table1[[#This Row],[ShippedDate]]="","",IF(Table1[[#This Row],[OrderDate]]="","",Table1[[#This Row],[ShippedDate]]-Table1[[#This Row],[OrderDate]]))</f>
        <v>6</v>
      </c>
      <c r="I48" s="3">
        <v>2</v>
      </c>
      <c r="J48" s="2">
        <v>147.26</v>
      </c>
      <c r="K48" s="2">
        <f>SUMIF(order_details!A:A,Table1[[#This Row],[orderID]],order_details!F:F)</f>
        <v>1887.6000000000001</v>
      </c>
      <c r="L48" s="9">
        <f>_xlfn.XLOOKUP(Table1[[#This Row],[orderID]],Table3[orderID],Table3[discount])</f>
        <v>0</v>
      </c>
      <c r="M48" s="2">
        <f>SUM(Table1[[#This Row],[Sales]],Table1[[#This Row],[freight]])</f>
        <v>2034.8600000000001</v>
      </c>
      <c r="N48" s="3">
        <f>_xlfn.XLOOKUP(Table1[[#This Row],[orderID]],Table3[orderID],Table3[quantity])</f>
        <v>18</v>
      </c>
      <c r="O48" s="6" t="str">
        <f>_xlfn.XLOOKUP(Table1[[#This Row],[CustomerID]],customers!A:A,customers!B:B)</f>
        <v>Rattlesnake Canyon Grocery</v>
      </c>
      <c r="P48" s="6" t="str">
        <f>_xlfn.XLOOKUP(Table1[[#This Row],[shipperID]],Table6[shipperID],Table6[companyName])</f>
        <v>United Package</v>
      </c>
      <c r="Q48">
        <f>YEAR(Table1[[#This Row],[OrderDate]])</f>
        <v>2013</v>
      </c>
      <c r="R48">
        <f>MONTH(Table1[[#This Row],[OrderDate]])</f>
        <v>8</v>
      </c>
      <c r="S48" t="str">
        <f>"Q"&amp;ROUNDUP(Table1[[#This Row],[month]]/3,0)</f>
        <v>Q3</v>
      </c>
      <c r="T48" t="str">
        <f>CONCATENATE(Table1[[#This Row],[year]],"-",Table1[[#This Row],[Quarter]])</f>
        <v>2013-Q3</v>
      </c>
      <c r="U48" s="6" t="str">
        <f>IF(H47="","Pending",IF(Table1[[#This Row],[Days to ship]]&lt;Table1[[#This Row],[RequiredDate]],"On Time","Late"))</f>
        <v>On Time</v>
      </c>
      <c r="V48">
        <f>_xlfn.XLOOKUP(Table1[[#This Row],[orderID]],Table3[orderID],Table3[unitPrice])</f>
        <v>14.4</v>
      </c>
    </row>
    <row r="49" spans="1:22" x14ac:dyDescent="0.45">
      <c r="A49" s="3">
        <v>10295</v>
      </c>
      <c r="B49" s="6" t="s">
        <v>236</v>
      </c>
      <c r="C49" s="3">
        <v>2</v>
      </c>
      <c r="D49" s="6" t="str">
        <f>_xlfn.XLOOKUP(Table1[[#This Row],[EmployeeID]],Table4[employeeID],Table4[employeeName])</f>
        <v>Andrew Fuller</v>
      </c>
      <c r="E49" s="1">
        <v>41519</v>
      </c>
      <c r="F49" s="1">
        <v>41547</v>
      </c>
      <c r="G49" s="1">
        <v>41527</v>
      </c>
      <c r="H49" s="3">
        <f>IF(Table1[[#This Row],[ShippedDate]]="","",IF(Table1[[#This Row],[OrderDate]]="","",Table1[[#This Row],[ShippedDate]]-Table1[[#This Row],[OrderDate]]))</f>
        <v>8</v>
      </c>
      <c r="I49" s="3">
        <v>2</v>
      </c>
      <c r="J49" s="2">
        <v>1.1499999999999999</v>
      </c>
      <c r="K49" s="2">
        <f>SUMIF(order_details!A:A,Table1[[#This Row],[orderID]],order_details!F:F)</f>
        <v>121.6</v>
      </c>
      <c r="L49" s="9">
        <f>_xlfn.XLOOKUP(Table1[[#This Row],[orderID]],Table3[orderID],Table3[discount])</f>
        <v>0</v>
      </c>
      <c r="M49" s="2">
        <f>SUM(Table1[[#This Row],[Sales]],Table1[[#This Row],[freight]])</f>
        <v>122.75</v>
      </c>
      <c r="N49" s="3">
        <f>_xlfn.XLOOKUP(Table1[[#This Row],[orderID]],Table3[orderID],Table3[quantity])</f>
        <v>4</v>
      </c>
      <c r="O49" s="6" t="str">
        <f>_xlfn.XLOOKUP(Table1[[#This Row],[CustomerID]],customers!A:A,customers!B:B)</f>
        <v>Vins et alcools Chevalier</v>
      </c>
      <c r="P49" s="6" t="str">
        <f>_xlfn.XLOOKUP(Table1[[#This Row],[shipperID]],Table6[shipperID],Table6[companyName])</f>
        <v>United Package</v>
      </c>
      <c r="Q49">
        <f>YEAR(Table1[[#This Row],[OrderDate]])</f>
        <v>2013</v>
      </c>
      <c r="R49">
        <f>MONTH(Table1[[#This Row],[OrderDate]])</f>
        <v>9</v>
      </c>
      <c r="S49" t="str">
        <f>"Q"&amp;ROUNDUP(Table1[[#This Row],[month]]/3,0)</f>
        <v>Q3</v>
      </c>
      <c r="T49" t="str">
        <f>CONCATENATE(Table1[[#This Row],[year]],"-",Table1[[#This Row],[Quarter]])</f>
        <v>2013-Q3</v>
      </c>
      <c r="U49" s="6" t="str">
        <f>IF(H48="","Pending",IF(Table1[[#This Row],[Days to ship]]&lt;Table1[[#This Row],[RequiredDate]],"On Time","Late"))</f>
        <v>On Time</v>
      </c>
      <c r="V49">
        <f>_xlfn.XLOOKUP(Table1[[#This Row],[orderID]],Table3[orderID],Table3[unitPrice])</f>
        <v>30.4</v>
      </c>
    </row>
    <row r="50" spans="1:22" x14ac:dyDescent="0.45">
      <c r="A50" s="3">
        <v>10296</v>
      </c>
      <c r="B50" s="6" t="s">
        <v>159</v>
      </c>
      <c r="C50" s="3">
        <v>6</v>
      </c>
      <c r="D50" s="6" t="str">
        <f>_xlfn.XLOOKUP(Table1[[#This Row],[EmployeeID]],Table4[employeeID],Table4[employeeName])</f>
        <v>Michael Suyama</v>
      </c>
      <c r="E50" s="1">
        <v>41520</v>
      </c>
      <c r="F50" s="1">
        <v>41548</v>
      </c>
      <c r="G50" s="1">
        <v>41528</v>
      </c>
      <c r="H50" s="3">
        <f>IF(Table1[[#This Row],[ShippedDate]]="","",IF(Table1[[#This Row],[OrderDate]]="","",Table1[[#This Row],[ShippedDate]]-Table1[[#This Row],[OrderDate]]))</f>
        <v>8</v>
      </c>
      <c r="I50" s="3">
        <v>1</v>
      </c>
      <c r="J50" s="2">
        <v>0.12</v>
      </c>
      <c r="K50" s="2">
        <f>SUMIF(order_details!A:A,Table1[[#This Row],[orderID]],order_details!F:F)</f>
        <v>1050.5999999999999</v>
      </c>
      <c r="L50" s="9">
        <f>_xlfn.XLOOKUP(Table1[[#This Row],[orderID]],Table3[orderID],Table3[discount])</f>
        <v>0</v>
      </c>
      <c r="M50" s="2">
        <f>SUM(Table1[[#This Row],[Sales]],Table1[[#This Row],[freight]])</f>
        <v>1050.7199999999998</v>
      </c>
      <c r="N50" s="3">
        <f>_xlfn.XLOOKUP(Table1[[#This Row],[orderID]],Table3[orderID],Table3[quantity])</f>
        <v>12</v>
      </c>
      <c r="O50" s="6" t="str">
        <f>_xlfn.XLOOKUP(Table1[[#This Row],[CustomerID]],customers!A:A,customers!B:B)</f>
        <v>LILA-Supermercado</v>
      </c>
      <c r="P50" s="6" t="str">
        <f>_xlfn.XLOOKUP(Table1[[#This Row],[shipperID]],Table6[shipperID],Table6[companyName])</f>
        <v>Speedy Express</v>
      </c>
      <c r="Q50">
        <f>YEAR(Table1[[#This Row],[OrderDate]])</f>
        <v>2013</v>
      </c>
      <c r="R50">
        <f>MONTH(Table1[[#This Row],[OrderDate]])</f>
        <v>9</v>
      </c>
      <c r="S50" t="str">
        <f>"Q"&amp;ROUNDUP(Table1[[#This Row],[month]]/3,0)</f>
        <v>Q3</v>
      </c>
      <c r="T50" t="str">
        <f>CONCATENATE(Table1[[#This Row],[year]],"-",Table1[[#This Row],[Quarter]])</f>
        <v>2013-Q3</v>
      </c>
      <c r="U50" s="6" t="str">
        <f>IF(H49="","Pending",IF(Table1[[#This Row],[Days to ship]]&lt;Table1[[#This Row],[RequiredDate]],"On Time","Late"))</f>
        <v>On Time</v>
      </c>
      <c r="V50">
        <f>_xlfn.XLOOKUP(Table1[[#This Row],[orderID]],Table3[orderID],Table3[unitPrice])</f>
        <v>16.8</v>
      </c>
    </row>
    <row r="51" spans="1:22" x14ac:dyDescent="0.45">
      <c r="A51" s="3">
        <v>10297</v>
      </c>
      <c r="B51" s="6" t="s">
        <v>231</v>
      </c>
      <c r="C51" s="3">
        <v>5</v>
      </c>
      <c r="D51" s="6" t="str">
        <f>_xlfn.XLOOKUP(Table1[[#This Row],[EmployeeID]],Table4[employeeID],Table4[employeeName])</f>
        <v>Steven Buchanan</v>
      </c>
      <c r="E51" s="1">
        <v>41521</v>
      </c>
      <c r="F51" s="1">
        <v>41563</v>
      </c>
      <c r="G51" s="1">
        <v>41527</v>
      </c>
      <c r="H51" s="3">
        <f>IF(Table1[[#This Row],[ShippedDate]]="","",IF(Table1[[#This Row],[OrderDate]]="","",Table1[[#This Row],[ShippedDate]]-Table1[[#This Row],[OrderDate]]))</f>
        <v>6</v>
      </c>
      <c r="I51" s="3">
        <v>2</v>
      </c>
      <c r="J51" s="2">
        <v>5.74</v>
      </c>
      <c r="K51" s="2">
        <f>SUMIF(order_details!A:A,Table1[[#This Row],[orderID]],order_details!F:F)</f>
        <v>1420</v>
      </c>
      <c r="L51" s="9">
        <f>_xlfn.XLOOKUP(Table1[[#This Row],[orderID]],Table3[orderID],Table3[discount])</f>
        <v>0</v>
      </c>
      <c r="M51" s="2">
        <f>SUM(Table1[[#This Row],[Sales]],Table1[[#This Row],[freight]])</f>
        <v>1425.74</v>
      </c>
      <c r="N51" s="3">
        <f>_xlfn.XLOOKUP(Table1[[#This Row],[orderID]],Table3[orderID],Table3[quantity])</f>
        <v>60</v>
      </c>
      <c r="O51" s="6" t="str">
        <f>_xlfn.XLOOKUP(Table1[[#This Row],[CustomerID]],customers!A:A,customers!B:B)</f>
        <v>Blondesddsl père et fils</v>
      </c>
      <c r="P51" s="6" t="str">
        <f>_xlfn.XLOOKUP(Table1[[#This Row],[shipperID]],Table6[shipperID],Table6[companyName])</f>
        <v>United Package</v>
      </c>
      <c r="Q51">
        <f>YEAR(Table1[[#This Row],[OrderDate]])</f>
        <v>2013</v>
      </c>
      <c r="R51">
        <f>MONTH(Table1[[#This Row],[OrderDate]])</f>
        <v>9</v>
      </c>
      <c r="S51" t="str">
        <f>"Q"&amp;ROUNDUP(Table1[[#This Row],[month]]/3,0)</f>
        <v>Q3</v>
      </c>
      <c r="T51" t="str">
        <f>CONCATENATE(Table1[[#This Row],[year]],"-",Table1[[#This Row],[Quarter]])</f>
        <v>2013-Q3</v>
      </c>
      <c r="U51" s="6" t="str">
        <f>IF(H50="","Pending",IF(Table1[[#This Row],[Days to ship]]&lt;Table1[[#This Row],[RequiredDate]],"On Time","Late"))</f>
        <v>On Time</v>
      </c>
      <c r="V51">
        <f>_xlfn.XLOOKUP(Table1[[#This Row],[orderID]],Table3[orderID],Table3[unitPrice])</f>
        <v>14.4</v>
      </c>
    </row>
    <row r="52" spans="1:22" x14ac:dyDescent="0.45">
      <c r="A52" s="3">
        <v>10298</v>
      </c>
      <c r="B52" s="6" t="s">
        <v>166</v>
      </c>
      <c r="C52" s="3">
        <v>6</v>
      </c>
      <c r="D52" s="6" t="str">
        <f>_xlfn.XLOOKUP(Table1[[#This Row],[EmployeeID]],Table4[employeeID],Table4[employeeName])</f>
        <v>Michael Suyama</v>
      </c>
      <c r="E52" s="1">
        <v>41522</v>
      </c>
      <c r="F52" s="1">
        <v>41550</v>
      </c>
      <c r="G52" s="1">
        <v>41528</v>
      </c>
      <c r="H52" s="3">
        <f>IF(Table1[[#This Row],[ShippedDate]]="","",IF(Table1[[#This Row],[OrderDate]]="","",Table1[[#This Row],[ShippedDate]]-Table1[[#This Row],[OrderDate]]))</f>
        <v>6</v>
      </c>
      <c r="I52" s="3">
        <v>2</v>
      </c>
      <c r="J52" s="2">
        <v>168.22</v>
      </c>
      <c r="K52" s="2">
        <f>SUMIF(order_details!A:A,Table1[[#This Row],[orderID]],order_details!F:F)</f>
        <v>2645</v>
      </c>
      <c r="L52" s="9">
        <f>_xlfn.XLOOKUP(Table1[[#This Row],[orderID]],Table3[orderID],Table3[discount])</f>
        <v>0</v>
      </c>
      <c r="M52" s="2">
        <f>SUM(Table1[[#This Row],[Sales]],Table1[[#This Row],[freight]])</f>
        <v>2813.22</v>
      </c>
      <c r="N52" s="3">
        <f>_xlfn.XLOOKUP(Table1[[#This Row],[orderID]],Table3[orderID],Table3[quantity])</f>
        <v>40</v>
      </c>
      <c r="O52" s="6" t="str">
        <f>_xlfn.XLOOKUP(Table1[[#This Row],[CustomerID]],customers!A:A,customers!B:B)</f>
        <v>Hungry Owl All-Night Grocers</v>
      </c>
      <c r="P52" s="6" t="str">
        <f>_xlfn.XLOOKUP(Table1[[#This Row],[shipperID]],Table6[shipperID],Table6[companyName])</f>
        <v>United Package</v>
      </c>
      <c r="Q52">
        <f>YEAR(Table1[[#This Row],[OrderDate]])</f>
        <v>2013</v>
      </c>
      <c r="R52">
        <f>MONTH(Table1[[#This Row],[OrderDate]])</f>
        <v>9</v>
      </c>
      <c r="S52" t="str">
        <f>"Q"&amp;ROUNDUP(Table1[[#This Row],[month]]/3,0)</f>
        <v>Q3</v>
      </c>
      <c r="T52" t="str">
        <f>CONCATENATE(Table1[[#This Row],[year]],"-",Table1[[#This Row],[Quarter]])</f>
        <v>2013-Q3</v>
      </c>
      <c r="U52" s="6" t="str">
        <f>IF(H51="","Pending",IF(Table1[[#This Row],[Days to ship]]&lt;Table1[[#This Row],[RequiredDate]],"On Time","Late"))</f>
        <v>On Time</v>
      </c>
      <c r="V52">
        <f>_xlfn.XLOOKUP(Table1[[#This Row],[orderID]],Table3[orderID],Table3[unitPrice])</f>
        <v>15.2</v>
      </c>
    </row>
    <row r="53" spans="1:22" x14ac:dyDescent="0.45">
      <c r="A53" s="3">
        <v>10299</v>
      </c>
      <c r="B53" s="6" t="s">
        <v>170</v>
      </c>
      <c r="C53" s="3">
        <v>4</v>
      </c>
      <c r="D53" s="6" t="str">
        <f>_xlfn.XLOOKUP(Table1[[#This Row],[EmployeeID]],Table4[employeeID],Table4[employeeName])</f>
        <v>Margaret Peacock</v>
      </c>
      <c r="E53" s="1">
        <v>41523</v>
      </c>
      <c r="F53" s="1">
        <v>41551</v>
      </c>
      <c r="G53" s="1">
        <v>41530</v>
      </c>
      <c r="H53" s="3">
        <f>IF(Table1[[#This Row],[ShippedDate]]="","",IF(Table1[[#This Row],[OrderDate]]="","",Table1[[#This Row],[ShippedDate]]-Table1[[#This Row],[OrderDate]]))</f>
        <v>7</v>
      </c>
      <c r="I53" s="3">
        <v>2</v>
      </c>
      <c r="J53" s="2">
        <v>29.76</v>
      </c>
      <c r="K53" s="2">
        <f>SUMIF(order_details!A:A,Table1[[#This Row],[orderID]],order_details!F:F)</f>
        <v>349.5</v>
      </c>
      <c r="L53" s="9">
        <f>_xlfn.XLOOKUP(Table1[[#This Row],[orderID]],Table3[orderID],Table3[discount])</f>
        <v>0</v>
      </c>
      <c r="M53" s="2">
        <f>SUM(Table1[[#This Row],[Sales]],Table1[[#This Row],[freight]])</f>
        <v>379.26</v>
      </c>
      <c r="N53" s="3">
        <f>_xlfn.XLOOKUP(Table1[[#This Row],[orderID]],Table3[orderID],Table3[quantity])</f>
        <v>15</v>
      </c>
      <c r="O53" s="6" t="str">
        <f>_xlfn.XLOOKUP(Table1[[#This Row],[CustomerID]],customers!A:A,customers!B:B)</f>
        <v>Ricardo Adocicados</v>
      </c>
      <c r="P53" s="6" t="str">
        <f>_xlfn.XLOOKUP(Table1[[#This Row],[shipperID]],Table6[shipperID],Table6[companyName])</f>
        <v>United Package</v>
      </c>
      <c r="Q53">
        <f>YEAR(Table1[[#This Row],[OrderDate]])</f>
        <v>2013</v>
      </c>
      <c r="R53">
        <f>MONTH(Table1[[#This Row],[OrderDate]])</f>
        <v>9</v>
      </c>
      <c r="S53" t="str">
        <f>"Q"&amp;ROUNDUP(Table1[[#This Row],[month]]/3,0)</f>
        <v>Q3</v>
      </c>
      <c r="T53" t="str">
        <f>CONCATENATE(Table1[[#This Row],[year]],"-",Table1[[#This Row],[Quarter]])</f>
        <v>2013-Q3</v>
      </c>
      <c r="U53" s="6" t="str">
        <f>IF(H52="","Pending",IF(Table1[[#This Row],[Days to ship]]&lt;Table1[[#This Row],[RequiredDate]],"On Time","Late"))</f>
        <v>On Time</v>
      </c>
      <c r="V53">
        <f>_xlfn.XLOOKUP(Table1[[#This Row],[orderID]],Table3[orderID],Table3[unitPrice])</f>
        <v>7.3</v>
      </c>
    </row>
    <row r="54" spans="1:22" x14ac:dyDescent="0.45">
      <c r="A54" s="3">
        <v>10300</v>
      </c>
      <c r="B54" s="6" t="s">
        <v>217</v>
      </c>
      <c r="C54" s="3">
        <v>2</v>
      </c>
      <c r="D54" s="6" t="str">
        <f>_xlfn.XLOOKUP(Table1[[#This Row],[EmployeeID]],Table4[employeeID],Table4[employeeName])</f>
        <v>Andrew Fuller</v>
      </c>
      <c r="E54" s="1">
        <v>41526</v>
      </c>
      <c r="F54" s="1">
        <v>41554</v>
      </c>
      <c r="G54" s="1">
        <v>41535</v>
      </c>
      <c r="H54" s="3">
        <f>IF(Table1[[#This Row],[ShippedDate]]="","",IF(Table1[[#This Row],[OrderDate]]="","",Table1[[#This Row],[ShippedDate]]-Table1[[#This Row],[OrderDate]]))</f>
        <v>9</v>
      </c>
      <c r="I54" s="3">
        <v>2</v>
      </c>
      <c r="J54" s="2">
        <v>17.68</v>
      </c>
      <c r="K54" s="2">
        <f>SUMIF(order_details!A:A,Table1[[#This Row],[orderID]],order_details!F:F)</f>
        <v>608</v>
      </c>
      <c r="L54" s="9">
        <f>_xlfn.XLOOKUP(Table1[[#This Row],[orderID]],Table3[orderID],Table3[discount])</f>
        <v>0</v>
      </c>
      <c r="M54" s="2">
        <f>SUM(Table1[[#This Row],[Sales]],Table1[[#This Row],[freight]])</f>
        <v>625.67999999999995</v>
      </c>
      <c r="N54" s="3">
        <f>_xlfn.XLOOKUP(Table1[[#This Row],[orderID]],Table3[orderID],Table3[quantity])</f>
        <v>30</v>
      </c>
      <c r="O54" s="6" t="str">
        <f>_xlfn.XLOOKUP(Table1[[#This Row],[CustomerID]],customers!A:A,customers!B:B)</f>
        <v>Magazzini Alimentari Riuniti</v>
      </c>
      <c r="P54" s="6" t="str">
        <f>_xlfn.XLOOKUP(Table1[[#This Row],[shipperID]],Table6[shipperID],Table6[companyName])</f>
        <v>United Package</v>
      </c>
      <c r="Q54">
        <f>YEAR(Table1[[#This Row],[OrderDate]])</f>
        <v>2013</v>
      </c>
      <c r="R54">
        <f>MONTH(Table1[[#This Row],[OrderDate]])</f>
        <v>9</v>
      </c>
      <c r="S54" t="str">
        <f>"Q"&amp;ROUNDUP(Table1[[#This Row],[month]]/3,0)</f>
        <v>Q3</v>
      </c>
      <c r="T54" t="str">
        <f>CONCATENATE(Table1[[#This Row],[year]],"-",Table1[[#This Row],[Quarter]])</f>
        <v>2013-Q3</v>
      </c>
      <c r="U54" s="6" t="str">
        <f>IF(H53="","Pending",IF(Table1[[#This Row],[Days to ship]]&lt;Table1[[#This Row],[RequiredDate]],"On Time","Late"))</f>
        <v>On Time</v>
      </c>
      <c r="V54">
        <f>_xlfn.XLOOKUP(Table1[[#This Row],[orderID]],Table3[orderID],Table3[unitPrice])</f>
        <v>13.6</v>
      </c>
    </row>
    <row r="55" spans="1:22" x14ac:dyDescent="0.45">
      <c r="A55" s="3">
        <v>10301</v>
      </c>
      <c r="B55" s="6" t="s">
        <v>182</v>
      </c>
      <c r="C55" s="3">
        <v>8</v>
      </c>
      <c r="D55" s="6" t="str">
        <f>_xlfn.XLOOKUP(Table1[[#This Row],[EmployeeID]],Table4[employeeID],Table4[employeeName])</f>
        <v>Laura Callahan</v>
      </c>
      <c r="E55" s="1">
        <v>41526</v>
      </c>
      <c r="F55" s="1">
        <v>41554</v>
      </c>
      <c r="G55" s="1">
        <v>41534</v>
      </c>
      <c r="H55" s="3">
        <f>IF(Table1[[#This Row],[ShippedDate]]="","",IF(Table1[[#This Row],[OrderDate]]="","",Table1[[#This Row],[ShippedDate]]-Table1[[#This Row],[OrderDate]]))</f>
        <v>8</v>
      </c>
      <c r="I55" s="3">
        <v>2</v>
      </c>
      <c r="J55" s="2">
        <v>45.08</v>
      </c>
      <c r="K55" s="2">
        <f>SUMIF(order_details!A:A,Table1[[#This Row],[orderID]],order_details!F:F)</f>
        <v>755</v>
      </c>
      <c r="L55" s="9">
        <f>_xlfn.XLOOKUP(Table1[[#This Row],[orderID]],Table3[orderID],Table3[discount])</f>
        <v>0</v>
      </c>
      <c r="M55" s="2">
        <f>SUM(Table1[[#This Row],[Sales]],Table1[[#This Row],[freight]])</f>
        <v>800.08</v>
      </c>
      <c r="N55" s="3">
        <f>_xlfn.XLOOKUP(Table1[[#This Row],[orderID]],Table3[orderID],Table3[quantity])</f>
        <v>10</v>
      </c>
      <c r="O55" s="6" t="str">
        <f>_xlfn.XLOOKUP(Table1[[#This Row],[CustomerID]],customers!A:A,customers!B:B)</f>
        <v>Die Wandernde Kuh</v>
      </c>
      <c r="P55" s="6" t="str">
        <f>_xlfn.XLOOKUP(Table1[[#This Row],[shipperID]],Table6[shipperID],Table6[companyName])</f>
        <v>United Package</v>
      </c>
      <c r="Q55">
        <f>YEAR(Table1[[#This Row],[OrderDate]])</f>
        <v>2013</v>
      </c>
      <c r="R55">
        <f>MONTH(Table1[[#This Row],[OrderDate]])</f>
        <v>9</v>
      </c>
      <c r="S55" t="str">
        <f>"Q"&amp;ROUNDUP(Table1[[#This Row],[month]]/3,0)</f>
        <v>Q3</v>
      </c>
      <c r="T55" t="str">
        <f>CONCATENATE(Table1[[#This Row],[year]],"-",Table1[[#This Row],[Quarter]])</f>
        <v>2013-Q3</v>
      </c>
      <c r="U55" s="6" t="str">
        <f>IF(H54="","Pending",IF(Table1[[#This Row],[Days to ship]]&lt;Table1[[#This Row],[RequiredDate]],"On Time","Late"))</f>
        <v>On Time</v>
      </c>
      <c r="V55">
        <f>_xlfn.XLOOKUP(Table1[[#This Row],[orderID]],Table3[orderID],Table3[unitPrice])</f>
        <v>14.7</v>
      </c>
    </row>
    <row r="56" spans="1:22" x14ac:dyDescent="0.45">
      <c r="A56" s="3">
        <v>10302</v>
      </c>
      <c r="B56" s="6" t="s">
        <v>188</v>
      </c>
      <c r="C56" s="3">
        <v>4</v>
      </c>
      <c r="D56" s="6" t="str">
        <f>_xlfn.XLOOKUP(Table1[[#This Row],[EmployeeID]],Table4[employeeID],Table4[employeeName])</f>
        <v>Margaret Peacock</v>
      </c>
      <c r="E56" s="1">
        <v>41527</v>
      </c>
      <c r="F56" s="1">
        <v>41555</v>
      </c>
      <c r="G56" s="1">
        <v>41556</v>
      </c>
      <c r="H56" s="3">
        <f>IF(Table1[[#This Row],[ShippedDate]]="","",IF(Table1[[#This Row],[OrderDate]]="","",Table1[[#This Row],[ShippedDate]]-Table1[[#This Row],[OrderDate]]))</f>
        <v>29</v>
      </c>
      <c r="I56" s="3">
        <v>2</v>
      </c>
      <c r="J56" s="2">
        <v>6.27</v>
      </c>
      <c r="K56" s="2">
        <f>SUMIF(order_details!A:A,Table1[[#This Row],[orderID]],order_details!F:F)</f>
        <v>2708.7999999999997</v>
      </c>
      <c r="L56" s="9">
        <f>_xlfn.XLOOKUP(Table1[[#This Row],[orderID]],Table3[orderID],Table3[discount])</f>
        <v>0</v>
      </c>
      <c r="M56" s="2">
        <f>SUM(Table1[[#This Row],[Sales]],Table1[[#This Row],[freight]])</f>
        <v>2715.0699999999997</v>
      </c>
      <c r="N56" s="3">
        <f>_xlfn.XLOOKUP(Table1[[#This Row],[orderID]],Table3[orderID],Table3[quantity])</f>
        <v>40</v>
      </c>
      <c r="O56" s="6" t="str">
        <f>_xlfn.XLOOKUP(Table1[[#This Row],[CustomerID]],customers!A:A,customers!B:B)</f>
        <v>Suprêmes délices</v>
      </c>
      <c r="P56" s="6" t="str">
        <f>_xlfn.XLOOKUP(Table1[[#This Row],[shipperID]],Table6[shipperID],Table6[companyName])</f>
        <v>United Package</v>
      </c>
      <c r="Q56">
        <f>YEAR(Table1[[#This Row],[OrderDate]])</f>
        <v>2013</v>
      </c>
      <c r="R56">
        <f>MONTH(Table1[[#This Row],[OrderDate]])</f>
        <v>9</v>
      </c>
      <c r="S56" t="str">
        <f>"Q"&amp;ROUNDUP(Table1[[#This Row],[month]]/3,0)</f>
        <v>Q3</v>
      </c>
      <c r="T56" t="str">
        <f>CONCATENATE(Table1[[#This Row],[year]],"-",Table1[[#This Row],[Quarter]])</f>
        <v>2013-Q3</v>
      </c>
      <c r="U56" s="6" t="str">
        <f>IF(H55="","Pending",IF(Table1[[#This Row],[Days to ship]]&lt;Table1[[#This Row],[RequiredDate]],"On Time","Late"))</f>
        <v>On Time</v>
      </c>
      <c r="V56">
        <f>_xlfn.XLOOKUP(Table1[[#This Row],[orderID]],Table3[orderID],Table3[unitPrice])</f>
        <v>31.2</v>
      </c>
    </row>
    <row r="57" spans="1:22" x14ac:dyDescent="0.45">
      <c r="A57" s="3">
        <v>10303</v>
      </c>
      <c r="B57" s="6" t="s">
        <v>189</v>
      </c>
      <c r="C57" s="3">
        <v>7</v>
      </c>
      <c r="D57" s="6" t="str">
        <f>_xlfn.XLOOKUP(Table1[[#This Row],[EmployeeID]],Table4[employeeID],Table4[employeeName])</f>
        <v>Robert King</v>
      </c>
      <c r="E57" s="1">
        <v>41528</v>
      </c>
      <c r="F57" s="1">
        <v>41556</v>
      </c>
      <c r="G57" s="1">
        <v>41535</v>
      </c>
      <c r="H57" s="3">
        <f>IF(Table1[[#This Row],[ShippedDate]]="","",IF(Table1[[#This Row],[OrderDate]]="","",Table1[[#This Row],[ShippedDate]]-Table1[[#This Row],[OrderDate]]))</f>
        <v>7</v>
      </c>
      <c r="I57" s="3">
        <v>2</v>
      </c>
      <c r="J57" s="2">
        <v>107.83</v>
      </c>
      <c r="K57" s="2">
        <f>SUMIF(order_details!A:A,Table1[[#This Row],[orderID]],order_details!F:F)</f>
        <v>1117.8000000000002</v>
      </c>
      <c r="L57" s="9">
        <f>_xlfn.XLOOKUP(Table1[[#This Row],[orderID]],Table3[orderID],Table3[discount])</f>
        <v>0.1</v>
      </c>
      <c r="M57" s="2">
        <f>SUM(Table1[[#This Row],[Sales]],Table1[[#This Row],[freight]])</f>
        <v>1225.6300000000001</v>
      </c>
      <c r="N57" s="3">
        <f>_xlfn.XLOOKUP(Table1[[#This Row],[orderID]],Table3[orderID],Table3[quantity])</f>
        <v>40</v>
      </c>
      <c r="O57" s="6" t="str">
        <f>_xlfn.XLOOKUP(Table1[[#This Row],[CustomerID]],customers!A:A,customers!B:B)</f>
        <v>Godos Cocina Típica</v>
      </c>
      <c r="P57" s="6" t="str">
        <f>_xlfn.XLOOKUP(Table1[[#This Row],[shipperID]],Table6[shipperID],Table6[companyName])</f>
        <v>United Package</v>
      </c>
      <c r="Q57">
        <f>YEAR(Table1[[#This Row],[OrderDate]])</f>
        <v>2013</v>
      </c>
      <c r="R57">
        <f>MONTH(Table1[[#This Row],[OrderDate]])</f>
        <v>9</v>
      </c>
      <c r="S57" t="str">
        <f>"Q"&amp;ROUNDUP(Table1[[#This Row],[month]]/3,0)</f>
        <v>Q3</v>
      </c>
      <c r="T57" t="str">
        <f>CONCATENATE(Table1[[#This Row],[year]],"-",Table1[[#This Row],[Quarter]])</f>
        <v>2013-Q3</v>
      </c>
      <c r="U57" s="6" t="str">
        <f>IF(H56="","Pending",IF(Table1[[#This Row],[Days to ship]]&lt;Table1[[#This Row],[RequiredDate]],"On Time","Late"))</f>
        <v>On Time</v>
      </c>
      <c r="V57">
        <f>_xlfn.XLOOKUP(Table1[[#This Row],[orderID]],Table3[orderID],Table3[unitPrice])</f>
        <v>14.7</v>
      </c>
    </row>
    <row r="58" spans="1:22" x14ac:dyDescent="0.45">
      <c r="A58" s="3">
        <v>10304</v>
      </c>
      <c r="B58" s="6" t="s">
        <v>161</v>
      </c>
      <c r="C58" s="3">
        <v>1</v>
      </c>
      <c r="D58" s="6" t="str">
        <f>_xlfn.XLOOKUP(Table1[[#This Row],[EmployeeID]],Table4[employeeID],Table4[employeeName])</f>
        <v>Nancy Davolio</v>
      </c>
      <c r="E58" s="1">
        <v>41529</v>
      </c>
      <c r="F58" s="1">
        <v>41557</v>
      </c>
      <c r="G58" s="1">
        <v>41534</v>
      </c>
      <c r="H58" s="3">
        <f>IF(Table1[[#This Row],[ShippedDate]]="","",IF(Table1[[#This Row],[OrderDate]]="","",Table1[[#This Row],[ShippedDate]]-Table1[[#This Row],[OrderDate]]))</f>
        <v>5</v>
      </c>
      <c r="I58" s="3">
        <v>2</v>
      </c>
      <c r="J58" s="2">
        <v>63.79</v>
      </c>
      <c r="K58" s="2">
        <f>SUMIF(order_details!A:A,Table1[[#This Row],[orderID]],order_details!F:F)</f>
        <v>954.4</v>
      </c>
      <c r="L58" s="9">
        <f>_xlfn.XLOOKUP(Table1[[#This Row],[orderID]],Table3[orderID],Table3[discount])</f>
        <v>0</v>
      </c>
      <c r="M58" s="2">
        <f>SUM(Table1[[#This Row],[Sales]],Table1[[#This Row],[freight]])</f>
        <v>1018.1899999999999</v>
      </c>
      <c r="N58" s="3">
        <f>_xlfn.XLOOKUP(Table1[[#This Row],[orderID]],Table3[orderID],Table3[quantity])</f>
        <v>30</v>
      </c>
      <c r="O58" s="6" t="str">
        <f>_xlfn.XLOOKUP(Table1[[#This Row],[CustomerID]],customers!A:A,customers!B:B)</f>
        <v>Tortuga Restaurante</v>
      </c>
      <c r="P58" s="6" t="str">
        <f>_xlfn.XLOOKUP(Table1[[#This Row],[shipperID]],Table6[shipperID],Table6[companyName])</f>
        <v>United Package</v>
      </c>
      <c r="Q58">
        <f>YEAR(Table1[[#This Row],[OrderDate]])</f>
        <v>2013</v>
      </c>
      <c r="R58">
        <f>MONTH(Table1[[#This Row],[OrderDate]])</f>
        <v>9</v>
      </c>
      <c r="S58" t="str">
        <f>"Q"&amp;ROUNDUP(Table1[[#This Row],[month]]/3,0)</f>
        <v>Q3</v>
      </c>
      <c r="T58" t="str">
        <f>CONCATENATE(Table1[[#This Row],[year]],"-",Table1[[#This Row],[Quarter]])</f>
        <v>2013-Q3</v>
      </c>
      <c r="U58" s="6" t="str">
        <f>IF(H57="","Pending",IF(Table1[[#This Row],[Days to ship]]&lt;Table1[[#This Row],[RequiredDate]],"On Time","Late"))</f>
        <v>On Time</v>
      </c>
      <c r="V58">
        <f>_xlfn.XLOOKUP(Table1[[#This Row],[orderID]],Table3[orderID],Table3[unitPrice])</f>
        <v>16</v>
      </c>
    </row>
    <row r="59" spans="1:22" x14ac:dyDescent="0.45">
      <c r="A59" s="3">
        <v>10305</v>
      </c>
      <c r="B59" s="6" t="s">
        <v>190</v>
      </c>
      <c r="C59" s="3">
        <v>8</v>
      </c>
      <c r="D59" s="6" t="str">
        <f>_xlfn.XLOOKUP(Table1[[#This Row],[EmployeeID]],Table4[employeeID],Table4[employeeName])</f>
        <v>Laura Callahan</v>
      </c>
      <c r="E59" s="1">
        <v>41530</v>
      </c>
      <c r="F59" s="1">
        <v>41558</v>
      </c>
      <c r="G59" s="1">
        <v>41556</v>
      </c>
      <c r="H59" s="3">
        <f>IF(Table1[[#This Row],[ShippedDate]]="","",IF(Table1[[#This Row],[OrderDate]]="","",Table1[[#This Row],[ShippedDate]]-Table1[[#This Row],[OrderDate]]))</f>
        <v>26</v>
      </c>
      <c r="I59" s="3">
        <v>3</v>
      </c>
      <c r="J59" s="2">
        <v>257.62</v>
      </c>
      <c r="K59" s="2">
        <f>SUMIF(order_details!A:A,Table1[[#This Row],[orderID]],order_details!F:F)</f>
        <v>3741.3</v>
      </c>
      <c r="L59" s="9">
        <f>_xlfn.XLOOKUP(Table1[[#This Row],[orderID]],Table3[orderID],Table3[discount])</f>
        <v>0.1</v>
      </c>
      <c r="M59" s="2">
        <f>SUM(Table1[[#This Row],[Sales]],Table1[[#This Row],[freight]])</f>
        <v>3998.92</v>
      </c>
      <c r="N59" s="3">
        <f>_xlfn.XLOOKUP(Table1[[#This Row],[orderID]],Table3[orderID],Table3[quantity])</f>
        <v>25</v>
      </c>
      <c r="O59" s="6" t="str">
        <f>_xlfn.XLOOKUP(Table1[[#This Row],[CustomerID]],customers!A:A,customers!B:B)</f>
        <v>Old World Delicatessen</v>
      </c>
      <c r="P59" s="6" t="str">
        <f>_xlfn.XLOOKUP(Table1[[#This Row],[shipperID]],Table6[shipperID],Table6[companyName])</f>
        <v>Federal Shipping</v>
      </c>
      <c r="Q59">
        <f>YEAR(Table1[[#This Row],[OrderDate]])</f>
        <v>2013</v>
      </c>
      <c r="R59">
        <f>MONTH(Table1[[#This Row],[OrderDate]])</f>
        <v>9</v>
      </c>
      <c r="S59" t="str">
        <f>"Q"&amp;ROUNDUP(Table1[[#This Row],[month]]/3,0)</f>
        <v>Q3</v>
      </c>
      <c r="T59" t="str">
        <f>CONCATENATE(Table1[[#This Row],[year]],"-",Table1[[#This Row],[Quarter]])</f>
        <v>2013-Q3</v>
      </c>
      <c r="U59" s="6" t="str">
        <f>IF(H58="","Pending",IF(Table1[[#This Row],[Days to ship]]&lt;Table1[[#This Row],[RequiredDate]],"On Time","Late"))</f>
        <v>On Time</v>
      </c>
      <c r="V59">
        <f>_xlfn.XLOOKUP(Table1[[#This Row],[orderID]],Table3[orderID],Table3[unitPrice])</f>
        <v>50</v>
      </c>
    </row>
    <row r="60" spans="1:22" x14ac:dyDescent="0.45">
      <c r="A60" s="3">
        <v>10306</v>
      </c>
      <c r="B60" s="6" t="s">
        <v>200</v>
      </c>
      <c r="C60" s="3">
        <v>1</v>
      </c>
      <c r="D60" s="6" t="str">
        <f>_xlfn.XLOOKUP(Table1[[#This Row],[EmployeeID]],Table4[employeeID],Table4[employeeName])</f>
        <v>Nancy Davolio</v>
      </c>
      <c r="E60" s="1">
        <v>41533</v>
      </c>
      <c r="F60" s="1">
        <v>41561</v>
      </c>
      <c r="G60" s="1">
        <v>41540</v>
      </c>
      <c r="H60" s="3">
        <f>IF(Table1[[#This Row],[ShippedDate]]="","",IF(Table1[[#This Row],[OrderDate]]="","",Table1[[#This Row],[ShippedDate]]-Table1[[#This Row],[OrderDate]]))</f>
        <v>7</v>
      </c>
      <c r="I60" s="3">
        <v>3</v>
      </c>
      <c r="J60" s="2">
        <v>7.56</v>
      </c>
      <c r="K60" s="2">
        <f>SUMIF(order_details!A:A,Table1[[#This Row],[orderID]],order_details!F:F)</f>
        <v>498.5</v>
      </c>
      <c r="L60" s="9">
        <f>_xlfn.XLOOKUP(Table1[[#This Row],[orderID]],Table3[orderID],Table3[discount])</f>
        <v>0</v>
      </c>
      <c r="M60" s="2">
        <f>SUM(Table1[[#This Row],[Sales]],Table1[[#This Row],[freight]])</f>
        <v>506.06</v>
      </c>
      <c r="N60" s="3">
        <f>_xlfn.XLOOKUP(Table1[[#This Row],[orderID]],Table3[orderID],Table3[quantity])</f>
        <v>10</v>
      </c>
      <c r="O60" s="6" t="str">
        <f>_xlfn.XLOOKUP(Table1[[#This Row],[CustomerID]],customers!A:A,customers!B:B)</f>
        <v>Romero y tomillo</v>
      </c>
      <c r="P60" s="6" t="str">
        <f>_xlfn.XLOOKUP(Table1[[#This Row],[shipperID]],Table6[shipperID],Table6[companyName])</f>
        <v>Federal Shipping</v>
      </c>
      <c r="Q60">
        <f>YEAR(Table1[[#This Row],[OrderDate]])</f>
        <v>2013</v>
      </c>
      <c r="R60">
        <f>MONTH(Table1[[#This Row],[OrderDate]])</f>
        <v>9</v>
      </c>
      <c r="S60" t="str">
        <f>"Q"&amp;ROUNDUP(Table1[[#This Row],[month]]/3,0)</f>
        <v>Q3</v>
      </c>
      <c r="T60" t="str">
        <f>CONCATENATE(Table1[[#This Row],[year]],"-",Table1[[#This Row],[Quarter]])</f>
        <v>2013-Q3</v>
      </c>
      <c r="U60" s="6" t="str">
        <f>IF(H59="","Pending",IF(Table1[[#This Row],[Days to ship]]&lt;Table1[[#This Row],[RequiredDate]],"On Time","Late"))</f>
        <v>On Time</v>
      </c>
      <c r="V60">
        <f>_xlfn.XLOOKUP(Table1[[#This Row],[orderID]],Table3[orderID],Table3[unitPrice])</f>
        <v>20.7</v>
      </c>
    </row>
    <row r="61" spans="1:22" x14ac:dyDescent="0.45">
      <c r="A61" s="3">
        <v>10307</v>
      </c>
      <c r="B61" s="6" t="s">
        <v>197</v>
      </c>
      <c r="C61" s="3">
        <v>2</v>
      </c>
      <c r="D61" s="6" t="str">
        <f>_xlfn.XLOOKUP(Table1[[#This Row],[EmployeeID]],Table4[employeeID],Table4[employeeName])</f>
        <v>Andrew Fuller</v>
      </c>
      <c r="E61" s="1">
        <v>41534</v>
      </c>
      <c r="F61" s="1">
        <v>41562</v>
      </c>
      <c r="G61" s="1">
        <v>41542</v>
      </c>
      <c r="H61" s="3">
        <f>IF(Table1[[#This Row],[ShippedDate]]="","",IF(Table1[[#This Row],[OrderDate]]="","",Table1[[#This Row],[ShippedDate]]-Table1[[#This Row],[OrderDate]]))</f>
        <v>8</v>
      </c>
      <c r="I61" s="3">
        <v>2</v>
      </c>
      <c r="J61" s="2">
        <v>0.56000000000000005</v>
      </c>
      <c r="K61" s="2">
        <f>SUMIF(order_details!A:A,Table1[[#This Row],[orderID]],order_details!F:F)</f>
        <v>424</v>
      </c>
      <c r="L61" s="9">
        <f>_xlfn.XLOOKUP(Table1[[#This Row],[orderID]],Table3[orderID],Table3[discount])</f>
        <v>0</v>
      </c>
      <c r="M61" s="2">
        <f>SUM(Table1[[#This Row],[Sales]],Table1[[#This Row],[freight]])</f>
        <v>424.56</v>
      </c>
      <c r="N61" s="3">
        <f>_xlfn.XLOOKUP(Table1[[#This Row],[orderID]],Table3[orderID],Table3[quantity])</f>
        <v>10</v>
      </c>
      <c r="O61" s="6" t="str">
        <f>_xlfn.XLOOKUP(Table1[[#This Row],[CustomerID]],customers!A:A,customers!B:B)</f>
        <v>Lonesome Pine Restaurant</v>
      </c>
      <c r="P61" s="6" t="str">
        <f>_xlfn.XLOOKUP(Table1[[#This Row],[shipperID]],Table6[shipperID],Table6[companyName])</f>
        <v>United Package</v>
      </c>
      <c r="Q61">
        <f>YEAR(Table1[[#This Row],[OrderDate]])</f>
        <v>2013</v>
      </c>
      <c r="R61">
        <f>MONTH(Table1[[#This Row],[OrderDate]])</f>
        <v>9</v>
      </c>
      <c r="S61" t="str">
        <f>"Q"&amp;ROUNDUP(Table1[[#This Row],[month]]/3,0)</f>
        <v>Q3</v>
      </c>
      <c r="T61" t="str">
        <f>CONCATENATE(Table1[[#This Row],[year]],"-",Table1[[#This Row],[Quarter]])</f>
        <v>2013-Q3</v>
      </c>
      <c r="U61" s="6" t="str">
        <f>IF(H60="","Pending",IF(Table1[[#This Row],[Days to ship]]&lt;Table1[[#This Row],[RequiredDate]],"On Time","Late"))</f>
        <v>On Time</v>
      </c>
      <c r="V61">
        <f>_xlfn.XLOOKUP(Table1[[#This Row],[orderID]],Table3[orderID],Table3[unitPrice])</f>
        <v>39.4</v>
      </c>
    </row>
    <row r="62" spans="1:22" x14ac:dyDescent="0.45">
      <c r="A62" s="3">
        <v>10308</v>
      </c>
      <c r="B62" s="6" t="s">
        <v>222</v>
      </c>
      <c r="C62" s="3">
        <v>7</v>
      </c>
      <c r="D62" s="6" t="str">
        <f>_xlfn.XLOOKUP(Table1[[#This Row],[EmployeeID]],Table4[employeeID],Table4[employeeName])</f>
        <v>Robert King</v>
      </c>
      <c r="E62" s="1">
        <v>41535</v>
      </c>
      <c r="F62" s="1">
        <v>41563</v>
      </c>
      <c r="G62" s="1">
        <v>41541</v>
      </c>
      <c r="H62" s="3">
        <f>IF(Table1[[#This Row],[ShippedDate]]="","",IF(Table1[[#This Row],[OrderDate]]="","",Table1[[#This Row],[ShippedDate]]-Table1[[#This Row],[OrderDate]]))</f>
        <v>6</v>
      </c>
      <c r="I62" s="3">
        <v>3</v>
      </c>
      <c r="J62" s="2">
        <v>1.61</v>
      </c>
      <c r="K62" s="2">
        <f>SUMIF(order_details!A:A,Table1[[#This Row],[orderID]],order_details!F:F)</f>
        <v>88.8</v>
      </c>
      <c r="L62" s="9">
        <f>_xlfn.XLOOKUP(Table1[[#This Row],[orderID]],Table3[orderID],Table3[discount])</f>
        <v>0</v>
      </c>
      <c r="M62" s="2">
        <f>SUM(Table1[[#This Row],[Sales]],Table1[[#This Row],[freight]])</f>
        <v>90.41</v>
      </c>
      <c r="N62" s="3">
        <f>_xlfn.XLOOKUP(Table1[[#This Row],[orderID]],Table3[orderID],Table3[quantity])</f>
        <v>1</v>
      </c>
      <c r="O62" s="6" t="str">
        <f>_xlfn.XLOOKUP(Table1[[#This Row],[CustomerID]],customers!A:A,customers!B:B)</f>
        <v>Ana Trujillo Emparedados y helados</v>
      </c>
      <c r="P62" s="6" t="str">
        <f>_xlfn.XLOOKUP(Table1[[#This Row],[shipperID]],Table6[shipperID],Table6[companyName])</f>
        <v>Federal Shipping</v>
      </c>
      <c r="Q62">
        <f>YEAR(Table1[[#This Row],[OrderDate]])</f>
        <v>2013</v>
      </c>
      <c r="R62">
        <f>MONTH(Table1[[#This Row],[OrderDate]])</f>
        <v>9</v>
      </c>
      <c r="S62" t="str">
        <f>"Q"&amp;ROUNDUP(Table1[[#This Row],[month]]/3,0)</f>
        <v>Q3</v>
      </c>
      <c r="T62" t="str">
        <f>CONCATENATE(Table1[[#This Row],[year]],"-",Table1[[#This Row],[Quarter]])</f>
        <v>2013-Q3</v>
      </c>
      <c r="U62" s="6" t="str">
        <f>IF(H61="","Pending",IF(Table1[[#This Row],[Days to ship]]&lt;Table1[[#This Row],[RequiredDate]],"On Time","Late"))</f>
        <v>On Time</v>
      </c>
      <c r="V62">
        <f>_xlfn.XLOOKUP(Table1[[#This Row],[orderID]],Table3[orderID],Table3[unitPrice])</f>
        <v>28.8</v>
      </c>
    </row>
    <row r="63" spans="1:22" x14ac:dyDescent="0.45">
      <c r="A63" s="3">
        <v>10309</v>
      </c>
      <c r="B63" s="6" t="s">
        <v>166</v>
      </c>
      <c r="C63" s="3">
        <v>3</v>
      </c>
      <c r="D63" s="6" t="str">
        <f>_xlfn.XLOOKUP(Table1[[#This Row],[EmployeeID]],Table4[employeeID],Table4[employeeName])</f>
        <v>Janet Leverling</v>
      </c>
      <c r="E63" s="1">
        <v>41536</v>
      </c>
      <c r="F63" s="1">
        <v>41564</v>
      </c>
      <c r="G63" s="1">
        <v>41570</v>
      </c>
      <c r="H63" s="3">
        <f>IF(Table1[[#This Row],[ShippedDate]]="","",IF(Table1[[#This Row],[OrderDate]]="","",Table1[[#This Row],[ShippedDate]]-Table1[[#This Row],[OrderDate]]))</f>
        <v>34</v>
      </c>
      <c r="I63" s="3">
        <v>1</v>
      </c>
      <c r="J63" s="2">
        <v>47.3</v>
      </c>
      <c r="K63" s="2">
        <f>SUMIF(order_details!A:A,Table1[[#This Row],[orderID]],order_details!F:F)</f>
        <v>1762</v>
      </c>
      <c r="L63" s="9">
        <f>_xlfn.XLOOKUP(Table1[[#This Row],[orderID]],Table3[orderID],Table3[discount])</f>
        <v>0</v>
      </c>
      <c r="M63" s="2">
        <f>SUM(Table1[[#This Row],[Sales]],Table1[[#This Row],[freight]])</f>
        <v>1809.3</v>
      </c>
      <c r="N63" s="3">
        <f>_xlfn.XLOOKUP(Table1[[#This Row],[orderID]],Table3[orderID],Table3[quantity])</f>
        <v>20</v>
      </c>
      <c r="O63" s="6" t="str">
        <f>_xlfn.XLOOKUP(Table1[[#This Row],[CustomerID]],customers!A:A,customers!B:B)</f>
        <v>Hungry Owl All-Night Grocers</v>
      </c>
      <c r="P63" s="6" t="str">
        <f>_xlfn.XLOOKUP(Table1[[#This Row],[shipperID]],Table6[shipperID],Table6[companyName])</f>
        <v>Speedy Express</v>
      </c>
      <c r="Q63">
        <f>YEAR(Table1[[#This Row],[OrderDate]])</f>
        <v>2013</v>
      </c>
      <c r="R63">
        <f>MONTH(Table1[[#This Row],[OrderDate]])</f>
        <v>9</v>
      </c>
      <c r="S63" t="str">
        <f>"Q"&amp;ROUNDUP(Table1[[#This Row],[month]]/3,0)</f>
        <v>Q3</v>
      </c>
      <c r="T63" t="str">
        <f>CONCATENATE(Table1[[#This Row],[year]],"-",Table1[[#This Row],[Quarter]])</f>
        <v>2013-Q3</v>
      </c>
      <c r="U63" s="6" t="str">
        <f>IF(H62="","Pending",IF(Table1[[#This Row],[Days to ship]]&lt;Table1[[#This Row],[RequiredDate]],"On Time","Late"))</f>
        <v>On Time</v>
      </c>
      <c r="V63">
        <f>_xlfn.XLOOKUP(Table1[[#This Row],[orderID]],Table3[orderID],Table3[unitPrice])</f>
        <v>17.600000000000001</v>
      </c>
    </row>
    <row r="64" spans="1:22" x14ac:dyDescent="0.45">
      <c r="A64" s="3">
        <v>10310</v>
      </c>
      <c r="B64" s="6" t="s">
        <v>208</v>
      </c>
      <c r="C64" s="3">
        <v>8</v>
      </c>
      <c r="D64" s="6" t="str">
        <f>_xlfn.XLOOKUP(Table1[[#This Row],[EmployeeID]],Table4[employeeID],Table4[employeeName])</f>
        <v>Laura Callahan</v>
      </c>
      <c r="E64" s="1">
        <v>41537</v>
      </c>
      <c r="F64" s="1">
        <v>41565</v>
      </c>
      <c r="G64" s="1">
        <v>41544</v>
      </c>
      <c r="H64" s="3">
        <f>IF(Table1[[#This Row],[ShippedDate]]="","",IF(Table1[[#This Row],[OrderDate]]="","",Table1[[#This Row],[ShippedDate]]-Table1[[#This Row],[OrderDate]]))</f>
        <v>7</v>
      </c>
      <c r="I64" s="3">
        <v>2</v>
      </c>
      <c r="J64" s="2">
        <v>17.52</v>
      </c>
      <c r="K64" s="2">
        <f>SUMIF(order_details!A:A,Table1[[#This Row],[orderID]],order_details!F:F)</f>
        <v>336</v>
      </c>
      <c r="L64" s="9">
        <f>_xlfn.XLOOKUP(Table1[[#This Row],[orderID]],Table3[orderID],Table3[discount])</f>
        <v>0</v>
      </c>
      <c r="M64" s="2">
        <f>SUM(Table1[[#This Row],[Sales]],Table1[[#This Row],[freight]])</f>
        <v>353.52</v>
      </c>
      <c r="N64" s="3">
        <f>_xlfn.XLOOKUP(Table1[[#This Row],[orderID]],Table3[orderID],Table3[quantity])</f>
        <v>10</v>
      </c>
      <c r="O64" s="6" t="str">
        <f>_xlfn.XLOOKUP(Table1[[#This Row],[CustomerID]],customers!A:A,customers!B:B)</f>
        <v>The Big Cheese</v>
      </c>
      <c r="P64" s="6" t="str">
        <f>_xlfn.XLOOKUP(Table1[[#This Row],[shipperID]],Table6[shipperID],Table6[companyName])</f>
        <v>United Package</v>
      </c>
      <c r="Q64">
        <f>YEAR(Table1[[#This Row],[OrderDate]])</f>
        <v>2013</v>
      </c>
      <c r="R64">
        <f>MONTH(Table1[[#This Row],[OrderDate]])</f>
        <v>9</v>
      </c>
      <c r="S64" t="str">
        <f>"Q"&amp;ROUNDUP(Table1[[#This Row],[month]]/3,0)</f>
        <v>Q3</v>
      </c>
      <c r="T64" t="str">
        <f>CONCATENATE(Table1[[#This Row],[year]],"-",Table1[[#This Row],[Quarter]])</f>
        <v>2013-Q3</v>
      </c>
      <c r="U64" s="6" t="str">
        <f>IF(H63="","Pending",IF(Table1[[#This Row],[Days to ship]]&lt;Table1[[#This Row],[RequiredDate]],"On Time","Late"))</f>
        <v>On Time</v>
      </c>
      <c r="V64">
        <f>_xlfn.XLOOKUP(Table1[[#This Row],[orderID]],Table3[orderID],Table3[unitPrice])</f>
        <v>13.9</v>
      </c>
    </row>
    <row r="65" spans="1:22" x14ac:dyDescent="0.45">
      <c r="A65" s="3">
        <v>10311</v>
      </c>
      <c r="B65" s="6" t="s">
        <v>224</v>
      </c>
      <c r="C65" s="3">
        <v>1</v>
      </c>
      <c r="D65" s="6" t="str">
        <f>_xlfn.XLOOKUP(Table1[[#This Row],[EmployeeID]],Table4[employeeID],Table4[employeeName])</f>
        <v>Nancy Davolio</v>
      </c>
      <c r="E65" s="1">
        <v>41537</v>
      </c>
      <c r="F65" s="1">
        <v>41551</v>
      </c>
      <c r="G65" s="1">
        <v>41543</v>
      </c>
      <c r="H65" s="3">
        <f>IF(Table1[[#This Row],[ShippedDate]]="","",IF(Table1[[#This Row],[OrderDate]]="","",Table1[[#This Row],[ShippedDate]]-Table1[[#This Row],[OrderDate]]))</f>
        <v>6</v>
      </c>
      <c r="I65" s="3">
        <v>3</v>
      </c>
      <c r="J65" s="2">
        <v>24.69</v>
      </c>
      <c r="K65" s="2">
        <f>SUMIF(order_details!A:A,Table1[[#This Row],[orderID]],order_details!F:F)</f>
        <v>268.79999999999995</v>
      </c>
      <c r="L65" s="9">
        <f>_xlfn.XLOOKUP(Table1[[#This Row],[orderID]],Table3[orderID],Table3[discount])</f>
        <v>0</v>
      </c>
      <c r="M65" s="2">
        <f>SUM(Table1[[#This Row],[Sales]],Table1[[#This Row],[freight]])</f>
        <v>293.48999999999995</v>
      </c>
      <c r="N65" s="3">
        <f>_xlfn.XLOOKUP(Table1[[#This Row],[orderID]],Table3[orderID],Table3[quantity])</f>
        <v>6</v>
      </c>
      <c r="O65" s="6" t="str">
        <f>_xlfn.XLOOKUP(Table1[[#This Row],[CustomerID]],customers!A:A,customers!B:B)</f>
        <v>Du monde entier</v>
      </c>
      <c r="P65" s="6" t="str">
        <f>_xlfn.XLOOKUP(Table1[[#This Row],[shipperID]],Table6[shipperID],Table6[companyName])</f>
        <v>Federal Shipping</v>
      </c>
      <c r="Q65">
        <f>YEAR(Table1[[#This Row],[OrderDate]])</f>
        <v>2013</v>
      </c>
      <c r="R65">
        <f>MONTH(Table1[[#This Row],[OrderDate]])</f>
        <v>9</v>
      </c>
      <c r="S65" t="str">
        <f>"Q"&amp;ROUNDUP(Table1[[#This Row],[month]]/3,0)</f>
        <v>Q3</v>
      </c>
      <c r="T65" t="str">
        <f>CONCATENATE(Table1[[#This Row],[year]],"-",Table1[[#This Row],[Quarter]])</f>
        <v>2013-Q3</v>
      </c>
      <c r="U65" s="6" t="str">
        <f>IF(H64="","Pending",IF(Table1[[#This Row],[Days to ship]]&lt;Table1[[#This Row],[RequiredDate]],"On Time","Late"))</f>
        <v>On Time</v>
      </c>
      <c r="V65">
        <f>_xlfn.XLOOKUP(Table1[[#This Row],[orderID]],Table3[orderID],Table3[unitPrice])</f>
        <v>11.2</v>
      </c>
    </row>
    <row r="66" spans="1:22" x14ac:dyDescent="0.45">
      <c r="A66" s="3">
        <v>10312</v>
      </c>
      <c r="B66" s="6" t="s">
        <v>182</v>
      </c>
      <c r="C66" s="3">
        <v>2</v>
      </c>
      <c r="D66" s="6" t="str">
        <f>_xlfn.XLOOKUP(Table1[[#This Row],[EmployeeID]],Table4[employeeID],Table4[employeeName])</f>
        <v>Andrew Fuller</v>
      </c>
      <c r="E66" s="1">
        <v>41540</v>
      </c>
      <c r="F66" s="1">
        <v>41568</v>
      </c>
      <c r="G66" s="1">
        <v>41550</v>
      </c>
      <c r="H66" s="3">
        <f>IF(Table1[[#This Row],[ShippedDate]]="","",IF(Table1[[#This Row],[OrderDate]]="","",Table1[[#This Row],[ShippedDate]]-Table1[[#This Row],[OrderDate]]))</f>
        <v>10</v>
      </c>
      <c r="I66" s="3">
        <v>2</v>
      </c>
      <c r="J66" s="2">
        <v>40.26</v>
      </c>
      <c r="K66" s="2">
        <f>SUMIF(order_details!A:A,Table1[[#This Row],[orderID]],order_details!F:F)</f>
        <v>1614.8</v>
      </c>
      <c r="L66" s="9">
        <f>_xlfn.XLOOKUP(Table1[[#This Row],[orderID]],Table3[orderID],Table3[discount])</f>
        <v>0</v>
      </c>
      <c r="M66" s="2">
        <f>SUM(Table1[[#This Row],[Sales]],Table1[[#This Row],[freight]])</f>
        <v>1655.06</v>
      </c>
      <c r="N66" s="3">
        <f>_xlfn.XLOOKUP(Table1[[#This Row],[orderID]],Table3[orderID],Table3[quantity])</f>
        <v>4</v>
      </c>
      <c r="O66" s="6" t="str">
        <f>_xlfn.XLOOKUP(Table1[[#This Row],[CustomerID]],customers!A:A,customers!B:B)</f>
        <v>Die Wandernde Kuh</v>
      </c>
      <c r="P66" s="6" t="str">
        <f>_xlfn.XLOOKUP(Table1[[#This Row],[shipperID]],Table6[shipperID],Table6[companyName])</f>
        <v>United Package</v>
      </c>
      <c r="Q66">
        <f>YEAR(Table1[[#This Row],[OrderDate]])</f>
        <v>2013</v>
      </c>
      <c r="R66">
        <f>MONTH(Table1[[#This Row],[OrderDate]])</f>
        <v>9</v>
      </c>
      <c r="S66" t="str">
        <f>"Q"&amp;ROUNDUP(Table1[[#This Row],[month]]/3,0)</f>
        <v>Q3</v>
      </c>
      <c r="T66" t="str">
        <f>CONCATENATE(Table1[[#This Row],[year]],"-",Table1[[#This Row],[Quarter]])</f>
        <v>2013-Q3</v>
      </c>
      <c r="U66" s="6" t="str">
        <f>IF(H65="","Pending",IF(Table1[[#This Row],[Days to ship]]&lt;Table1[[#This Row],[RequiredDate]],"On Time","Late"))</f>
        <v>On Time</v>
      </c>
      <c r="V66">
        <f>_xlfn.XLOOKUP(Table1[[#This Row],[orderID]],Table3[orderID],Table3[unitPrice])</f>
        <v>36.4</v>
      </c>
    </row>
    <row r="67" spans="1:22" x14ac:dyDescent="0.45">
      <c r="A67" s="3">
        <v>10313</v>
      </c>
      <c r="B67" s="6" t="s">
        <v>194</v>
      </c>
      <c r="C67" s="3">
        <v>2</v>
      </c>
      <c r="D67" s="6" t="str">
        <f>_xlfn.XLOOKUP(Table1[[#This Row],[EmployeeID]],Table4[employeeID],Table4[employeeName])</f>
        <v>Andrew Fuller</v>
      </c>
      <c r="E67" s="1">
        <v>41541</v>
      </c>
      <c r="F67" s="1">
        <v>41569</v>
      </c>
      <c r="G67" s="1">
        <v>41551</v>
      </c>
      <c r="H67" s="3">
        <f>IF(Table1[[#This Row],[ShippedDate]]="","",IF(Table1[[#This Row],[OrderDate]]="","",Table1[[#This Row],[ShippedDate]]-Table1[[#This Row],[OrderDate]]))</f>
        <v>10</v>
      </c>
      <c r="I67" s="3">
        <v>2</v>
      </c>
      <c r="J67" s="2">
        <v>1.96</v>
      </c>
      <c r="K67" s="2">
        <f>SUMIF(order_details!A:A,Table1[[#This Row],[orderID]],order_details!F:F)</f>
        <v>182.39999999999998</v>
      </c>
      <c r="L67" s="9">
        <f>_xlfn.XLOOKUP(Table1[[#This Row],[orderID]],Table3[orderID],Table3[discount])</f>
        <v>0</v>
      </c>
      <c r="M67" s="2">
        <f>SUM(Table1[[#This Row],[Sales]],Table1[[#This Row],[freight]])</f>
        <v>184.35999999999999</v>
      </c>
      <c r="N67" s="3">
        <f>_xlfn.XLOOKUP(Table1[[#This Row],[orderID]],Table3[orderID],Table3[quantity])</f>
        <v>12</v>
      </c>
      <c r="O67" s="6" t="str">
        <f>_xlfn.XLOOKUP(Table1[[#This Row],[CustomerID]],customers!A:A,customers!B:B)</f>
        <v>QUICK-Stop</v>
      </c>
      <c r="P67" s="6" t="str">
        <f>_xlfn.XLOOKUP(Table1[[#This Row],[shipperID]],Table6[shipperID],Table6[companyName])</f>
        <v>United Package</v>
      </c>
      <c r="Q67">
        <f>YEAR(Table1[[#This Row],[OrderDate]])</f>
        <v>2013</v>
      </c>
      <c r="R67">
        <f>MONTH(Table1[[#This Row],[OrderDate]])</f>
        <v>9</v>
      </c>
      <c r="S67" t="str">
        <f>"Q"&amp;ROUNDUP(Table1[[#This Row],[month]]/3,0)</f>
        <v>Q3</v>
      </c>
      <c r="T67" t="str">
        <f>CONCATENATE(Table1[[#This Row],[year]],"-",Table1[[#This Row],[Quarter]])</f>
        <v>2013-Q3</v>
      </c>
      <c r="U67" s="6" t="str">
        <f>IF(H66="","Pending",IF(Table1[[#This Row],[Days to ship]]&lt;Table1[[#This Row],[RequiredDate]],"On Time","Late"))</f>
        <v>On Time</v>
      </c>
      <c r="V67">
        <f>_xlfn.XLOOKUP(Table1[[#This Row],[orderID]],Table3[orderID],Table3[unitPrice])</f>
        <v>15.2</v>
      </c>
    </row>
    <row r="68" spans="1:22" x14ac:dyDescent="0.45">
      <c r="A68" s="3">
        <v>10314</v>
      </c>
      <c r="B68" s="6" t="s">
        <v>153</v>
      </c>
      <c r="C68" s="3">
        <v>1</v>
      </c>
      <c r="D68" s="6" t="str">
        <f>_xlfn.XLOOKUP(Table1[[#This Row],[EmployeeID]],Table4[employeeID],Table4[employeeName])</f>
        <v>Nancy Davolio</v>
      </c>
      <c r="E68" s="1">
        <v>41542</v>
      </c>
      <c r="F68" s="1">
        <v>41570</v>
      </c>
      <c r="G68" s="1">
        <v>41551</v>
      </c>
      <c r="H68" s="3">
        <f>IF(Table1[[#This Row],[ShippedDate]]="","",IF(Table1[[#This Row],[OrderDate]]="","",Table1[[#This Row],[ShippedDate]]-Table1[[#This Row],[OrderDate]]))</f>
        <v>9</v>
      </c>
      <c r="I68" s="3">
        <v>2</v>
      </c>
      <c r="J68" s="2">
        <v>74.16</v>
      </c>
      <c r="K68" s="2">
        <f>SUMIF(order_details!A:A,Table1[[#This Row],[orderID]],order_details!F:F)</f>
        <v>2094.3000000000002</v>
      </c>
      <c r="L68" s="9">
        <f>_xlfn.XLOOKUP(Table1[[#This Row],[orderID]],Table3[orderID],Table3[discount])</f>
        <v>0.1</v>
      </c>
      <c r="M68" s="2">
        <f>SUM(Table1[[#This Row],[Sales]],Table1[[#This Row],[freight]])</f>
        <v>2168.46</v>
      </c>
      <c r="N68" s="3">
        <f>_xlfn.XLOOKUP(Table1[[#This Row],[orderID]],Table3[orderID],Table3[quantity])</f>
        <v>40</v>
      </c>
      <c r="O68" s="6" t="str">
        <f>_xlfn.XLOOKUP(Table1[[#This Row],[CustomerID]],customers!A:A,customers!B:B)</f>
        <v>Rattlesnake Canyon Grocery</v>
      </c>
      <c r="P68" s="6" t="str">
        <f>_xlfn.XLOOKUP(Table1[[#This Row],[shipperID]],Table6[shipperID],Table6[companyName])</f>
        <v>United Package</v>
      </c>
      <c r="Q68">
        <f>YEAR(Table1[[#This Row],[OrderDate]])</f>
        <v>2013</v>
      </c>
      <c r="R68">
        <f>MONTH(Table1[[#This Row],[OrderDate]])</f>
        <v>9</v>
      </c>
      <c r="S68" t="str">
        <f>"Q"&amp;ROUNDUP(Table1[[#This Row],[month]]/3,0)</f>
        <v>Q3</v>
      </c>
      <c r="T68" t="str">
        <f>CONCATENATE(Table1[[#This Row],[year]],"-",Table1[[#This Row],[Quarter]])</f>
        <v>2013-Q3</v>
      </c>
      <c r="U68" s="6" t="str">
        <f>IF(H67="","Pending",IF(Table1[[#This Row],[Days to ship]]&lt;Table1[[#This Row],[RequiredDate]],"On Time","Late"))</f>
        <v>On Time</v>
      </c>
      <c r="V68">
        <f>_xlfn.XLOOKUP(Table1[[#This Row],[orderID]],Table3[orderID],Table3[unitPrice])</f>
        <v>25.6</v>
      </c>
    </row>
    <row r="69" spans="1:22" x14ac:dyDescent="0.45">
      <c r="A69" s="3">
        <v>10315</v>
      </c>
      <c r="B69" s="6" t="s">
        <v>220</v>
      </c>
      <c r="C69" s="3">
        <v>4</v>
      </c>
      <c r="D69" s="6" t="str">
        <f>_xlfn.XLOOKUP(Table1[[#This Row],[EmployeeID]],Table4[employeeID],Table4[employeeName])</f>
        <v>Margaret Peacock</v>
      </c>
      <c r="E69" s="1">
        <v>41543</v>
      </c>
      <c r="F69" s="1">
        <v>41571</v>
      </c>
      <c r="G69" s="1">
        <v>41550</v>
      </c>
      <c r="H69" s="3">
        <f>IF(Table1[[#This Row],[ShippedDate]]="","",IF(Table1[[#This Row],[OrderDate]]="","",Table1[[#This Row],[ShippedDate]]-Table1[[#This Row],[OrderDate]]))</f>
        <v>7</v>
      </c>
      <c r="I69" s="3">
        <v>2</v>
      </c>
      <c r="J69" s="2">
        <v>41.76</v>
      </c>
      <c r="K69" s="2">
        <f>SUMIF(order_details!A:A,Table1[[#This Row],[orderID]],order_details!F:F)</f>
        <v>516.79999999999995</v>
      </c>
      <c r="L69" s="9">
        <f>_xlfn.XLOOKUP(Table1[[#This Row],[orderID]],Table3[orderID],Table3[discount])</f>
        <v>0</v>
      </c>
      <c r="M69" s="2">
        <f>SUM(Table1[[#This Row],[Sales]],Table1[[#This Row],[freight]])</f>
        <v>558.55999999999995</v>
      </c>
      <c r="N69" s="3">
        <f>_xlfn.XLOOKUP(Table1[[#This Row],[orderID]],Table3[orderID],Table3[quantity])</f>
        <v>14</v>
      </c>
      <c r="O69" s="6" t="str">
        <f>_xlfn.XLOOKUP(Table1[[#This Row],[CustomerID]],customers!A:A,customers!B:B)</f>
        <v>Island Trading</v>
      </c>
      <c r="P69" s="6" t="str">
        <f>_xlfn.XLOOKUP(Table1[[#This Row],[shipperID]],Table6[shipperID],Table6[companyName])</f>
        <v>United Package</v>
      </c>
      <c r="Q69">
        <f>YEAR(Table1[[#This Row],[OrderDate]])</f>
        <v>2013</v>
      </c>
      <c r="R69">
        <f>MONTH(Table1[[#This Row],[OrderDate]])</f>
        <v>9</v>
      </c>
      <c r="S69" t="str">
        <f>"Q"&amp;ROUNDUP(Table1[[#This Row],[month]]/3,0)</f>
        <v>Q3</v>
      </c>
      <c r="T69" t="str">
        <f>CONCATENATE(Table1[[#This Row],[year]],"-",Table1[[#This Row],[Quarter]])</f>
        <v>2013-Q3</v>
      </c>
      <c r="U69" s="6" t="str">
        <f>IF(H68="","Pending",IF(Table1[[#This Row],[Days to ship]]&lt;Table1[[#This Row],[RequiredDate]],"On Time","Late"))</f>
        <v>On Time</v>
      </c>
      <c r="V69">
        <f>_xlfn.XLOOKUP(Table1[[#This Row],[orderID]],Table3[orderID],Table3[unitPrice])</f>
        <v>11.2</v>
      </c>
    </row>
    <row r="70" spans="1:22" x14ac:dyDescent="0.45">
      <c r="A70" s="3">
        <v>10316</v>
      </c>
      <c r="B70" s="6" t="s">
        <v>153</v>
      </c>
      <c r="C70" s="3">
        <v>1</v>
      </c>
      <c r="D70" s="6" t="str">
        <f>_xlfn.XLOOKUP(Table1[[#This Row],[EmployeeID]],Table4[employeeID],Table4[employeeName])</f>
        <v>Nancy Davolio</v>
      </c>
      <c r="E70" s="1">
        <v>41544</v>
      </c>
      <c r="F70" s="1">
        <v>41572</v>
      </c>
      <c r="G70" s="1">
        <v>41555</v>
      </c>
      <c r="H70" s="3">
        <f>IF(Table1[[#This Row],[ShippedDate]]="","",IF(Table1[[#This Row],[OrderDate]]="","",Table1[[#This Row],[ShippedDate]]-Table1[[#This Row],[OrderDate]]))</f>
        <v>11</v>
      </c>
      <c r="I70" s="3">
        <v>3</v>
      </c>
      <c r="J70" s="2">
        <v>150.15</v>
      </c>
      <c r="K70" s="2">
        <f>SUMIF(order_details!A:A,Table1[[#This Row],[orderID]],order_details!F:F)</f>
        <v>2835</v>
      </c>
      <c r="L70" s="9">
        <f>_xlfn.XLOOKUP(Table1[[#This Row],[orderID]],Table3[orderID],Table3[discount])</f>
        <v>0</v>
      </c>
      <c r="M70" s="2">
        <f>SUM(Table1[[#This Row],[Sales]],Table1[[#This Row],[freight]])</f>
        <v>2985.15</v>
      </c>
      <c r="N70" s="3">
        <f>_xlfn.XLOOKUP(Table1[[#This Row],[orderID]],Table3[orderID],Table3[quantity])</f>
        <v>10</v>
      </c>
      <c r="O70" s="6" t="str">
        <f>_xlfn.XLOOKUP(Table1[[#This Row],[CustomerID]],customers!A:A,customers!B:B)</f>
        <v>Rattlesnake Canyon Grocery</v>
      </c>
      <c r="P70" s="6" t="str">
        <f>_xlfn.XLOOKUP(Table1[[#This Row],[shipperID]],Table6[shipperID],Table6[companyName])</f>
        <v>Federal Shipping</v>
      </c>
      <c r="Q70">
        <f>YEAR(Table1[[#This Row],[OrderDate]])</f>
        <v>2013</v>
      </c>
      <c r="R70">
        <f>MONTH(Table1[[#This Row],[OrderDate]])</f>
        <v>9</v>
      </c>
      <c r="S70" t="str">
        <f>"Q"&amp;ROUNDUP(Table1[[#This Row],[month]]/3,0)</f>
        <v>Q3</v>
      </c>
      <c r="T70" t="str">
        <f>CONCATENATE(Table1[[#This Row],[year]],"-",Table1[[#This Row],[Quarter]])</f>
        <v>2013-Q3</v>
      </c>
      <c r="U70" s="6" t="str">
        <f>IF(H69="","Pending",IF(Table1[[#This Row],[Days to ship]]&lt;Table1[[#This Row],[RequiredDate]],"On Time","Late"))</f>
        <v>On Time</v>
      </c>
      <c r="V70">
        <f>_xlfn.XLOOKUP(Table1[[#This Row],[orderID]],Table3[orderID],Table3[unitPrice])</f>
        <v>7.7</v>
      </c>
    </row>
    <row r="71" spans="1:22" x14ac:dyDescent="0.45">
      <c r="A71" s="3">
        <v>10317</v>
      </c>
      <c r="B71" s="6" t="s">
        <v>197</v>
      </c>
      <c r="C71" s="3">
        <v>6</v>
      </c>
      <c r="D71" s="6" t="str">
        <f>_xlfn.XLOOKUP(Table1[[#This Row],[EmployeeID]],Table4[employeeID],Table4[employeeName])</f>
        <v>Michael Suyama</v>
      </c>
      <c r="E71" s="1">
        <v>41547</v>
      </c>
      <c r="F71" s="1">
        <v>41575</v>
      </c>
      <c r="G71" s="1">
        <v>41557</v>
      </c>
      <c r="H71" s="3">
        <f>IF(Table1[[#This Row],[ShippedDate]]="","",IF(Table1[[#This Row],[OrderDate]]="","",Table1[[#This Row],[ShippedDate]]-Table1[[#This Row],[OrderDate]]))</f>
        <v>10</v>
      </c>
      <c r="I71" s="3">
        <v>1</v>
      </c>
      <c r="J71" s="2">
        <v>12.69</v>
      </c>
      <c r="K71" s="2">
        <f>SUMIF(order_details!A:A,Table1[[#This Row],[orderID]],order_details!F:F)</f>
        <v>288</v>
      </c>
      <c r="L71" s="9">
        <f>_xlfn.XLOOKUP(Table1[[#This Row],[orderID]],Table3[orderID],Table3[discount])</f>
        <v>0</v>
      </c>
      <c r="M71" s="2">
        <f>SUM(Table1[[#This Row],[Sales]],Table1[[#This Row],[freight]])</f>
        <v>300.69</v>
      </c>
      <c r="N71" s="3">
        <f>_xlfn.XLOOKUP(Table1[[#This Row],[orderID]],Table3[orderID],Table3[quantity])</f>
        <v>20</v>
      </c>
      <c r="O71" s="6" t="str">
        <f>_xlfn.XLOOKUP(Table1[[#This Row],[CustomerID]],customers!A:A,customers!B:B)</f>
        <v>Lonesome Pine Restaurant</v>
      </c>
      <c r="P71" s="6" t="str">
        <f>_xlfn.XLOOKUP(Table1[[#This Row],[shipperID]],Table6[shipperID],Table6[companyName])</f>
        <v>Speedy Express</v>
      </c>
      <c r="Q71">
        <f>YEAR(Table1[[#This Row],[OrderDate]])</f>
        <v>2013</v>
      </c>
      <c r="R71">
        <f>MONTH(Table1[[#This Row],[OrderDate]])</f>
        <v>9</v>
      </c>
      <c r="S71" t="str">
        <f>"Q"&amp;ROUNDUP(Table1[[#This Row],[month]]/3,0)</f>
        <v>Q3</v>
      </c>
      <c r="T71" t="str">
        <f>CONCATENATE(Table1[[#This Row],[year]],"-",Table1[[#This Row],[Quarter]])</f>
        <v>2013-Q3</v>
      </c>
      <c r="U71" s="6" t="str">
        <f>IF(H70="","Pending",IF(Table1[[#This Row],[Days to ship]]&lt;Table1[[#This Row],[RequiredDate]],"On Time","Late"))</f>
        <v>On Time</v>
      </c>
      <c r="V71">
        <f>_xlfn.XLOOKUP(Table1[[#This Row],[orderID]],Table3[orderID],Table3[unitPrice])</f>
        <v>14.4</v>
      </c>
    </row>
    <row r="72" spans="1:22" x14ac:dyDescent="0.45">
      <c r="A72" s="3">
        <v>10318</v>
      </c>
      <c r="B72" s="6" t="s">
        <v>220</v>
      </c>
      <c r="C72" s="3">
        <v>8</v>
      </c>
      <c r="D72" s="6" t="str">
        <f>_xlfn.XLOOKUP(Table1[[#This Row],[EmployeeID]],Table4[employeeID],Table4[employeeName])</f>
        <v>Laura Callahan</v>
      </c>
      <c r="E72" s="1">
        <v>41548</v>
      </c>
      <c r="F72" s="1">
        <v>41576</v>
      </c>
      <c r="G72" s="1">
        <v>41551</v>
      </c>
      <c r="H72" s="3">
        <f>IF(Table1[[#This Row],[ShippedDate]]="","",IF(Table1[[#This Row],[OrderDate]]="","",Table1[[#This Row],[ShippedDate]]-Table1[[#This Row],[OrderDate]]))</f>
        <v>3</v>
      </c>
      <c r="I72" s="3">
        <v>2</v>
      </c>
      <c r="J72" s="2">
        <v>4.7300000000000004</v>
      </c>
      <c r="K72" s="2">
        <f>SUMIF(order_details!A:A,Table1[[#This Row],[orderID]],order_details!F:F)</f>
        <v>240.4</v>
      </c>
      <c r="L72" s="9">
        <f>_xlfn.XLOOKUP(Table1[[#This Row],[orderID]],Table3[orderID],Table3[discount])</f>
        <v>0</v>
      </c>
      <c r="M72" s="2">
        <f>SUM(Table1[[#This Row],[Sales]],Table1[[#This Row],[freight]])</f>
        <v>245.13</v>
      </c>
      <c r="N72" s="3">
        <f>_xlfn.XLOOKUP(Table1[[#This Row],[orderID]],Table3[orderID],Table3[quantity])</f>
        <v>20</v>
      </c>
      <c r="O72" s="6" t="str">
        <f>_xlfn.XLOOKUP(Table1[[#This Row],[CustomerID]],customers!A:A,customers!B:B)</f>
        <v>Island Trading</v>
      </c>
      <c r="P72" s="6" t="str">
        <f>_xlfn.XLOOKUP(Table1[[#This Row],[shipperID]],Table6[shipperID],Table6[companyName])</f>
        <v>United Package</v>
      </c>
      <c r="Q72">
        <f>YEAR(Table1[[#This Row],[OrderDate]])</f>
        <v>2013</v>
      </c>
      <c r="R72">
        <f>MONTH(Table1[[#This Row],[OrderDate]])</f>
        <v>10</v>
      </c>
      <c r="S72" t="str">
        <f>"Q"&amp;ROUNDUP(Table1[[#This Row],[month]]/3,0)</f>
        <v>Q4</v>
      </c>
      <c r="T72" t="str">
        <f>CONCATENATE(Table1[[#This Row],[year]],"-",Table1[[#This Row],[Quarter]])</f>
        <v>2013-Q4</v>
      </c>
      <c r="U72" s="6" t="str">
        <f>IF(H71="","Pending",IF(Table1[[#This Row],[Days to ship]]&lt;Table1[[#This Row],[RequiredDate]],"On Time","Late"))</f>
        <v>On Time</v>
      </c>
      <c r="V72">
        <f>_xlfn.XLOOKUP(Table1[[#This Row],[orderID]],Table3[orderID],Table3[unitPrice])</f>
        <v>7.7</v>
      </c>
    </row>
    <row r="73" spans="1:22" x14ac:dyDescent="0.45">
      <c r="A73" s="3">
        <v>10319</v>
      </c>
      <c r="B73" s="6" t="s">
        <v>161</v>
      </c>
      <c r="C73" s="3">
        <v>7</v>
      </c>
      <c r="D73" s="6" t="str">
        <f>_xlfn.XLOOKUP(Table1[[#This Row],[EmployeeID]],Table4[employeeID],Table4[employeeName])</f>
        <v>Robert King</v>
      </c>
      <c r="E73" s="1">
        <v>41549</v>
      </c>
      <c r="F73" s="1">
        <v>41577</v>
      </c>
      <c r="G73" s="1">
        <v>41558</v>
      </c>
      <c r="H73" s="3">
        <f>IF(Table1[[#This Row],[ShippedDate]]="","",IF(Table1[[#This Row],[OrderDate]]="","",Table1[[#This Row],[ShippedDate]]-Table1[[#This Row],[OrderDate]]))</f>
        <v>9</v>
      </c>
      <c r="I73" s="3">
        <v>3</v>
      </c>
      <c r="J73" s="2">
        <v>64.5</v>
      </c>
      <c r="K73" s="2">
        <f>SUMIF(order_details!A:A,Table1[[#This Row],[orderID]],order_details!F:F)</f>
        <v>1191.1999999999998</v>
      </c>
      <c r="L73" s="9">
        <f>_xlfn.XLOOKUP(Table1[[#This Row],[orderID]],Table3[orderID],Table3[discount])</f>
        <v>0</v>
      </c>
      <c r="M73" s="2">
        <f>SUM(Table1[[#This Row],[Sales]],Table1[[#This Row],[freight]])</f>
        <v>1255.6999999999998</v>
      </c>
      <c r="N73" s="3">
        <f>_xlfn.XLOOKUP(Table1[[#This Row],[orderID]],Table3[orderID],Table3[quantity])</f>
        <v>8</v>
      </c>
      <c r="O73" s="6" t="str">
        <f>_xlfn.XLOOKUP(Table1[[#This Row],[CustomerID]],customers!A:A,customers!B:B)</f>
        <v>Tortuga Restaurante</v>
      </c>
      <c r="P73" s="6" t="str">
        <f>_xlfn.XLOOKUP(Table1[[#This Row],[shipperID]],Table6[shipperID],Table6[companyName])</f>
        <v>Federal Shipping</v>
      </c>
      <c r="Q73">
        <f>YEAR(Table1[[#This Row],[OrderDate]])</f>
        <v>2013</v>
      </c>
      <c r="R73">
        <f>MONTH(Table1[[#This Row],[OrderDate]])</f>
        <v>10</v>
      </c>
      <c r="S73" t="str">
        <f>"Q"&amp;ROUNDUP(Table1[[#This Row],[month]]/3,0)</f>
        <v>Q4</v>
      </c>
      <c r="T73" t="str">
        <f>CONCATENATE(Table1[[#This Row],[year]],"-",Table1[[#This Row],[Quarter]])</f>
        <v>2013-Q4</v>
      </c>
      <c r="U73" s="6" t="str">
        <f>IF(H72="","Pending",IF(Table1[[#This Row],[Days to ship]]&lt;Table1[[#This Row],[RequiredDate]],"On Time","Late"))</f>
        <v>On Time</v>
      </c>
      <c r="V73">
        <f>_xlfn.XLOOKUP(Table1[[#This Row],[orderID]],Table3[orderID],Table3[unitPrice])</f>
        <v>31.2</v>
      </c>
    </row>
    <row r="74" spans="1:22" x14ac:dyDescent="0.45">
      <c r="A74" s="3">
        <v>10320</v>
      </c>
      <c r="B74" s="6" t="s">
        <v>192</v>
      </c>
      <c r="C74" s="3">
        <v>5</v>
      </c>
      <c r="D74" s="6" t="str">
        <f>_xlfn.XLOOKUP(Table1[[#This Row],[EmployeeID]],Table4[employeeID],Table4[employeeName])</f>
        <v>Steven Buchanan</v>
      </c>
      <c r="E74" s="1">
        <v>41550</v>
      </c>
      <c r="F74" s="1">
        <v>41564</v>
      </c>
      <c r="G74" s="1">
        <v>41565</v>
      </c>
      <c r="H74" s="3">
        <f>IF(Table1[[#This Row],[ShippedDate]]="","",IF(Table1[[#This Row],[OrderDate]]="","",Table1[[#This Row],[ShippedDate]]-Table1[[#This Row],[OrderDate]]))</f>
        <v>15</v>
      </c>
      <c r="I74" s="3">
        <v>3</v>
      </c>
      <c r="J74" s="2">
        <v>34.57</v>
      </c>
      <c r="K74" s="2">
        <f>SUMIF(order_details!A:A,Table1[[#This Row],[orderID]],order_details!F:F)</f>
        <v>516</v>
      </c>
      <c r="L74" s="9">
        <f>_xlfn.XLOOKUP(Table1[[#This Row],[orderID]],Table3[orderID],Table3[discount])</f>
        <v>0</v>
      </c>
      <c r="M74" s="2">
        <f>SUM(Table1[[#This Row],[Sales]],Table1[[#This Row],[freight]])</f>
        <v>550.57000000000005</v>
      </c>
      <c r="N74" s="3">
        <f>_xlfn.XLOOKUP(Table1[[#This Row],[orderID]],Table3[orderID],Table3[quantity])</f>
        <v>30</v>
      </c>
      <c r="O74" s="6" t="str">
        <f>_xlfn.XLOOKUP(Table1[[#This Row],[CustomerID]],customers!A:A,customers!B:B)</f>
        <v>Wartian Herkku</v>
      </c>
      <c r="P74" s="6" t="str">
        <f>_xlfn.XLOOKUP(Table1[[#This Row],[shipperID]],Table6[shipperID],Table6[companyName])</f>
        <v>Federal Shipping</v>
      </c>
      <c r="Q74">
        <f>YEAR(Table1[[#This Row],[OrderDate]])</f>
        <v>2013</v>
      </c>
      <c r="R74">
        <f>MONTH(Table1[[#This Row],[OrderDate]])</f>
        <v>10</v>
      </c>
      <c r="S74" t="str">
        <f>"Q"&amp;ROUNDUP(Table1[[#This Row],[month]]/3,0)</f>
        <v>Q4</v>
      </c>
      <c r="T74" t="str">
        <f>CONCATENATE(Table1[[#This Row],[year]],"-",Table1[[#This Row],[Quarter]])</f>
        <v>2013-Q4</v>
      </c>
      <c r="U74" s="6" t="str">
        <f>IF(H73="","Pending",IF(Table1[[#This Row],[Days to ship]]&lt;Table1[[#This Row],[RequiredDate]],"On Time","Late"))</f>
        <v>On Time</v>
      </c>
      <c r="V74">
        <f>_xlfn.XLOOKUP(Table1[[#This Row],[orderID]],Table3[orderID],Table3[unitPrice])</f>
        <v>17.2</v>
      </c>
    </row>
    <row r="75" spans="1:22" x14ac:dyDescent="0.45">
      <c r="A75" s="3">
        <v>10321</v>
      </c>
      <c r="B75" s="6" t="s">
        <v>220</v>
      </c>
      <c r="C75" s="3">
        <v>3</v>
      </c>
      <c r="D75" s="6" t="str">
        <f>_xlfn.XLOOKUP(Table1[[#This Row],[EmployeeID]],Table4[employeeID],Table4[employeeName])</f>
        <v>Janet Leverling</v>
      </c>
      <c r="E75" s="1">
        <v>41550</v>
      </c>
      <c r="F75" s="1">
        <v>41578</v>
      </c>
      <c r="G75" s="1">
        <v>41558</v>
      </c>
      <c r="H75" s="3">
        <f>IF(Table1[[#This Row],[ShippedDate]]="","",IF(Table1[[#This Row],[OrderDate]]="","",Table1[[#This Row],[ShippedDate]]-Table1[[#This Row],[OrderDate]]))</f>
        <v>8</v>
      </c>
      <c r="I75" s="3">
        <v>2</v>
      </c>
      <c r="J75" s="2">
        <v>3.43</v>
      </c>
      <c r="K75" s="2">
        <f>SUMIF(order_details!A:A,Table1[[#This Row],[orderID]],order_details!F:F)</f>
        <v>144</v>
      </c>
      <c r="L75" s="9">
        <f>_xlfn.XLOOKUP(Table1[[#This Row],[orderID]],Table3[orderID],Table3[discount])</f>
        <v>0</v>
      </c>
      <c r="M75" s="2">
        <f>SUM(Table1[[#This Row],[Sales]],Table1[[#This Row],[freight]])</f>
        <v>147.43</v>
      </c>
      <c r="N75" s="3">
        <f>_xlfn.XLOOKUP(Table1[[#This Row],[orderID]],Table3[orderID],Table3[quantity])</f>
        <v>10</v>
      </c>
      <c r="O75" s="6" t="str">
        <f>_xlfn.XLOOKUP(Table1[[#This Row],[CustomerID]],customers!A:A,customers!B:B)</f>
        <v>Island Trading</v>
      </c>
      <c r="P75" s="6" t="str">
        <f>_xlfn.XLOOKUP(Table1[[#This Row],[shipperID]],Table6[shipperID],Table6[companyName])</f>
        <v>United Package</v>
      </c>
      <c r="Q75">
        <f>YEAR(Table1[[#This Row],[OrderDate]])</f>
        <v>2013</v>
      </c>
      <c r="R75">
        <f>MONTH(Table1[[#This Row],[OrderDate]])</f>
        <v>10</v>
      </c>
      <c r="S75" t="str">
        <f>"Q"&amp;ROUNDUP(Table1[[#This Row],[month]]/3,0)</f>
        <v>Q4</v>
      </c>
      <c r="T75" t="str">
        <f>CONCATENATE(Table1[[#This Row],[year]],"-",Table1[[#This Row],[Quarter]])</f>
        <v>2013-Q4</v>
      </c>
      <c r="U75" s="6" t="str">
        <f>IF(H74="","Pending",IF(Table1[[#This Row],[Days to ship]]&lt;Table1[[#This Row],[RequiredDate]],"On Time","Late"))</f>
        <v>On Time</v>
      </c>
      <c r="V75">
        <f>_xlfn.XLOOKUP(Table1[[#This Row],[orderID]],Table3[orderID],Table3[unitPrice])</f>
        <v>14.4</v>
      </c>
    </row>
    <row r="76" spans="1:22" x14ac:dyDescent="0.45">
      <c r="A76" s="3">
        <v>10322</v>
      </c>
      <c r="B76" s="6" t="s">
        <v>157</v>
      </c>
      <c r="C76" s="3">
        <v>7</v>
      </c>
      <c r="D76" s="6" t="str">
        <f>_xlfn.XLOOKUP(Table1[[#This Row],[EmployeeID]],Table4[employeeID],Table4[employeeName])</f>
        <v>Robert King</v>
      </c>
      <c r="E76" s="1">
        <v>41551</v>
      </c>
      <c r="F76" s="1">
        <v>41579</v>
      </c>
      <c r="G76" s="1">
        <v>41570</v>
      </c>
      <c r="H76" s="3">
        <f>IF(Table1[[#This Row],[ShippedDate]]="","",IF(Table1[[#This Row],[OrderDate]]="","",Table1[[#This Row],[ShippedDate]]-Table1[[#This Row],[OrderDate]]))</f>
        <v>19</v>
      </c>
      <c r="I76" s="3">
        <v>3</v>
      </c>
      <c r="J76" s="2">
        <v>0.4</v>
      </c>
      <c r="K76" s="2">
        <f>SUMIF(order_details!A:A,Table1[[#This Row],[orderID]],order_details!F:F)</f>
        <v>112</v>
      </c>
      <c r="L76" s="9">
        <f>_xlfn.XLOOKUP(Table1[[#This Row],[orderID]],Table3[orderID],Table3[discount])</f>
        <v>0</v>
      </c>
      <c r="M76" s="2">
        <f>SUM(Table1[[#This Row],[Sales]],Table1[[#This Row],[freight]])</f>
        <v>112.4</v>
      </c>
      <c r="N76" s="3">
        <f>_xlfn.XLOOKUP(Table1[[#This Row],[orderID]],Table3[orderID],Table3[quantity])</f>
        <v>20</v>
      </c>
      <c r="O76" s="6" t="str">
        <f>_xlfn.XLOOKUP(Table1[[#This Row],[CustomerID]],customers!A:A,customers!B:B)</f>
        <v>Pericles Comidas clásicas</v>
      </c>
      <c r="P76" s="6" t="str">
        <f>_xlfn.XLOOKUP(Table1[[#This Row],[shipperID]],Table6[shipperID],Table6[companyName])</f>
        <v>Federal Shipping</v>
      </c>
      <c r="Q76">
        <f>YEAR(Table1[[#This Row],[OrderDate]])</f>
        <v>2013</v>
      </c>
      <c r="R76">
        <f>MONTH(Table1[[#This Row],[OrderDate]])</f>
        <v>10</v>
      </c>
      <c r="S76" t="str">
        <f>"Q"&amp;ROUNDUP(Table1[[#This Row],[month]]/3,0)</f>
        <v>Q4</v>
      </c>
      <c r="T76" t="str">
        <f>CONCATENATE(Table1[[#This Row],[year]],"-",Table1[[#This Row],[Quarter]])</f>
        <v>2013-Q4</v>
      </c>
      <c r="U76" s="6" t="str">
        <f>IF(H75="","Pending",IF(Table1[[#This Row],[Days to ship]]&lt;Table1[[#This Row],[RequiredDate]],"On Time","Late"))</f>
        <v>On Time</v>
      </c>
      <c r="V76">
        <f>_xlfn.XLOOKUP(Table1[[#This Row],[orderID]],Table3[orderID],Table3[unitPrice])</f>
        <v>5.6</v>
      </c>
    </row>
    <row r="77" spans="1:22" x14ac:dyDescent="0.45">
      <c r="A77" s="3">
        <v>10323</v>
      </c>
      <c r="B77" s="6" t="s">
        <v>191</v>
      </c>
      <c r="C77" s="3">
        <v>4</v>
      </c>
      <c r="D77" s="6" t="str">
        <f>_xlfn.XLOOKUP(Table1[[#This Row],[EmployeeID]],Table4[employeeID],Table4[employeeName])</f>
        <v>Margaret Peacock</v>
      </c>
      <c r="E77" s="1">
        <v>41554</v>
      </c>
      <c r="F77" s="1">
        <v>41582</v>
      </c>
      <c r="G77" s="1">
        <v>41561</v>
      </c>
      <c r="H77" s="3">
        <f>IF(Table1[[#This Row],[ShippedDate]]="","",IF(Table1[[#This Row],[OrderDate]]="","",Table1[[#This Row],[ShippedDate]]-Table1[[#This Row],[OrderDate]]))</f>
        <v>7</v>
      </c>
      <c r="I77" s="3">
        <v>1</v>
      </c>
      <c r="J77" s="2">
        <v>4.88</v>
      </c>
      <c r="K77" s="2">
        <f>SUMIF(order_details!A:A,Table1[[#This Row],[orderID]],order_details!F:F)</f>
        <v>164.4</v>
      </c>
      <c r="L77" s="9">
        <f>_xlfn.XLOOKUP(Table1[[#This Row],[orderID]],Table3[orderID],Table3[discount])</f>
        <v>0</v>
      </c>
      <c r="M77" s="2">
        <f>SUM(Table1[[#This Row],[Sales]],Table1[[#This Row],[freight]])</f>
        <v>169.28</v>
      </c>
      <c r="N77" s="3">
        <f>_xlfn.XLOOKUP(Table1[[#This Row],[orderID]],Table3[orderID],Table3[quantity])</f>
        <v>5</v>
      </c>
      <c r="O77" s="6" t="str">
        <f>_xlfn.XLOOKUP(Table1[[#This Row],[CustomerID]],customers!A:A,customers!B:B)</f>
        <v>Königlich Essen</v>
      </c>
      <c r="P77" s="6" t="str">
        <f>_xlfn.XLOOKUP(Table1[[#This Row],[shipperID]],Table6[shipperID],Table6[companyName])</f>
        <v>Speedy Express</v>
      </c>
      <c r="Q77">
        <f>YEAR(Table1[[#This Row],[OrderDate]])</f>
        <v>2013</v>
      </c>
      <c r="R77">
        <f>MONTH(Table1[[#This Row],[OrderDate]])</f>
        <v>10</v>
      </c>
      <c r="S77" t="str">
        <f>"Q"&amp;ROUNDUP(Table1[[#This Row],[month]]/3,0)</f>
        <v>Q4</v>
      </c>
      <c r="T77" t="str">
        <f>CONCATENATE(Table1[[#This Row],[year]],"-",Table1[[#This Row],[Quarter]])</f>
        <v>2013-Q4</v>
      </c>
      <c r="U77" s="6" t="str">
        <f>IF(H76="","Pending",IF(Table1[[#This Row],[Days to ship]]&lt;Table1[[#This Row],[RequiredDate]],"On Time","Late"))</f>
        <v>On Time</v>
      </c>
      <c r="V77">
        <f>_xlfn.XLOOKUP(Table1[[#This Row],[orderID]],Table3[orderID],Table3[unitPrice])</f>
        <v>12.4</v>
      </c>
    </row>
    <row r="78" spans="1:22" x14ac:dyDescent="0.45">
      <c r="A78" s="3">
        <v>10324</v>
      </c>
      <c r="B78" s="6" t="s">
        <v>165</v>
      </c>
      <c r="C78" s="3">
        <v>9</v>
      </c>
      <c r="D78" s="6" t="str">
        <f>_xlfn.XLOOKUP(Table1[[#This Row],[EmployeeID]],Table4[employeeID],Table4[employeeName])</f>
        <v>Anne Dodsworth</v>
      </c>
      <c r="E78" s="1">
        <v>41555</v>
      </c>
      <c r="F78" s="1">
        <v>41583</v>
      </c>
      <c r="G78" s="1">
        <v>41557</v>
      </c>
      <c r="H78" s="3">
        <f>IF(Table1[[#This Row],[ShippedDate]]="","",IF(Table1[[#This Row],[OrderDate]]="","",Table1[[#This Row],[ShippedDate]]-Table1[[#This Row],[OrderDate]]))</f>
        <v>2</v>
      </c>
      <c r="I78" s="3">
        <v>1</v>
      </c>
      <c r="J78" s="2">
        <v>214.27</v>
      </c>
      <c r="K78" s="2">
        <f>SUMIF(order_details!A:A,Table1[[#This Row],[orderID]],order_details!F:F)</f>
        <v>5275.7150000000001</v>
      </c>
      <c r="L78" s="9">
        <f>_xlfn.XLOOKUP(Table1[[#This Row],[orderID]],Table3[orderID],Table3[discount])</f>
        <v>0.15</v>
      </c>
      <c r="M78" s="2">
        <f>SUM(Table1[[#This Row],[Sales]],Table1[[#This Row],[freight]])</f>
        <v>5489.9850000000006</v>
      </c>
      <c r="N78" s="3">
        <f>_xlfn.XLOOKUP(Table1[[#This Row],[orderID]],Table3[orderID],Table3[quantity])</f>
        <v>21</v>
      </c>
      <c r="O78" s="6" t="str">
        <f>_xlfn.XLOOKUP(Table1[[#This Row],[CustomerID]],customers!A:A,customers!B:B)</f>
        <v>Save-a-lot Markets</v>
      </c>
      <c r="P78" s="6" t="str">
        <f>_xlfn.XLOOKUP(Table1[[#This Row],[shipperID]],Table6[shipperID],Table6[companyName])</f>
        <v>Speedy Express</v>
      </c>
      <c r="Q78">
        <f>YEAR(Table1[[#This Row],[OrderDate]])</f>
        <v>2013</v>
      </c>
      <c r="R78">
        <f>MONTH(Table1[[#This Row],[OrderDate]])</f>
        <v>10</v>
      </c>
      <c r="S78" t="str">
        <f>"Q"&amp;ROUNDUP(Table1[[#This Row],[month]]/3,0)</f>
        <v>Q4</v>
      </c>
      <c r="T78" t="str">
        <f>CONCATENATE(Table1[[#This Row],[year]],"-",Table1[[#This Row],[Quarter]])</f>
        <v>2013-Q4</v>
      </c>
      <c r="U78" s="6" t="str">
        <f>IF(H77="","Pending",IF(Table1[[#This Row],[Days to ship]]&lt;Table1[[#This Row],[RequiredDate]],"On Time","Late"))</f>
        <v>On Time</v>
      </c>
      <c r="V78">
        <f>_xlfn.XLOOKUP(Table1[[#This Row],[orderID]],Table3[orderID],Table3[unitPrice])</f>
        <v>13.9</v>
      </c>
    </row>
    <row r="79" spans="1:22" x14ac:dyDescent="0.45">
      <c r="A79" s="3">
        <v>10325</v>
      </c>
      <c r="B79" s="6" t="s">
        <v>191</v>
      </c>
      <c r="C79" s="3">
        <v>1</v>
      </c>
      <c r="D79" s="6" t="str">
        <f>_xlfn.XLOOKUP(Table1[[#This Row],[EmployeeID]],Table4[employeeID],Table4[employeeName])</f>
        <v>Nancy Davolio</v>
      </c>
      <c r="E79" s="1">
        <v>41556</v>
      </c>
      <c r="F79" s="1">
        <v>41570</v>
      </c>
      <c r="G79" s="1">
        <v>41561</v>
      </c>
      <c r="H79" s="3">
        <f>IF(Table1[[#This Row],[ShippedDate]]="","",IF(Table1[[#This Row],[OrderDate]]="","",Table1[[#This Row],[ShippedDate]]-Table1[[#This Row],[OrderDate]]))</f>
        <v>5</v>
      </c>
      <c r="I79" s="3">
        <v>3</v>
      </c>
      <c r="J79" s="2">
        <v>64.86</v>
      </c>
      <c r="K79" s="2">
        <f>SUMIF(order_details!A:A,Table1[[#This Row],[orderID]],order_details!F:F)</f>
        <v>1497</v>
      </c>
      <c r="L79" s="9">
        <f>_xlfn.XLOOKUP(Table1[[#This Row],[orderID]],Table3[orderID],Table3[discount])</f>
        <v>0</v>
      </c>
      <c r="M79" s="2">
        <f>SUM(Table1[[#This Row],[Sales]],Table1[[#This Row],[freight]])</f>
        <v>1561.86</v>
      </c>
      <c r="N79" s="3">
        <f>_xlfn.XLOOKUP(Table1[[#This Row],[orderID]],Table3[orderID],Table3[quantity])</f>
        <v>6</v>
      </c>
      <c r="O79" s="6" t="str">
        <f>_xlfn.XLOOKUP(Table1[[#This Row],[CustomerID]],customers!A:A,customers!B:B)</f>
        <v>Königlich Essen</v>
      </c>
      <c r="P79" s="6" t="str">
        <f>_xlfn.XLOOKUP(Table1[[#This Row],[shipperID]],Table6[shipperID],Table6[companyName])</f>
        <v>Federal Shipping</v>
      </c>
      <c r="Q79">
        <f>YEAR(Table1[[#This Row],[OrderDate]])</f>
        <v>2013</v>
      </c>
      <c r="R79">
        <f>MONTH(Table1[[#This Row],[OrderDate]])</f>
        <v>10</v>
      </c>
      <c r="S79" t="str">
        <f>"Q"&amp;ROUNDUP(Table1[[#This Row],[month]]/3,0)</f>
        <v>Q4</v>
      </c>
      <c r="T79" t="str">
        <f>CONCATENATE(Table1[[#This Row],[year]],"-",Table1[[#This Row],[Quarter]])</f>
        <v>2013-Q4</v>
      </c>
      <c r="U79" s="6" t="str">
        <f>IF(H78="","Pending",IF(Table1[[#This Row],[Days to ship]]&lt;Table1[[#This Row],[RequiredDate]],"On Time","Late"))</f>
        <v>On Time</v>
      </c>
      <c r="V79">
        <f>_xlfn.XLOOKUP(Table1[[#This Row],[orderID]],Table3[orderID],Table3[unitPrice])</f>
        <v>20</v>
      </c>
    </row>
    <row r="80" spans="1:22" x14ac:dyDescent="0.45">
      <c r="A80" s="3">
        <v>10326</v>
      </c>
      <c r="B80" s="6" t="s">
        <v>214</v>
      </c>
      <c r="C80" s="3">
        <v>4</v>
      </c>
      <c r="D80" s="6" t="str">
        <f>_xlfn.XLOOKUP(Table1[[#This Row],[EmployeeID]],Table4[employeeID],Table4[employeeName])</f>
        <v>Margaret Peacock</v>
      </c>
      <c r="E80" s="1">
        <v>41557</v>
      </c>
      <c r="F80" s="1">
        <v>41585</v>
      </c>
      <c r="G80" s="1">
        <v>41561</v>
      </c>
      <c r="H80" s="3">
        <f>IF(Table1[[#This Row],[ShippedDate]]="","",IF(Table1[[#This Row],[OrderDate]]="","",Table1[[#This Row],[ShippedDate]]-Table1[[#This Row],[OrderDate]]))</f>
        <v>4</v>
      </c>
      <c r="I80" s="3">
        <v>2</v>
      </c>
      <c r="J80" s="2">
        <v>77.92</v>
      </c>
      <c r="K80" s="2">
        <f>SUMIF(order_details!A:A,Table1[[#This Row],[orderID]],order_details!F:F)</f>
        <v>982</v>
      </c>
      <c r="L80" s="9">
        <f>_xlfn.XLOOKUP(Table1[[#This Row],[orderID]],Table3[orderID],Table3[discount])</f>
        <v>0</v>
      </c>
      <c r="M80" s="2">
        <f>SUM(Table1[[#This Row],[Sales]],Table1[[#This Row],[freight]])</f>
        <v>1059.92</v>
      </c>
      <c r="N80" s="3">
        <f>_xlfn.XLOOKUP(Table1[[#This Row],[orderID]],Table3[orderID],Table3[quantity])</f>
        <v>24</v>
      </c>
      <c r="O80" s="6" t="str">
        <f>_xlfn.XLOOKUP(Table1[[#This Row],[CustomerID]],customers!A:A,customers!B:B)</f>
        <v>Bólido Comidas preparadas</v>
      </c>
      <c r="P80" s="6" t="str">
        <f>_xlfn.XLOOKUP(Table1[[#This Row],[shipperID]],Table6[shipperID],Table6[companyName])</f>
        <v>United Package</v>
      </c>
      <c r="Q80">
        <f>YEAR(Table1[[#This Row],[OrderDate]])</f>
        <v>2013</v>
      </c>
      <c r="R80">
        <f>MONTH(Table1[[#This Row],[OrderDate]])</f>
        <v>10</v>
      </c>
      <c r="S80" t="str">
        <f>"Q"&amp;ROUNDUP(Table1[[#This Row],[month]]/3,0)</f>
        <v>Q4</v>
      </c>
      <c r="T80" t="str">
        <f>CONCATENATE(Table1[[#This Row],[year]],"-",Table1[[#This Row],[Quarter]])</f>
        <v>2013-Q4</v>
      </c>
      <c r="U80" s="6" t="str">
        <f>IF(H79="","Pending",IF(Table1[[#This Row],[Days to ship]]&lt;Table1[[#This Row],[RequiredDate]],"On Time","Late"))</f>
        <v>On Time</v>
      </c>
      <c r="V80">
        <f>_xlfn.XLOOKUP(Table1[[#This Row],[orderID]],Table3[orderID],Table3[unitPrice])</f>
        <v>17.600000000000001</v>
      </c>
    </row>
    <row r="81" spans="1:22" x14ac:dyDescent="0.45">
      <c r="A81" s="3">
        <v>10327</v>
      </c>
      <c r="B81" s="6" t="s">
        <v>179</v>
      </c>
      <c r="C81" s="3">
        <v>2</v>
      </c>
      <c r="D81" s="6" t="str">
        <f>_xlfn.XLOOKUP(Table1[[#This Row],[EmployeeID]],Table4[employeeID],Table4[employeeName])</f>
        <v>Andrew Fuller</v>
      </c>
      <c r="E81" s="1">
        <v>41558</v>
      </c>
      <c r="F81" s="1">
        <v>41586</v>
      </c>
      <c r="G81" s="1">
        <v>41561</v>
      </c>
      <c r="H81" s="3">
        <f>IF(Table1[[#This Row],[ShippedDate]]="","",IF(Table1[[#This Row],[OrderDate]]="","",Table1[[#This Row],[ShippedDate]]-Table1[[#This Row],[OrderDate]]))</f>
        <v>3</v>
      </c>
      <c r="I81" s="3">
        <v>1</v>
      </c>
      <c r="J81" s="2">
        <v>63.36</v>
      </c>
      <c r="K81" s="2">
        <f>SUMIF(order_details!A:A,Table1[[#This Row],[orderID]],order_details!F:F)</f>
        <v>1810</v>
      </c>
      <c r="L81" s="9">
        <f>_xlfn.XLOOKUP(Table1[[#This Row],[orderID]],Table3[orderID],Table3[discount])</f>
        <v>0.2</v>
      </c>
      <c r="M81" s="2">
        <f>SUM(Table1[[#This Row],[Sales]],Table1[[#This Row],[freight]])</f>
        <v>1873.36</v>
      </c>
      <c r="N81" s="3">
        <f>_xlfn.XLOOKUP(Table1[[#This Row],[orderID]],Table3[orderID],Table3[quantity])</f>
        <v>25</v>
      </c>
      <c r="O81" s="6" t="str">
        <f>_xlfn.XLOOKUP(Table1[[#This Row],[CustomerID]],customers!A:A,customers!B:B)</f>
        <v>Folk och fä HB</v>
      </c>
      <c r="P81" s="6" t="str">
        <f>_xlfn.XLOOKUP(Table1[[#This Row],[shipperID]],Table6[shipperID],Table6[companyName])</f>
        <v>Speedy Express</v>
      </c>
      <c r="Q81">
        <f>YEAR(Table1[[#This Row],[OrderDate]])</f>
        <v>2013</v>
      </c>
      <c r="R81">
        <f>MONTH(Table1[[#This Row],[OrderDate]])</f>
        <v>10</v>
      </c>
      <c r="S81" t="str">
        <f>"Q"&amp;ROUNDUP(Table1[[#This Row],[month]]/3,0)</f>
        <v>Q4</v>
      </c>
      <c r="T81" t="str">
        <f>CONCATENATE(Table1[[#This Row],[year]],"-",Table1[[#This Row],[Quarter]])</f>
        <v>2013-Q4</v>
      </c>
      <c r="U81" s="6" t="str">
        <f>IF(H80="","Pending",IF(Table1[[#This Row],[Days to ship]]&lt;Table1[[#This Row],[RequiredDate]],"On Time","Late"))</f>
        <v>On Time</v>
      </c>
      <c r="V81">
        <f>_xlfn.XLOOKUP(Table1[[#This Row],[orderID]],Table3[orderID],Table3[unitPrice])</f>
        <v>15.2</v>
      </c>
    </row>
    <row r="82" spans="1:22" x14ac:dyDescent="0.45">
      <c r="A82" s="3">
        <v>10328</v>
      </c>
      <c r="B82" s="6" t="s">
        <v>216</v>
      </c>
      <c r="C82" s="3">
        <v>4</v>
      </c>
      <c r="D82" s="6" t="str">
        <f>_xlfn.XLOOKUP(Table1[[#This Row],[EmployeeID]],Table4[employeeID],Table4[employeeName])</f>
        <v>Margaret Peacock</v>
      </c>
      <c r="E82" s="1">
        <v>41561</v>
      </c>
      <c r="F82" s="1">
        <v>41589</v>
      </c>
      <c r="G82" s="1">
        <v>41564</v>
      </c>
      <c r="H82" s="3">
        <f>IF(Table1[[#This Row],[ShippedDate]]="","",IF(Table1[[#This Row],[OrderDate]]="","",Table1[[#This Row],[ShippedDate]]-Table1[[#This Row],[OrderDate]]))</f>
        <v>3</v>
      </c>
      <c r="I82" s="3">
        <v>3</v>
      </c>
      <c r="J82" s="2">
        <v>87.03</v>
      </c>
      <c r="K82" s="2">
        <f>SUMIF(order_details!A:A,Table1[[#This Row],[orderID]],order_details!F:F)</f>
        <v>1168</v>
      </c>
      <c r="L82" s="9">
        <f>_xlfn.XLOOKUP(Table1[[#This Row],[orderID]],Table3[orderID],Table3[discount])</f>
        <v>0</v>
      </c>
      <c r="M82" s="2">
        <f>SUM(Table1[[#This Row],[Sales]],Table1[[#This Row],[freight]])</f>
        <v>1255.03</v>
      </c>
      <c r="N82" s="3">
        <f>_xlfn.XLOOKUP(Table1[[#This Row],[orderID]],Table3[orderID],Table3[quantity])</f>
        <v>9</v>
      </c>
      <c r="O82" s="6" t="str">
        <f>_xlfn.XLOOKUP(Table1[[#This Row],[CustomerID]],customers!A:A,customers!B:B)</f>
        <v>Furia Bacalhau e Frutos do Mar</v>
      </c>
      <c r="P82" s="6" t="str">
        <f>_xlfn.XLOOKUP(Table1[[#This Row],[shipperID]],Table6[shipperID],Table6[companyName])</f>
        <v>Federal Shipping</v>
      </c>
      <c r="Q82">
        <f>YEAR(Table1[[#This Row],[OrderDate]])</f>
        <v>2013</v>
      </c>
      <c r="R82">
        <f>MONTH(Table1[[#This Row],[OrderDate]])</f>
        <v>10</v>
      </c>
      <c r="S82" t="str">
        <f>"Q"&amp;ROUNDUP(Table1[[#This Row],[month]]/3,0)</f>
        <v>Q4</v>
      </c>
      <c r="T82" t="str">
        <f>CONCATENATE(Table1[[#This Row],[year]],"-",Table1[[#This Row],[Quarter]])</f>
        <v>2013-Q4</v>
      </c>
      <c r="U82" s="6" t="str">
        <f>IF(H81="","Pending",IF(Table1[[#This Row],[Days to ship]]&lt;Table1[[#This Row],[RequiredDate]],"On Time","Late"))</f>
        <v>On Time</v>
      </c>
      <c r="V82">
        <f>_xlfn.XLOOKUP(Table1[[#This Row],[orderID]],Table3[orderID],Table3[unitPrice])</f>
        <v>44</v>
      </c>
    </row>
    <row r="83" spans="1:22" x14ac:dyDescent="0.45">
      <c r="A83" s="3">
        <v>10329</v>
      </c>
      <c r="B83" s="6" t="s">
        <v>211</v>
      </c>
      <c r="C83" s="3">
        <v>4</v>
      </c>
      <c r="D83" s="6" t="str">
        <f>_xlfn.XLOOKUP(Table1[[#This Row],[EmployeeID]],Table4[employeeID],Table4[employeeName])</f>
        <v>Margaret Peacock</v>
      </c>
      <c r="E83" s="1">
        <v>41562</v>
      </c>
      <c r="F83" s="1">
        <v>41604</v>
      </c>
      <c r="G83" s="1">
        <v>41570</v>
      </c>
      <c r="H83" s="3">
        <f>IF(Table1[[#This Row],[ShippedDate]]="","",IF(Table1[[#This Row],[OrderDate]]="","",Table1[[#This Row],[ShippedDate]]-Table1[[#This Row],[OrderDate]]))</f>
        <v>8</v>
      </c>
      <c r="I83" s="3">
        <v>2</v>
      </c>
      <c r="J83" s="2">
        <v>191.67</v>
      </c>
      <c r="K83" s="2">
        <f>SUMIF(order_details!A:A,Table1[[#This Row],[orderID]],order_details!F:F)</f>
        <v>4578.43</v>
      </c>
      <c r="L83" s="9">
        <f>_xlfn.XLOOKUP(Table1[[#This Row],[orderID]],Table3[orderID],Table3[discount])</f>
        <v>0.05</v>
      </c>
      <c r="M83" s="2">
        <f>SUM(Table1[[#This Row],[Sales]],Table1[[#This Row],[freight]])</f>
        <v>4770.1000000000004</v>
      </c>
      <c r="N83" s="3">
        <f>_xlfn.XLOOKUP(Table1[[#This Row],[orderID]],Table3[orderID],Table3[quantity])</f>
        <v>10</v>
      </c>
      <c r="O83" s="6" t="str">
        <f>_xlfn.XLOOKUP(Table1[[#This Row],[CustomerID]],customers!A:A,customers!B:B)</f>
        <v>Split Rail Beer &amp; Ale</v>
      </c>
      <c r="P83" s="6" t="str">
        <f>_xlfn.XLOOKUP(Table1[[#This Row],[shipperID]],Table6[shipperID],Table6[companyName])</f>
        <v>United Package</v>
      </c>
      <c r="Q83">
        <f>YEAR(Table1[[#This Row],[OrderDate]])</f>
        <v>2013</v>
      </c>
      <c r="R83">
        <f>MONTH(Table1[[#This Row],[OrderDate]])</f>
        <v>10</v>
      </c>
      <c r="S83" t="str">
        <f>"Q"&amp;ROUNDUP(Table1[[#This Row],[month]]/3,0)</f>
        <v>Q4</v>
      </c>
      <c r="T83" t="str">
        <f>CONCATENATE(Table1[[#This Row],[year]],"-",Table1[[#This Row],[Quarter]])</f>
        <v>2013-Q4</v>
      </c>
      <c r="U83" s="6" t="str">
        <f>IF(H82="","Pending",IF(Table1[[#This Row],[Days to ship]]&lt;Table1[[#This Row],[RequiredDate]],"On Time","Late"))</f>
        <v>On Time</v>
      </c>
      <c r="V83">
        <f>_xlfn.XLOOKUP(Table1[[#This Row],[orderID]],Table3[orderID],Table3[unitPrice])</f>
        <v>7.3</v>
      </c>
    </row>
    <row r="84" spans="1:22" x14ac:dyDescent="0.45">
      <c r="A84" s="3">
        <v>10330</v>
      </c>
      <c r="B84" s="6" t="s">
        <v>159</v>
      </c>
      <c r="C84" s="3">
        <v>3</v>
      </c>
      <c r="D84" s="6" t="str">
        <f>_xlfn.XLOOKUP(Table1[[#This Row],[EmployeeID]],Table4[employeeID],Table4[employeeName])</f>
        <v>Janet Leverling</v>
      </c>
      <c r="E84" s="1">
        <v>41563</v>
      </c>
      <c r="F84" s="1">
        <v>41591</v>
      </c>
      <c r="G84" s="1">
        <v>41575</v>
      </c>
      <c r="H84" s="3">
        <f>IF(Table1[[#This Row],[ShippedDate]]="","",IF(Table1[[#This Row],[OrderDate]]="","",Table1[[#This Row],[ShippedDate]]-Table1[[#This Row],[OrderDate]]))</f>
        <v>12</v>
      </c>
      <c r="I84" s="3">
        <v>1</v>
      </c>
      <c r="J84" s="2">
        <v>12.75</v>
      </c>
      <c r="K84" s="2">
        <f>SUMIF(order_details!A:A,Table1[[#This Row],[orderID]],order_details!F:F)</f>
        <v>1649</v>
      </c>
      <c r="L84" s="9">
        <f>_xlfn.XLOOKUP(Table1[[#This Row],[orderID]],Table3[orderID],Table3[discount])</f>
        <v>0.15</v>
      </c>
      <c r="M84" s="2">
        <f>SUM(Table1[[#This Row],[Sales]],Table1[[#This Row],[freight]])</f>
        <v>1661.75</v>
      </c>
      <c r="N84" s="3">
        <f>_xlfn.XLOOKUP(Table1[[#This Row],[orderID]],Table3[orderID],Table3[quantity])</f>
        <v>50</v>
      </c>
      <c r="O84" s="6" t="str">
        <f>_xlfn.XLOOKUP(Table1[[#This Row],[CustomerID]],customers!A:A,customers!B:B)</f>
        <v>LILA-Supermercado</v>
      </c>
      <c r="P84" s="6" t="str">
        <f>_xlfn.XLOOKUP(Table1[[#This Row],[shipperID]],Table6[shipperID],Table6[companyName])</f>
        <v>Speedy Express</v>
      </c>
      <c r="Q84">
        <f>YEAR(Table1[[#This Row],[OrderDate]])</f>
        <v>2013</v>
      </c>
      <c r="R84">
        <f>MONTH(Table1[[#This Row],[OrderDate]])</f>
        <v>10</v>
      </c>
      <c r="S84" t="str">
        <f>"Q"&amp;ROUNDUP(Table1[[#This Row],[month]]/3,0)</f>
        <v>Q4</v>
      </c>
      <c r="T84" t="str">
        <f>CONCATENATE(Table1[[#This Row],[year]],"-",Table1[[#This Row],[Quarter]])</f>
        <v>2013-Q4</v>
      </c>
      <c r="U84" s="6" t="str">
        <f>IF(H83="","Pending",IF(Table1[[#This Row],[Days to ship]]&lt;Table1[[#This Row],[RequiredDate]],"On Time","Late"))</f>
        <v>On Time</v>
      </c>
      <c r="V84">
        <f>_xlfn.XLOOKUP(Table1[[#This Row],[orderID]],Table3[orderID],Table3[unitPrice])</f>
        <v>24.9</v>
      </c>
    </row>
    <row r="85" spans="1:22" x14ac:dyDescent="0.45">
      <c r="A85" s="3">
        <v>10331</v>
      </c>
      <c r="B85" s="6" t="s">
        <v>154</v>
      </c>
      <c r="C85" s="3">
        <v>9</v>
      </c>
      <c r="D85" s="6" t="str">
        <f>_xlfn.XLOOKUP(Table1[[#This Row],[EmployeeID]],Table4[employeeID],Table4[employeeName])</f>
        <v>Anne Dodsworth</v>
      </c>
      <c r="E85" s="1">
        <v>41563</v>
      </c>
      <c r="F85" s="1">
        <v>41605</v>
      </c>
      <c r="G85" s="1">
        <v>41568</v>
      </c>
      <c r="H85" s="3">
        <f>IF(Table1[[#This Row],[ShippedDate]]="","",IF(Table1[[#This Row],[OrderDate]]="","",Table1[[#This Row],[ShippedDate]]-Table1[[#This Row],[OrderDate]]))</f>
        <v>5</v>
      </c>
      <c r="I85" s="3">
        <v>1</v>
      </c>
      <c r="J85" s="2">
        <v>10.19</v>
      </c>
      <c r="K85" s="2">
        <f>SUMIF(order_details!A:A,Table1[[#This Row],[orderID]],order_details!F:F)</f>
        <v>88.5</v>
      </c>
      <c r="L85" s="9">
        <f>_xlfn.XLOOKUP(Table1[[#This Row],[orderID]],Table3[orderID],Table3[discount])</f>
        <v>0</v>
      </c>
      <c r="M85" s="2">
        <f>SUM(Table1[[#This Row],[Sales]],Table1[[#This Row],[freight]])</f>
        <v>98.69</v>
      </c>
      <c r="N85" s="3">
        <f>_xlfn.XLOOKUP(Table1[[#This Row],[orderID]],Table3[orderID],Table3[quantity])</f>
        <v>15</v>
      </c>
      <c r="O85" s="6" t="str">
        <f>_xlfn.XLOOKUP(Table1[[#This Row],[CustomerID]],customers!A:A,customers!B:B)</f>
        <v>Bon app'</v>
      </c>
      <c r="P85" s="6" t="str">
        <f>_xlfn.XLOOKUP(Table1[[#This Row],[shipperID]],Table6[shipperID],Table6[companyName])</f>
        <v>Speedy Express</v>
      </c>
      <c r="Q85">
        <f>YEAR(Table1[[#This Row],[OrderDate]])</f>
        <v>2013</v>
      </c>
      <c r="R85">
        <f>MONTH(Table1[[#This Row],[OrderDate]])</f>
        <v>10</v>
      </c>
      <c r="S85" t="str">
        <f>"Q"&amp;ROUNDUP(Table1[[#This Row],[month]]/3,0)</f>
        <v>Q4</v>
      </c>
      <c r="T85" t="str">
        <f>CONCATENATE(Table1[[#This Row],[year]],"-",Table1[[#This Row],[Quarter]])</f>
        <v>2013-Q4</v>
      </c>
      <c r="U85" s="6" t="str">
        <f>IF(H84="","Pending",IF(Table1[[#This Row],[Days to ship]]&lt;Table1[[#This Row],[RequiredDate]],"On Time","Late"))</f>
        <v>On Time</v>
      </c>
      <c r="V85">
        <f>_xlfn.XLOOKUP(Table1[[#This Row],[orderID]],Table3[orderID],Table3[unitPrice])</f>
        <v>5.9</v>
      </c>
    </row>
    <row r="86" spans="1:22" x14ac:dyDescent="0.45">
      <c r="A86" s="3">
        <v>10332</v>
      </c>
      <c r="B86" s="6" t="s">
        <v>238</v>
      </c>
      <c r="C86" s="3">
        <v>3</v>
      </c>
      <c r="D86" s="6" t="str">
        <f>_xlfn.XLOOKUP(Table1[[#This Row],[EmployeeID]],Table4[employeeID],Table4[employeeName])</f>
        <v>Janet Leverling</v>
      </c>
      <c r="E86" s="1">
        <v>41564</v>
      </c>
      <c r="F86" s="1">
        <v>41606</v>
      </c>
      <c r="G86" s="1">
        <v>41568</v>
      </c>
      <c r="H86" s="3">
        <f>IF(Table1[[#This Row],[ShippedDate]]="","",IF(Table1[[#This Row],[OrderDate]]="","",Table1[[#This Row],[ShippedDate]]-Table1[[#This Row],[OrderDate]]))</f>
        <v>4</v>
      </c>
      <c r="I86" s="3">
        <v>2</v>
      </c>
      <c r="J86" s="2">
        <v>52.84</v>
      </c>
      <c r="K86" s="2">
        <f>SUMIF(order_details!A:A,Table1[[#This Row],[orderID]],order_details!F:F)</f>
        <v>1786.8799999999999</v>
      </c>
      <c r="L86" s="9">
        <f>_xlfn.XLOOKUP(Table1[[#This Row],[orderID]],Table3[orderID],Table3[discount])</f>
        <v>0.2</v>
      </c>
      <c r="M86" s="2">
        <f>SUM(Table1[[#This Row],[Sales]],Table1[[#This Row],[freight]])</f>
        <v>1839.7199999999998</v>
      </c>
      <c r="N86" s="3">
        <f>_xlfn.XLOOKUP(Table1[[#This Row],[orderID]],Table3[orderID],Table3[quantity])</f>
        <v>40</v>
      </c>
      <c r="O86" s="6" t="str">
        <f>_xlfn.XLOOKUP(Table1[[#This Row],[CustomerID]],customers!A:A,customers!B:B)</f>
        <v>Mère Paillarde</v>
      </c>
      <c r="P86" s="6" t="str">
        <f>_xlfn.XLOOKUP(Table1[[#This Row],[shipperID]],Table6[shipperID],Table6[companyName])</f>
        <v>United Package</v>
      </c>
      <c r="Q86">
        <f>YEAR(Table1[[#This Row],[OrderDate]])</f>
        <v>2013</v>
      </c>
      <c r="R86">
        <f>MONTH(Table1[[#This Row],[OrderDate]])</f>
        <v>10</v>
      </c>
      <c r="S86" t="str">
        <f>"Q"&amp;ROUNDUP(Table1[[#This Row],[month]]/3,0)</f>
        <v>Q4</v>
      </c>
      <c r="T86" t="str">
        <f>CONCATENATE(Table1[[#This Row],[year]],"-",Table1[[#This Row],[Quarter]])</f>
        <v>2013-Q4</v>
      </c>
      <c r="U86" s="6" t="str">
        <f>IF(H85="","Pending",IF(Table1[[#This Row],[Days to ship]]&lt;Table1[[#This Row],[RequiredDate]],"On Time","Late"))</f>
        <v>On Time</v>
      </c>
      <c r="V86">
        <f>_xlfn.XLOOKUP(Table1[[#This Row],[orderID]],Table3[orderID],Table3[unitPrice])</f>
        <v>50</v>
      </c>
    </row>
    <row r="87" spans="1:22" x14ac:dyDescent="0.45">
      <c r="A87" s="3">
        <v>10333</v>
      </c>
      <c r="B87" s="6" t="s">
        <v>192</v>
      </c>
      <c r="C87" s="3">
        <v>5</v>
      </c>
      <c r="D87" s="6" t="str">
        <f>_xlfn.XLOOKUP(Table1[[#This Row],[EmployeeID]],Table4[employeeID],Table4[employeeName])</f>
        <v>Steven Buchanan</v>
      </c>
      <c r="E87" s="1">
        <v>41565</v>
      </c>
      <c r="F87" s="1">
        <v>41593</v>
      </c>
      <c r="G87" s="1">
        <v>41572</v>
      </c>
      <c r="H87" s="3">
        <f>IF(Table1[[#This Row],[ShippedDate]]="","",IF(Table1[[#This Row],[OrderDate]]="","",Table1[[#This Row],[ShippedDate]]-Table1[[#This Row],[OrderDate]]))</f>
        <v>7</v>
      </c>
      <c r="I87" s="3">
        <v>3</v>
      </c>
      <c r="J87" s="2">
        <v>0.59</v>
      </c>
      <c r="K87" s="2">
        <f>SUMIF(order_details!A:A,Table1[[#This Row],[orderID]],order_details!F:F)</f>
        <v>877.2</v>
      </c>
      <c r="L87" s="9">
        <f>_xlfn.XLOOKUP(Table1[[#This Row],[orderID]],Table3[orderID],Table3[discount])</f>
        <v>0</v>
      </c>
      <c r="M87" s="2">
        <f>SUM(Table1[[#This Row],[Sales]],Table1[[#This Row],[freight]])</f>
        <v>877.79000000000008</v>
      </c>
      <c r="N87" s="3">
        <f>_xlfn.XLOOKUP(Table1[[#This Row],[orderID]],Table3[orderID],Table3[quantity])</f>
        <v>10</v>
      </c>
      <c r="O87" s="6" t="str">
        <f>_xlfn.XLOOKUP(Table1[[#This Row],[CustomerID]],customers!A:A,customers!B:B)</f>
        <v>Wartian Herkku</v>
      </c>
      <c r="P87" s="6" t="str">
        <f>_xlfn.XLOOKUP(Table1[[#This Row],[shipperID]],Table6[shipperID],Table6[companyName])</f>
        <v>Federal Shipping</v>
      </c>
      <c r="Q87">
        <f>YEAR(Table1[[#This Row],[OrderDate]])</f>
        <v>2013</v>
      </c>
      <c r="R87">
        <f>MONTH(Table1[[#This Row],[OrderDate]])</f>
        <v>10</v>
      </c>
      <c r="S87" t="str">
        <f>"Q"&amp;ROUNDUP(Table1[[#This Row],[month]]/3,0)</f>
        <v>Q4</v>
      </c>
      <c r="T87" t="str">
        <f>CONCATENATE(Table1[[#This Row],[year]],"-",Table1[[#This Row],[Quarter]])</f>
        <v>2013-Q4</v>
      </c>
      <c r="U87" s="6" t="str">
        <f>IF(H86="","Pending",IF(Table1[[#This Row],[Days to ship]]&lt;Table1[[#This Row],[RequiredDate]],"On Time","Late"))</f>
        <v>On Time</v>
      </c>
      <c r="V87">
        <f>_xlfn.XLOOKUP(Table1[[#This Row],[orderID]],Table3[orderID],Table3[unitPrice])</f>
        <v>18.600000000000001</v>
      </c>
    </row>
    <row r="88" spans="1:22" x14ac:dyDescent="0.45">
      <c r="A88" s="3">
        <v>10334</v>
      </c>
      <c r="B88" s="6" t="s">
        <v>228</v>
      </c>
      <c r="C88" s="3">
        <v>8</v>
      </c>
      <c r="D88" s="6" t="str">
        <f>_xlfn.XLOOKUP(Table1[[#This Row],[EmployeeID]],Table4[employeeID],Table4[employeeName])</f>
        <v>Laura Callahan</v>
      </c>
      <c r="E88" s="1">
        <v>41568</v>
      </c>
      <c r="F88" s="1">
        <v>41596</v>
      </c>
      <c r="G88" s="1">
        <v>41575</v>
      </c>
      <c r="H88" s="3">
        <f>IF(Table1[[#This Row],[ShippedDate]]="","",IF(Table1[[#This Row],[OrderDate]]="","",Table1[[#This Row],[ShippedDate]]-Table1[[#This Row],[OrderDate]]))</f>
        <v>7</v>
      </c>
      <c r="I88" s="3">
        <v>2</v>
      </c>
      <c r="J88" s="2">
        <v>8.56</v>
      </c>
      <c r="K88" s="2">
        <f>SUMIF(order_details!A:A,Table1[[#This Row],[orderID]],order_details!F:F)</f>
        <v>144.80000000000001</v>
      </c>
      <c r="L88" s="9">
        <f>_xlfn.XLOOKUP(Table1[[#This Row],[orderID]],Table3[orderID],Table3[discount])</f>
        <v>0</v>
      </c>
      <c r="M88" s="2">
        <f>SUM(Table1[[#This Row],[Sales]],Table1[[#This Row],[freight]])</f>
        <v>153.36000000000001</v>
      </c>
      <c r="N88" s="3">
        <f>_xlfn.XLOOKUP(Table1[[#This Row],[orderID]],Table3[orderID],Table3[quantity])</f>
        <v>8</v>
      </c>
      <c r="O88" s="6" t="str">
        <f>_xlfn.XLOOKUP(Table1[[#This Row],[CustomerID]],customers!A:A,customers!B:B)</f>
        <v>Victuailles en stock</v>
      </c>
      <c r="P88" s="6" t="str">
        <f>_xlfn.XLOOKUP(Table1[[#This Row],[shipperID]],Table6[shipperID],Table6[companyName])</f>
        <v>United Package</v>
      </c>
      <c r="Q88">
        <f>YEAR(Table1[[#This Row],[OrderDate]])</f>
        <v>2013</v>
      </c>
      <c r="R88">
        <f>MONTH(Table1[[#This Row],[OrderDate]])</f>
        <v>10</v>
      </c>
      <c r="S88" t="str">
        <f>"Q"&amp;ROUNDUP(Table1[[#This Row],[month]]/3,0)</f>
        <v>Q4</v>
      </c>
      <c r="T88" t="str">
        <f>CONCATENATE(Table1[[#This Row],[year]],"-",Table1[[#This Row],[Quarter]])</f>
        <v>2013-Q4</v>
      </c>
      <c r="U88" s="6" t="str">
        <f>IF(H87="","Pending",IF(Table1[[#This Row],[Days to ship]]&lt;Table1[[#This Row],[RequiredDate]],"On Time","Late"))</f>
        <v>On Time</v>
      </c>
      <c r="V88">
        <f>_xlfn.XLOOKUP(Table1[[#This Row],[orderID]],Table3[orderID],Table3[unitPrice])</f>
        <v>5.6</v>
      </c>
    </row>
    <row r="89" spans="1:22" x14ac:dyDescent="0.45">
      <c r="A89" s="3">
        <v>10335</v>
      </c>
      <c r="B89" s="6" t="s">
        <v>166</v>
      </c>
      <c r="C89" s="3">
        <v>7</v>
      </c>
      <c r="D89" s="6" t="str">
        <f>_xlfn.XLOOKUP(Table1[[#This Row],[EmployeeID]],Table4[employeeID],Table4[employeeName])</f>
        <v>Robert King</v>
      </c>
      <c r="E89" s="1">
        <v>41569</v>
      </c>
      <c r="F89" s="1">
        <v>41597</v>
      </c>
      <c r="G89" s="1">
        <v>41571</v>
      </c>
      <c r="H89" s="3">
        <f>IF(Table1[[#This Row],[ShippedDate]]="","",IF(Table1[[#This Row],[OrderDate]]="","",Table1[[#This Row],[ShippedDate]]-Table1[[#This Row],[OrderDate]]))</f>
        <v>2</v>
      </c>
      <c r="I89" s="3">
        <v>2</v>
      </c>
      <c r="J89" s="2">
        <v>42.11</v>
      </c>
      <c r="K89" s="2">
        <f>SUMIF(order_details!A:A,Table1[[#This Row],[orderID]],order_details!F:F)</f>
        <v>2036.1599999999999</v>
      </c>
      <c r="L89" s="9">
        <f>_xlfn.XLOOKUP(Table1[[#This Row],[orderID]],Table3[orderID],Table3[discount])</f>
        <v>0.2</v>
      </c>
      <c r="M89" s="2">
        <f>SUM(Table1[[#This Row],[Sales]],Table1[[#This Row],[freight]])</f>
        <v>2078.27</v>
      </c>
      <c r="N89" s="3">
        <f>_xlfn.XLOOKUP(Table1[[#This Row],[orderID]],Table3[orderID],Table3[quantity])</f>
        <v>7</v>
      </c>
      <c r="O89" s="6" t="str">
        <f>_xlfn.XLOOKUP(Table1[[#This Row],[CustomerID]],customers!A:A,customers!B:B)</f>
        <v>Hungry Owl All-Night Grocers</v>
      </c>
      <c r="P89" s="6" t="str">
        <f>_xlfn.XLOOKUP(Table1[[#This Row],[shipperID]],Table6[shipperID],Table6[companyName])</f>
        <v>United Package</v>
      </c>
      <c r="Q89">
        <f>YEAR(Table1[[#This Row],[OrderDate]])</f>
        <v>2013</v>
      </c>
      <c r="R89">
        <f>MONTH(Table1[[#This Row],[OrderDate]])</f>
        <v>10</v>
      </c>
      <c r="S89" t="str">
        <f>"Q"&amp;ROUNDUP(Table1[[#This Row],[month]]/3,0)</f>
        <v>Q4</v>
      </c>
      <c r="T89" t="str">
        <f>CONCATENATE(Table1[[#This Row],[year]],"-",Table1[[#This Row],[Quarter]])</f>
        <v>2013-Q4</v>
      </c>
      <c r="U89" s="6" t="str">
        <f>IF(H88="","Pending",IF(Table1[[#This Row],[Days to ship]]&lt;Table1[[#This Row],[RequiredDate]],"On Time","Late"))</f>
        <v>On Time</v>
      </c>
      <c r="V89">
        <f>_xlfn.XLOOKUP(Table1[[#This Row],[orderID]],Table3[orderID],Table3[unitPrice])</f>
        <v>15.2</v>
      </c>
    </row>
    <row r="90" spans="1:22" x14ac:dyDescent="0.45">
      <c r="A90" s="3">
        <v>10336</v>
      </c>
      <c r="B90" s="6" t="s">
        <v>203</v>
      </c>
      <c r="C90" s="3">
        <v>7</v>
      </c>
      <c r="D90" s="6" t="str">
        <f>_xlfn.XLOOKUP(Table1[[#This Row],[EmployeeID]],Table4[employeeID],Table4[employeeName])</f>
        <v>Robert King</v>
      </c>
      <c r="E90" s="1">
        <v>41570</v>
      </c>
      <c r="F90" s="1">
        <v>41598</v>
      </c>
      <c r="G90" s="1">
        <v>41572</v>
      </c>
      <c r="H90" s="3">
        <f>IF(Table1[[#This Row],[ShippedDate]]="","",IF(Table1[[#This Row],[OrderDate]]="","",Table1[[#This Row],[ShippedDate]]-Table1[[#This Row],[OrderDate]]))</f>
        <v>2</v>
      </c>
      <c r="I90" s="3">
        <v>2</v>
      </c>
      <c r="J90" s="2">
        <v>15.51</v>
      </c>
      <c r="K90" s="2">
        <f>SUMIF(order_details!A:A,Table1[[#This Row],[orderID]],order_details!F:F)</f>
        <v>285.12</v>
      </c>
      <c r="L90" s="9">
        <f>_xlfn.XLOOKUP(Table1[[#This Row],[orderID]],Table3[orderID],Table3[discount])</f>
        <v>0.1</v>
      </c>
      <c r="M90" s="2">
        <f>SUM(Table1[[#This Row],[Sales]],Table1[[#This Row],[freight]])</f>
        <v>300.63</v>
      </c>
      <c r="N90" s="3">
        <f>_xlfn.XLOOKUP(Table1[[#This Row],[orderID]],Table3[orderID],Table3[quantity])</f>
        <v>18</v>
      </c>
      <c r="O90" s="6" t="str">
        <f>_xlfn.XLOOKUP(Table1[[#This Row],[CustomerID]],customers!A:A,customers!B:B)</f>
        <v>Princesa Isabel Vinhos</v>
      </c>
      <c r="P90" s="6" t="str">
        <f>_xlfn.XLOOKUP(Table1[[#This Row],[shipperID]],Table6[shipperID],Table6[companyName])</f>
        <v>United Package</v>
      </c>
      <c r="Q90">
        <f>YEAR(Table1[[#This Row],[OrderDate]])</f>
        <v>2013</v>
      </c>
      <c r="R90">
        <f>MONTH(Table1[[#This Row],[OrderDate]])</f>
        <v>10</v>
      </c>
      <c r="S90" t="str">
        <f>"Q"&amp;ROUNDUP(Table1[[#This Row],[month]]/3,0)</f>
        <v>Q4</v>
      </c>
      <c r="T90" t="str">
        <f>CONCATENATE(Table1[[#This Row],[year]],"-",Table1[[#This Row],[Quarter]])</f>
        <v>2013-Q4</v>
      </c>
      <c r="U90" s="6" t="str">
        <f>IF(H89="","Pending",IF(Table1[[#This Row],[Days to ship]]&lt;Table1[[#This Row],[RequiredDate]],"On Time","Late"))</f>
        <v>On Time</v>
      </c>
      <c r="V90">
        <f>_xlfn.XLOOKUP(Table1[[#This Row],[orderID]],Table3[orderID],Table3[unitPrice])</f>
        <v>17.600000000000001</v>
      </c>
    </row>
    <row r="91" spans="1:22" x14ac:dyDescent="0.45">
      <c r="A91" s="3">
        <v>10337</v>
      </c>
      <c r="B91" s="6" t="s">
        <v>201</v>
      </c>
      <c r="C91" s="3">
        <v>4</v>
      </c>
      <c r="D91" s="6" t="str">
        <f>_xlfn.XLOOKUP(Table1[[#This Row],[EmployeeID]],Table4[employeeID],Table4[employeeName])</f>
        <v>Margaret Peacock</v>
      </c>
      <c r="E91" s="1">
        <v>41571</v>
      </c>
      <c r="F91" s="1">
        <v>41599</v>
      </c>
      <c r="G91" s="1">
        <v>41576</v>
      </c>
      <c r="H91" s="3">
        <f>IF(Table1[[#This Row],[ShippedDate]]="","",IF(Table1[[#This Row],[OrderDate]]="","",Table1[[#This Row],[ShippedDate]]-Table1[[#This Row],[OrderDate]]))</f>
        <v>5</v>
      </c>
      <c r="I91" s="3">
        <v>3</v>
      </c>
      <c r="J91" s="2">
        <v>108.26</v>
      </c>
      <c r="K91" s="2">
        <f>SUMIF(order_details!A:A,Table1[[#This Row],[orderID]],order_details!F:F)</f>
        <v>2467</v>
      </c>
      <c r="L91" s="9">
        <f>_xlfn.XLOOKUP(Table1[[#This Row],[orderID]],Table3[orderID],Table3[discount])</f>
        <v>0</v>
      </c>
      <c r="M91" s="2">
        <f>SUM(Table1[[#This Row],[Sales]],Table1[[#This Row],[freight]])</f>
        <v>2575.2600000000002</v>
      </c>
      <c r="N91" s="3">
        <f>_xlfn.XLOOKUP(Table1[[#This Row],[orderID]],Table3[orderID],Table3[quantity])</f>
        <v>40</v>
      </c>
      <c r="O91" s="6" t="str">
        <f>_xlfn.XLOOKUP(Table1[[#This Row],[CustomerID]],customers!A:A,customers!B:B)</f>
        <v>Frankenversand</v>
      </c>
      <c r="P91" s="6" t="str">
        <f>_xlfn.XLOOKUP(Table1[[#This Row],[shipperID]],Table6[shipperID],Table6[companyName])</f>
        <v>Federal Shipping</v>
      </c>
      <c r="Q91">
        <f>YEAR(Table1[[#This Row],[OrderDate]])</f>
        <v>2013</v>
      </c>
      <c r="R91">
        <f>MONTH(Table1[[#This Row],[OrderDate]])</f>
        <v>10</v>
      </c>
      <c r="S91" t="str">
        <f>"Q"&amp;ROUNDUP(Table1[[#This Row],[month]]/3,0)</f>
        <v>Q4</v>
      </c>
      <c r="T91" t="str">
        <f>CONCATENATE(Table1[[#This Row],[year]],"-",Table1[[#This Row],[Quarter]])</f>
        <v>2013-Q4</v>
      </c>
      <c r="U91" s="6" t="str">
        <f>IF(H90="","Pending",IF(Table1[[#This Row],[Days to ship]]&lt;Table1[[#This Row],[RequiredDate]],"On Time","Late"))</f>
        <v>On Time</v>
      </c>
      <c r="V91">
        <f>_xlfn.XLOOKUP(Table1[[#This Row],[orderID]],Table3[orderID],Table3[unitPrice])</f>
        <v>7.2</v>
      </c>
    </row>
    <row r="92" spans="1:22" x14ac:dyDescent="0.45">
      <c r="A92" s="3">
        <v>10338</v>
      </c>
      <c r="B92" s="6" t="s">
        <v>190</v>
      </c>
      <c r="C92" s="3">
        <v>4</v>
      </c>
      <c r="D92" s="6" t="str">
        <f>_xlfn.XLOOKUP(Table1[[#This Row],[EmployeeID]],Table4[employeeID],Table4[employeeName])</f>
        <v>Margaret Peacock</v>
      </c>
      <c r="E92" s="1">
        <v>41572</v>
      </c>
      <c r="F92" s="1">
        <v>41600</v>
      </c>
      <c r="G92" s="1">
        <v>41576</v>
      </c>
      <c r="H92" s="3">
        <f>IF(Table1[[#This Row],[ShippedDate]]="","",IF(Table1[[#This Row],[OrderDate]]="","",Table1[[#This Row],[ShippedDate]]-Table1[[#This Row],[OrderDate]]))</f>
        <v>4</v>
      </c>
      <c r="I92" s="3">
        <v>3</v>
      </c>
      <c r="J92" s="2">
        <v>84.21</v>
      </c>
      <c r="K92" s="2">
        <f>SUMIF(order_details!A:A,Table1[[#This Row],[orderID]],order_details!F:F)</f>
        <v>934.5</v>
      </c>
      <c r="L92" s="9">
        <f>_xlfn.XLOOKUP(Table1[[#This Row],[orderID]],Table3[orderID],Table3[discount])</f>
        <v>0</v>
      </c>
      <c r="M92" s="2">
        <f>SUM(Table1[[#This Row],[Sales]],Table1[[#This Row],[freight]])</f>
        <v>1018.71</v>
      </c>
      <c r="N92" s="3">
        <f>_xlfn.XLOOKUP(Table1[[#This Row],[orderID]],Table3[orderID],Table3[quantity])</f>
        <v>20</v>
      </c>
      <c r="O92" s="6" t="str">
        <f>_xlfn.XLOOKUP(Table1[[#This Row],[CustomerID]],customers!A:A,customers!B:B)</f>
        <v>Old World Delicatessen</v>
      </c>
      <c r="P92" s="6" t="str">
        <f>_xlfn.XLOOKUP(Table1[[#This Row],[shipperID]],Table6[shipperID],Table6[companyName])</f>
        <v>Federal Shipping</v>
      </c>
      <c r="Q92">
        <f>YEAR(Table1[[#This Row],[OrderDate]])</f>
        <v>2013</v>
      </c>
      <c r="R92">
        <f>MONTH(Table1[[#This Row],[OrderDate]])</f>
        <v>10</v>
      </c>
      <c r="S92" t="str">
        <f>"Q"&amp;ROUNDUP(Table1[[#This Row],[month]]/3,0)</f>
        <v>Q4</v>
      </c>
      <c r="T92" t="str">
        <f>CONCATENATE(Table1[[#This Row],[year]],"-",Table1[[#This Row],[Quarter]])</f>
        <v>2013-Q4</v>
      </c>
      <c r="U92" s="6" t="str">
        <f>IF(H91="","Pending",IF(Table1[[#This Row],[Days to ship]]&lt;Table1[[#This Row],[RequiredDate]],"On Time","Late"))</f>
        <v>On Time</v>
      </c>
      <c r="V92">
        <f>_xlfn.XLOOKUP(Table1[[#This Row],[orderID]],Table3[orderID],Table3[unitPrice])</f>
        <v>31.2</v>
      </c>
    </row>
    <row r="93" spans="1:22" x14ac:dyDescent="0.45">
      <c r="A93" s="3">
        <v>10339</v>
      </c>
      <c r="B93" s="6" t="s">
        <v>238</v>
      </c>
      <c r="C93" s="3">
        <v>2</v>
      </c>
      <c r="D93" s="6" t="str">
        <f>_xlfn.XLOOKUP(Table1[[#This Row],[EmployeeID]],Table4[employeeID],Table4[employeeName])</f>
        <v>Andrew Fuller</v>
      </c>
      <c r="E93" s="1">
        <v>41575</v>
      </c>
      <c r="F93" s="1">
        <v>41603</v>
      </c>
      <c r="G93" s="1">
        <v>41582</v>
      </c>
      <c r="H93" s="3">
        <f>IF(Table1[[#This Row],[ShippedDate]]="","",IF(Table1[[#This Row],[OrderDate]]="","",Table1[[#This Row],[ShippedDate]]-Table1[[#This Row],[OrderDate]]))</f>
        <v>7</v>
      </c>
      <c r="I93" s="3">
        <v>2</v>
      </c>
      <c r="J93" s="2">
        <v>15.66</v>
      </c>
      <c r="K93" s="2">
        <f>SUMIF(order_details!A:A,Table1[[#This Row],[orderID]],order_details!F:F)</f>
        <v>3354</v>
      </c>
      <c r="L93" s="9">
        <f>_xlfn.XLOOKUP(Table1[[#This Row],[orderID]],Table3[orderID],Table3[discount])</f>
        <v>0</v>
      </c>
      <c r="M93" s="2">
        <f>SUM(Table1[[#This Row],[Sales]],Table1[[#This Row],[freight]])</f>
        <v>3369.66</v>
      </c>
      <c r="N93" s="3">
        <f>_xlfn.XLOOKUP(Table1[[#This Row],[orderID]],Table3[orderID],Table3[quantity])</f>
        <v>10</v>
      </c>
      <c r="O93" s="6" t="str">
        <f>_xlfn.XLOOKUP(Table1[[#This Row],[CustomerID]],customers!A:A,customers!B:B)</f>
        <v>Mère Paillarde</v>
      </c>
      <c r="P93" s="6" t="str">
        <f>_xlfn.XLOOKUP(Table1[[#This Row],[shipperID]],Table6[shipperID],Table6[companyName])</f>
        <v>United Package</v>
      </c>
      <c r="Q93">
        <f>YEAR(Table1[[#This Row],[OrderDate]])</f>
        <v>2013</v>
      </c>
      <c r="R93">
        <f>MONTH(Table1[[#This Row],[OrderDate]])</f>
        <v>10</v>
      </c>
      <c r="S93" t="str">
        <f>"Q"&amp;ROUNDUP(Table1[[#This Row],[month]]/3,0)</f>
        <v>Q4</v>
      </c>
      <c r="T93" t="str">
        <f>CONCATENATE(Table1[[#This Row],[year]],"-",Table1[[#This Row],[Quarter]])</f>
        <v>2013-Q4</v>
      </c>
      <c r="U93" s="6" t="str">
        <f>IF(H92="","Pending",IF(Table1[[#This Row],[Days to ship]]&lt;Table1[[#This Row],[RequiredDate]],"On Time","Late"))</f>
        <v>On Time</v>
      </c>
      <c r="V93">
        <f>_xlfn.XLOOKUP(Table1[[#This Row],[orderID]],Table3[orderID],Table3[unitPrice])</f>
        <v>17.600000000000001</v>
      </c>
    </row>
    <row r="94" spans="1:22" x14ac:dyDescent="0.45">
      <c r="A94" s="3">
        <v>10340</v>
      </c>
      <c r="B94" s="6" t="s">
        <v>154</v>
      </c>
      <c r="C94" s="3">
        <v>1</v>
      </c>
      <c r="D94" s="6" t="str">
        <f>_xlfn.XLOOKUP(Table1[[#This Row],[EmployeeID]],Table4[employeeID],Table4[employeeName])</f>
        <v>Nancy Davolio</v>
      </c>
      <c r="E94" s="1">
        <v>41576</v>
      </c>
      <c r="F94" s="1">
        <v>41604</v>
      </c>
      <c r="G94" s="1">
        <v>41586</v>
      </c>
      <c r="H94" s="3">
        <f>IF(Table1[[#This Row],[ShippedDate]]="","",IF(Table1[[#This Row],[OrderDate]]="","",Table1[[#This Row],[ShippedDate]]-Table1[[#This Row],[OrderDate]]))</f>
        <v>10</v>
      </c>
      <c r="I94" s="3">
        <v>3</v>
      </c>
      <c r="J94" s="2">
        <v>166.31</v>
      </c>
      <c r="K94" s="2">
        <f>SUMIF(order_details!A:A,Table1[[#This Row],[orderID]],order_details!F:F)</f>
        <v>2436.1799999999998</v>
      </c>
      <c r="L94" s="9">
        <f>_xlfn.XLOOKUP(Table1[[#This Row],[orderID]],Table3[orderID],Table3[discount])</f>
        <v>0.05</v>
      </c>
      <c r="M94" s="2">
        <f>SUM(Table1[[#This Row],[Sales]],Table1[[#This Row],[freight]])</f>
        <v>2602.4899999999998</v>
      </c>
      <c r="N94" s="3">
        <f>_xlfn.XLOOKUP(Table1[[#This Row],[orderID]],Table3[orderID],Table3[quantity])</f>
        <v>20</v>
      </c>
      <c r="O94" s="6" t="str">
        <f>_xlfn.XLOOKUP(Table1[[#This Row],[CustomerID]],customers!A:A,customers!B:B)</f>
        <v>Bon app'</v>
      </c>
      <c r="P94" s="6" t="str">
        <f>_xlfn.XLOOKUP(Table1[[#This Row],[shipperID]],Table6[shipperID],Table6[companyName])</f>
        <v>Federal Shipping</v>
      </c>
      <c r="Q94">
        <f>YEAR(Table1[[#This Row],[OrderDate]])</f>
        <v>2013</v>
      </c>
      <c r="R94">
        <f>MONTH(Table1[[#This Row],[OrderDate]])</f>
        <v>10</v>
      </c>
      <c r="S94" t="str">
        <f>"Q"&amp;ROUNDUP(Table1[[#This Row],[month]]/3,0)</f>
        <v>Q4</v>
      </c>
      <c r="T94" t="str">
        <f>CONCATENATE(Table1[[#This Row],[year]],"-",Table1[[#This Row],[Quarter]])</f>
        <v>2013-Q4</v>
      </c>
      <c r="U94" s="6" t="str">
        <f>IF(H93="","Pending",IF(Table1[[#This Row],[Days to ship]]&lt;Table1[[#This Row],[RequiredDate]],"On Time","Late"))</f>
        <v>On Time</v>
      </c>
      <c r="V94">
        <f>_xlfn.XLOOKUP(Table1[[#This Row],[orderID]],Table3[orderID],Table3[unitPrice])</f>
        <v>50</v>
      </c>
    </row>
    <row r="95" spans="1:22" x14ac:dyDescent="0.45">
      <c r="A95" s="3">
        <v>10341</v>
      </c>
      <c r="B95" s="6" t="s">
        <v>156</v>
      </c>
      <c r="C95" s="3">
        <v>7</v>
      </c>
      <c r="D95" s="6" t="str">
        <f>_xlfn.XLOOKUP(Table1[[#This Row],[EmployeeID]],Table4[employeeID],Table4[employeeName])</f>
        <v>Robert King</v>
      </c>
      <c r="E95" s="1">
        <v>41576</v>
      </c>
      <c r="F95" s="1">
        <v>41604</v>
      </c>
      <c r="G95" s="1">
        <v>41583</v>
      </c>
      <c r="H95" s="3">
        <f>IF(Table1[[#This Row],[ShippedDate]]="","",IF(Table1[[#This Row],[OrderDate]]="","",Table1[[#This Row],[ShippedDate]]-Table1[[#This Row],[OrderDate]]))</f>
        <v>7</v>
      </c>
      <c r="I95" s="3">
        <v>3</v>
      </c>
      <c r="J95" s="2">
        <v>26.78</v>
      </c>
      <c r="K95" s="2">
        <f>SUMIF(order_details!A:A,Table1[[#This Row],[orderID]],order_details!F:F)</f>
        <v>352.59999999999997</v>
      </c>
      <c r="L95" s="9">
        <f>_xlfn.XLOOKUP(Table1[[#This Row],[orderID]],Table3[orderID],Table3[discount])</f>
        <v>0</v>
      </c>
      <c r="M95" s="2">
        <f>SUM(Table1[[#This Row],[Sales]],Table1[[#This Row],[freight]])</f>
        <v>379.38</v>
      </c>
      <c r="N95" s="3">
        <f>_xlfn.XLOOKUP(Table1[[#This Row],[orderID]],Table3[orderID],Table3[quantity])</f>
        <v>8</v>
      </c>
      <c r="O95" s="6" t="str">
        <f>_xlfn.XLOOKUP(Table1[[#This Row],[CustomerID]],customers!A:A,customers!B:B)</f>
        <v>Simons bistro</v>
      </c>
      <c r="P95" s="6" t="str">
        <f>_xlfn.XLOOKUP(Table1[[#This Row],[shipperID]],Table6[shipperID],Table6[companyName])</f>
        <v>Federal Shipping</v>
      </c>
      <c r="Q95">
        <f>YEAR(Table1[[#This Row],[OrderDate]])</f>
        <v>2013</v>
      </c>
      <c r="R95">
        <f>MONTH(Table1[[#This Row],[OrderDate]])</f>
        <v>10</v>
      </c>
      <c r="S95" t="str">
        <f>"Q"&amp;ROUNDUP(Table1[[#This Row],[month]]/3,0)</f>
        <v>Q4</v>
      </c>
      <c r="T95" t="str">
        <f>CONCATENATE(Table1[[#This Row],[year]],"-",Table1[[#This Row],[Quarter]])</f>
        <v>2013-Q4</v>
      </c>
      <c r="U95" s="6" t="str">
        <f>IF(H94="","Pending",IF(Table1[[#This Row],[Days to ship]]&lt;Table1[[#This Row],[RequiredDate]],"On Time","Late"))</f>
        <v>On Time</v>
      </c>
      <c r="V95">
        <f>_xlfn.XLOOKUP(Table1[[#This Row],[orderID]],Table3[orderID],Table3[unitPrice])</f>
        <v>2</v>
      </c>
    </row>
    <row r="96" spans="1:22" x14ac:dyDescent="0.45">
      <c r="A96" s="3">
        <v>10342</v>
      </c>
      <c r="B96" s="6" t="s">
        <v>201</v>
      </c>
      <c r="C96" s="3">
        <v>4</v>
      </c>
      <c r="D96" s="6" t="str">
        <f>_xlfn.XLOOKUP(Table1[[#This Row],[EmployeeID]],Table4[employeeID],Table4[employeeName])</f>
        <v>Margaret Peacock</v>
      </c>
      <c r="E96" s="1">
        <v>41577</v>
      </c>
      <c r="F96" s="1">
        <v>41591</v>
      </c>
      <c r="G96" s="1">
        <v>41582</v>
      </c>
      <c r="H96" s="3">
        <f>IF(Table1[[#This Row],[ShippedDate]]="","",IF(Table1[[#This Row],[OrderDate]]="","",Table1[[#This Row],[ShippedDate]]-Table1[[#This Row],[OrderDate]]))</f>
        <v>5</v>
      </c>
      <c r="I96" s="3">
        <v>2</v>
      </c>
      <c r="J96" s="2">
        <v>54.83</v>
      </c>
      <c r="K96" s="2">
        <f>SUMIF(order_details!A:A,Table1[[#This Row],[orderID]],order_details!F:F)</f>
        <v>1840.64</v>
      </c>
      <c r="L96" s="9">
        <f>_xlfn.XLOOKUP(Table1[[#This Row],[orderID]],Table3[orderID],Table3[discount])</f>
        <v>0.2</v>
      </c>
      <c r="M96" s="2">
        <f>SUM(Table1[[#This Row],[Sales]],Table1[[#This Row],[freight]])</f>
        <v>1895.47</v>
      </c>
      <c r="N96" s="3">
        <f>_xlfn.XLOOKUP(Table1[[#This Row],[orderID]],Table3[orderID],Table3[quantity])</f>
        <v>24</v>
      </c>
      <c r="O96" s="6" t="str">
        <f>_xlfn.XLOOKUP(Table1[[#This Row],[CustomerID]],customers!A:A,customers!B:B)</f>
        <v>Frankenversand</v>
      </c>
      <c r="P96" s="6" t="str">
        <f>_xlfn.XLOOKUP(Table1[[#This Row],[shipperID]],Table6[shipperID],Table6[companyName])</f>
        <v>United Package</v>
      </c>
      <c r="Q96">
        <f>YEAR(Table1[[#This Row],[OrderDate]])</f>
        <v>2013</v>
      </c>
      <c r="R96">
        <f>MONTH(Table1[[#This Row],[OrderDate]])</f>
        <v>10</v>
      </c>
      <c r="S96" t="str">
        <f>"Q"&amp;ROUNDUP(Table1[[#This Row],[month]]/3,0)</f>
        <v>Q4</v>
      </c>
      <c r="T96" t="str">
        <f>CONCATENATE(Table1[[#This Row],[year]],"-",Table1[[#This Row],[Quarter]])</f>
        <v>2013-Q4</v>
      </c>
      <c r="U96" s="6" t="str">
        <f>IF(H95="","Pending",IF(Table1[[#This Row],[Days to ship]]&lt;Table1[[#This Row],[RequiredDate]],"On Time","Late"))</f>
        <v>On Time</v>
      </c>
      <c r="V96">
        <f>_xlfn.XLOOKUP(Table1[[#This Row],[orderID]],Table3[orderID],Table3[unitPrice])</f>
        <v>15.2</v>
      </c>
    </row>
    <row r="97" spans="1:22" x14ac:dyDescent="0.45">
      <c r="A97" s="3">
        <v>10343</v>
      </c>
      <c r="B97" s="6" t="s">
        <v>160</v>
      </c>
      <c r="C97" s="3">
        <v>4</v>
      </c>
      <c r="D97" s="6" t="str">
        <f>_xlfn.XLOOKUP(Table1[[#This Row],[EmployeeID]],Table4[employeeID],Table4[employeeName])</f>
        <v>Margaret Peacock</v>
      </c>
      <c r="E97" s="1">
        <v>41578</v>
      </c>
      <c r="F97" s="1">
        <v>41606</v>
      </c>
      <c r="G97" s="1">
        <v>41584</v>
      </c>
      <c r="H97" s="3">
        <f>IF(Table1[[#This Row],[ShippedDate]]="","",IF(Table1[[#This Row],[OrderDate]]="","",Table1[[#This Row],[ShippedDate]]-Table1[[#This Row],[OrderDate]]))</f>
        <v>6</v>
      </c>
      <c r="I97" s="3">
        <v>1</v>
      </c>
      <c r="J97" s="2">
        <v>110.37</v>
      </c>
      <c r="K97" s="2">
        <f>SUMIF(order_details!A:A,Table1[[#This Row],[orderID]],order_details!F:F)</f>
        <v>1584</v>
      </c>
      <c r="L97" s="9">
        <f>_xlfn.XLOOKUP(Table1[[#This Row],[orderID]],Table3[orderID],Table3[discount])</f>
        <v>0</v>
      </c>
      <c r="M97" s="2">
        <f>SUM(Table1[[#This Row],[Sales]],Table1[[#This Row],[freight]])</f>
        <v>1694.37</v>
      </c>
      <c r="N97" s="3">
        <f>_xlfn.XLOOKUP(Table1[[#This Row],[orderID]],Table3[orderID],Table3[quantity])</f>
        <v>50</v>
      </c>
      <c r="O97" s="6" t="str">
        <f>_xlfn.XLOOKUP(Table1[[#This Row],[CustomerID]],customers!A:A,customers!B:B)</f>
        <v>Lehmanns Marktstand</v>
      </c>
      <c r="P97" s="6" t="str">
        <f>_xlfn.XLOOKUP(Table1[[#This Row],[shipperID]],Table6[shipperID],Table6[companyName])</f>
        <v>Speedy Express</v>
      </c>
      <c r="Q97">
        <f>YEAR(Table1[[#This Row],[OrderDate]])</f>
        <v>2013</v>
      </c>
      <c r="R97">
        <f>MONTH(Table1[[#This Row],[OrderDate]])</f>
        <v>10</v>
      </c>
      <c r="S97" t="str">
        <f>"Q"&amp;ROUNDUP(Table1[[#This Row],[month]]/3,0)</f>
        <v>Q4</v>
      </c>
      <c r="T97" t="str">
        <f>CONCATENATE(Table1[[#This Row],[year]],"-",Table1[[#This Row],[Quarter]])</f>
        <v>2013-Q4</v>
      </c>
      <c r="U97" s="6" t="str">
        <f>IF(H96="","Pending",IF(Table1[[#This Row],[Days to ship]]&lt;Table1[[#This Row],[RequiredDate]],"On Time","Late"))</f>
        <v>On Time</v>
      </c>
      <c r="V97">
        <f>_xlfn.XLOOKUP(Table1[[#This Row],[orderID]],Table3[orderID],Table3[unitPrice])</f>
        <v>26.6</v>
      </c>
    </row>
    <row r="98" spans="1:22" x14ac:dyDescent="0.45">
      <c r="A98" s="3">
        <v>10344</v>
      </c>
      <c r="B98" s="6" t="s">
        <v>164</v>
      </c>
      <c r="C98" s="3">
        <v>4</v>
      </c>
      <c r="D98" s="6" t="str">
        <f>_xlfn.XLOOKUP(Table1[[#This Row],[EmployeeID]],Table4[employeeID],Table4[employeeName])</f>
        <v>Margaret Peacock</v>
      </c>
      <c r="E98" s="1">
        <v>41579</v>
      </c>
      <c r="F98" s="1">
        <v>41607</v>
      </c>
      <c r="G98" s="1">
        <v>41583</v>
      </c>
      <c r="H98" s="3">
        <f>IF(Table1[[#This Row],[ShippedDate]]="","",IF(Table1[[#This Row],[OrderDate]]="","",Table1[[#This Row],[ShippedDate]]-Table1[[#This Row],[OrderDate]]))</f>
        <v>4</v>
      </c>
      <c r="I98" s="3">
        <v>2</v>
      </c>
      <c r="J98" s="2">
        <v>23.29</v>
      </c>
      <c r="K98" s="2">
        <f>SUMIF(order_details!A:A,Table1[[#This Row],[orderID]],order_details!F:F)</f>
        <v>2296</v>
      </c>
      <c r="L98" s="9">
        <f>_xlfn.XLOOKUP(Table1[[#This Row],[orderID]],Table3[orderID],Table3[discount])</f>
        <v>0</v>
      </c>
      <c r="M98" s="2">
        <f>SUM(Table1[[#This Row],[Sales]],Table1[[#This Row],[freight]])</f>
        <v>2319.29</v>
      </c>
      <c r="N98" s="3">
        <f>_xlfn.XLOOKUP(Table1[[#This Row],[orderID]],Table3[orderID],Table3[quantity])</f>
        <v>35</v>
      </c>
      <c r="O98" s="6" t="str">
        <f>_xlfn.XLOOKUP(Table1[[#This Row],[CustomerID]],customers!A:A,customers!B:B)</f>
        <v>White Clover Markets</v>
      </c>
      <c r="P98" s="6" t="str">
        <f>_xlfn.XLOOKUP(Table1[[#This Row],[shipperID]],Table6[shipperID],Table6[companyName])</f>
        <v>United Package</v>
      </c>
      <c r="Q98">
        <f>YEAR(Table1[[#This Row],[OrderDate]])</f>
        <v>2013</v>
      </c>
      <c r="R98">
        <f>MONTH(Table1[[#This Row],[OrderDate]])</f>
        <v>11</v>
      </c>
      <c r="S98" t="str">
        <f>"Q"&amp;ROUNDUP(Table1[[#This Row],[month]]/3,0)</f>
        <v>Q4</v>
      </c>
      <c r="T98" t="str">
        <f>CONCATENATE(Table1[[#This Row],[year]],"-",Table1[[#This Row],[Quarter]])</f>
        <v>2013-Q4</v>
      </c>
      <c r="U98" s="6" t="str">
        <f>IF(H97="","Pending",IF(Table1[[#This Row],[Days to ship]]&lt;Table1[[#This Row],[RequiredDate]],"On Time","Late"))</f>
        <v>On Time</v>
      </c>
      <c r="V98">
        <f>_xlfn.XLOOKUP(Table1[[#This Row],[orderID]],Table3[orderID],Table3[unitPrice])</f>
        <v>17.600000000000001</v>
      </c>
    </row>
    <row r="99" spans="1:22" x14ac:dyDescent="0.45">
      <c r="A99" s="3">
        <v>10345</v>
      </c>
      <c r="B99" s="6" t="s">
        <v>194</v>
      </c>
      <c r="C99" s="3">
        <v>2</v>
      </c>
      <c r="D99" s="6" t="str">
        <f>_xlfn.XLOOKUP(Table1[[#This Row],[EmployeeID]],Table4[employeeID],Table4[employeeName])</f>
        <v>Andrew Fuller</v>
      </c>
      <c r="E99" s="1">
        <v>41582</v>
      </c>
      <c r="F99" s="1">
        <v>41610</v>
      </c>
      <c r="G99" s="1">
        <v>41589</v>
      </c>
      <c r="H99" s="3">
        <f>IF(Table1[[#This Row],[ShippedDate]]="","",IF(Table1[[#This Row],[OrderDate]]="","",Table1[[#This Row],[ShippedDate]]-Table1[[#This Row],[OrderDate]]))</f>
        <v>7</v>
      </c>
      <c r="I99" s="3">
        <v>2</v>
      </c>
      <c r="J99" s="2">
        <v>249.06</v>
      </c>
      <c r="K99" s="2">
        <f>SUMIF(order_details!A:A,Table1[[#This Row],[orderID]],order_details!F:F)</f>
        <v>2924.8</v>
      </c>
      <c r="L99" s="9">
        <f>_xlfn.XLOOKUP(Table1[[#This Row],[orderID]],Table3[orderID],Table3[discount])</f>
        <v>0</v>
      </c>
      <c r="M99" s="2">
        <f>SUM(Table1[[#This Row],[Sales]],Table1[[#This Row],[freight]])</f>
        <v>3173.86</v>
      </c>
      <c r="N99" s="3">
        <f>_xlfn.XLOOKUP(Table1[[#This Row],[orderID]],Table3[orderID],Table3[quantity])</f>
        <v>70</v>
      </c>
      <c r="O99" s="6" t="str">
        <f>_xlfn.XLOOKUP(Table1[[#This Row],[CustomerID]],customers!A:A,customers!B:B)</f>
        <v>QUICK-Stop</v>
      </c>
      <c r="P99" s="6" t="str">
        <f>_xlfn.XLOOKUP(Table1[[#This Row],[shipperID]],Table6[shipperID],Table6[companyName])</f>
        <v>United Package</v>
      </c>
      <c r="Q99">
        <f>YEAR(Table1[[#This Row],[OrderDate]])</f>
        <v>2013</v>
      </c>
      <c r="R99">
        <f>MONTH(Table1[[#This Row],[OrderDate]])</f>
        <v>11</v>
      </c>
      <c r="S99" t="str">
        <f>"Q"&amp;ROUNDUP(Table1[[#This Row],[month]]/3,0)</f>
        <v>Q4</v>
      </c>
      <c r="T99" t="str">
        <f>CONCATENATE(Table1[[#This Row],[year]],"-",Table1[[#This Row],[Quarter]])</f>
        <v>2013-Q4</v>
      </c>
      <c r="U99" s="6" t="str">
        <f>IF(H98="","Pending",IF(Table1[[#This Row],[Days to ship]]&lt;Table1[[#This Row],[RequiredDate]],"On Time","Late"))</f>
        <v>On Time</v>
      </c>
      <c r="V99">
        <f>_xlfn.XLOOKUP(Table1[[#This Row],[orderID]],Table3[orderID],Table3[unitPrice])</f>
        <v>32</v>
      </c>
    </row>
    <row r="100" spans="1:22" x14ac:dyDescent="0.45">
      <c r="A100" s="3">
        <v>10346</v>
      </c>
      <c r="B100" s="6" t="s">
        <v>153</v>
      </c>
      <c r="C100" s="3">
        <v>3</v>
      </c>
      <c r="D100" s="6" t="str">
        <f>_xlfn.XLOOKUP(Table1[[#This Row],[EmployeeID]],Table4[employeeID],Table4[employeeName])</f>
        <v>Janet Leverling</v>
      </c>
      <c r="E100" s="1">
        <v>41583</v>
      </c>
      <c r="F100" s="1">
        <v>41625</v>
      </c>
      <c r="G100" s="1">
        <v>41586</v>
      </c>
      <c r="H100" s="3">
        <f>IF(Table1[[#This Row],[ShippedDate]]="","",IF(Table1[[#This Row],[OrderDate]]="","",Table1[[#This Row],[ShippedDate]]-Table1[[#This Row],[OrderDate]]))</f>
        <v>3</v>
      </c>
      <c r="I100" s="3">
        <v>3</v>
      </c>
      <c r="J100" s="2">
        <v>142.08000000000001</v>
      </c>
      <c r="K100" s="2">
        <f>SUMIF(order_details!A:A,Table1[[#This Row],[orderID]],order_details!F:F)</f>
        <v>1618.88</v>
      </c>
      <c r="L100" s="9">
        <f>_xlfn.XLOOKUP(Table1[[#This Row],[orderID]],Table3[orderID],Table3[discount])</f>
        <v>0.1</v>
      </c>
      <c r="M100" s="2">
        <f>SUM(Table1[[#This Row],[Sales]],Table1[[#This Row],[freight]])</f>
        <v>1760.96</v>
      </c>
      <c r="N100" s="3">
        <f>_xlfn.XLOOKUP(Table1[[#This Row],[orderID]],Table3[orderID],Table3[quantity])</f>
        <v>36</v>
      </c>
      <c r="O100" s="6" t="str">
        <f>_xlfn.XLOOKUP(Table1[[#This Row],[CustomerID]],customers!A:A,customers!B:B)</f>
        <v>Rattlesnake Canyon Grocery</v>
      </c>
      <c r="P100" s="6" t="str">
        <f>_xlfn.XLOOKUP(Table1[[#This Row],[shipperID]],Table6[shipperID],Table6[companyName])</f>
        <v>Federal Shipping</v>
      </c>
      <c r="Q100">
        <f>YEAR(Table1[[#This Row],[OrderDate]])</f>
        <v>2013</v>
      </c>
      <c r="R100">
        <f>MONTH(Table1[[#This Row],[OrderDate]])</f>
        <v>11</v>
      </c>
      <c r="S100" t="str">
        <f>"Q"&amp;ROUNDUP(Table1[[#This Row],[month]]/3,0)</f>
        <v>Q4</v>
      </c>
      <c r="T100" t="str">
        <f>CONCATENATE(Table1[[#This Row],[year]],"-",Table1[[#This Row],[Quarter]])</f>
        <v>2013-Q4</v>
      </c>
      <c r="U100" s="6" t="str">
        <f>IF(H99="","Pending",IF(Table1[[#This Row],[Days to ship]]&lt;Table1[[#This Row],[RequiredDate]],"On Time","Late"))</f>
        <v>On Time</v>
      </c>
      <c r="V100">
        <f>_xlfn.XLOOKUP(Table1[[#This Row],[orderID]],Table3[orderID],Table3[unitPrice])</f>
        <v>31.2</v>
      </c>
    </row>
    <row r="101" spans="1:22" x14ac:dyDescent="0.45">
      <c r="A101" s="3">
        <v>10347</v>
      </c>
      <c r="B101" s="6" t="s">
        <v>237</v>
      </c>
      <c r="C101" s="3">
        <v>4</v>
      </c>
      <c r="D101" s="6" t="str">
        <f>_xlfn.XLOOKUP(Table1[[#This Row],[EmployeeID]],Table4[employeeID],Table4[employeeName])</f>
        <v>Margaret Peacock</v>
      </c>
      <c r="E101" s="1">
        <v>41584</v>
      </c>
      <c r="F101" s="1">
        <v>41612</v>
      </c>
      <c r="G101" s="1">
        <v>41586</v>
      </c>
      <c r="H101" s="3">
        <f>IF(Table1[[#This Row],[ShippedDate]]="","",IF(Table1[[#This Row],[OrderDate]]="","",Table1[[#This Row],[ShippedDate]]-Table1[[#This Row],[OrderDate]]))</f>
        <v>2</v>
      </c>
      <c r="I101" s="3">
        <v>3</v>
      </c>
      <c r="J101" s="2">
        <v>3.1</v>
      </c>
      <c r="K101" s="2">
        <f>SUMIF(order_details!A:A,Table1[[#This Row],[orderID]],order_details!F:F)</f>
        <v>814.42</v>
      </c>
      <c r="L101" s="9">
        <f>_xlfn.XLOOKUP(Table1[[#This Row],[orderID]],Table3[orderID],Table3[discount])</f>
        <v>0</v>
      </c>
      <c r="M101" s="2">
        <f>SUM(Table1[[#This Row],[Sales]],Table1[[#This Row],[freight]])</f>
        <v>817.52</v>
      </c>
      <c r="N101" s="3">
        <f>_xlfn.XLOOKUP(Table1[[#This Row],[orderID]],Table3[orderID],Table3[quantity])</f>
        <v>10</v>
      </c>
      <c r="O101" s="6" t="str">
        <f>_xlfn.XLOOKUP(Table1[[#This Row],[CustomerID]],customers!A:A,customers!B:B)</f>
        <v>Familia Arquibaldo</v>
      </c>
      <c r="P101" s="6" t="str">
        <f>_xlfn.XLOOKUP(Table1[[#This Row],[shipperID]],Table6[shipperID],Table6[companyName])</f>
        <v>Federal Shipping</v>
      </c>
      <c r="Q101">
        <f>YEAR(Table1[[#This Row],[OrderDate]])</f>
        <v>2013</v>
      </c>
      <c r="R101">
        <f>MONTH(Table1[[#This Row],[OrderDate]])</f>
        <v>11</v>
      </c>
      <c r="S101" t="str">
        <f>"Q"&amp;ROUNDUP(Table1[[#This Row],[month]]/3,0)</f>
        <v>Q4</v>
      </c>
      <c r="T101" t="str">
        <f>CONCATENATE(Table1[[#This Row],[year]],"-",Table1[[#This Row],[Quarter]])</f>
        <v>2013-Q4</v>
      </c>
      <c r="U101" s="6" t="str">
        <f>IF(H100="","Pending",IF(Table1[[#This Row],[Days to ship]]&lt;Table1[[#This Row],[RequiredDate]],"On Time","Late"))</f>
        <v>On Time</v>
      </c>
      <c r="V101">
        <f>_xlfn.XLOOKUP(Table1[[#This Row],[orderID]],Table3[orderID],Table3[unitPrice])</f>
        <v>11.2</v>
      </c>
    </row>
    <row r="102" spans="1:22" x14ac:dyDescent="0.45">
      <c r="A102" s="3">
        <v>10348</v>
      </c>
      <c r="B102" s="6" t="s">
        <v>182</v>
      </c>
      <c r="C102" s="3">
        <v>4</v>
      </c>
      <c r="D102" s="6" t="str">
        <f>_xlfn.XLOOKUP(Table1[[#This Row],[EmployeeID]],Table4[employeeID],Table4[employeeName])</f>
        <v>Margaret Peacock</v>
      </c>
      <c r="E102" s="1">
        <v>41585</v>
      </c>
      <c r="F102" s="1">
        <v>41613</v>
      </c>
      <c r="G102" s="1">
        <v>41593</v>
      </c>
      <c r="H102" s="3">
        <f>IF(Table1[[#This Row],[ShippedDate]]="","",IF(Table1[[#This Row],[OrderDate]]="","",Table1[[#This Row],[ShippedDate]]-Table1[[#This Row],[OrderDate]]))</f>
        <v>8</v>
      </c>
      <c r="I102" s="3">
        <v>2</v>
      </c>
      <c r="J102" s="2">
        <v>0.78</v>
      </c>
      <c r="K102" s="2">
        <f>SUMIF(order_details!A:A,Table1[[#This Row],[orderID]],order_details!F:F)</f>
        <v>363.6</v>
      </c>
      <c r="L102" s="9">
        <f>_xlfn.XLOOKUP(Table1[[#This Row],[orderID]],Table3[orderID],Table3[discount])</f>
        <v>0.15</v>
      </c>
      <c r="M102" s="2">
        <f>SUM(Table1[[#This Row],[Sales]],Table1[[#This Row],[freight]])</f>
        <v>364.38</v>
      </c>
      <c r="N102" s="3">
        <f>_xlfn.XLOOKUP(Table1[[#This Row],[orderID]],Table3[orderID],Table3[quantity])</f>
        <v>15</v>
      </c>
      <c r="O102" s="6" t="str">
        <f>_xlfn.XLOOKUP(Table1[[#This Row],[CustomerID]],customers!A:A,customers!B:B)</f>
        <v>Die Wandernde Kuh</v>
      </c>
      <c r="P102" s="6" t="str">
        <f>_xlfn.XLOOKUP(Table1[[#This Row],[shipperID]],Table6[shipperID],Table6[companyName])</f>
        <v>United Package</v>
      </c>
      <c r="Q102">
        <f>YEAR(Table1[[#This Row],[OrderDate]])</f>
        <v>2013</v>
      </c>
      <c r="R102">
        <f>MONTH(Table1[[#This Row],[OrderDate]])</f>
        <v>11</v>
      </c>
      <c r="S102" t="str">
        <f>"Q"&amp;ROUNDUP(Table1[[#This Row],[month]]/3,0)</f>
        <v>Q4</v>
      </c>
      <c r="T102" t="str">
        <f>CONCATENATE(Table1[[#This Row],[year]],"-",Table1[[#This Row],[Quarter]])</f>
        <v>2013-Q4</v>
      </c>
      <c r="U102" s="6" t="str">
        <f>IF(H101="","Pending",IF(Table1[[#This Row],[Days to ship]]&lt;Table1[[#This Row],[RequiredDate]],"On Time","Late"))</f>
        <v>On Time</v>
      </c>
      <c r="V102">
        <f>_xlfn.XLOOKUP(Table1[[#This Row],[orderID]],Table3[orderID],Table3[unitPrice])</f>
        <v>14.4</v>
      </c>
    </row>
    <row r="103" spans="1:22" x14ac:dyDescent="0.45">
      <c r="A103" s="3">
        <v>10349</v>
      </c>
      <c r="B103" s="6" t="s">
        <v>211</v>
      </c>
      <c r="C103" s="3">
        <v>7</v>
      </c>
      <c r="D103" s="6" t="str">
        <f>_xlfn.XLOOKUP(Table1[[#This Row],[EmployeeID]],Table4[employeeID],Table4[employeeName])</f>
        <v>Robert King</v>
      </c>
      <c r="E103" s="1">
        <v>41586</v>
      </c>
      <c r="F103" s="1">
        <v>41614</v>
      </c>
      <c r="G103" s="1">
        <v>41593</v>
      </c>
      <c r="H103" s="3">
        <f>IF(Table1[[#This Row],[ShippedDate]]="","",IF(Table1[[#This Row],[OrderDate]]="","",Table1[[#This Row],[ShippedDate]]-Table1[[#This Row],[OrderDate]]))</f>
        <v>7</v>
      </c>
      <c r="I103" s="3">
        <v>1</v>
      </c>
      <c r="J103" s="2">
        <v>8.6300000000000008</v>
      </c>
      <c r="K103" s="2">
        <f>SUMIF(order_details!A:A,Table1[[#This Row],[orderID]],order_details!F:F)</f>
        <v>141.60000000000002</v>
      </c>
      <c r="L103" s="9">
        <f>_xlfn.XLOOKUP(Table1[[#This Row],[orderID]],Table3[orderID],Table3[discount])</f>
        <v>0</v>
      </c>
      <c r="M103" s="2">
        <f>SUM(Table1[[#This Row],[Sales]],Table1[[#This Row],[freight]])</f>
        <v>150.23000000000002</v>
      </c>
      <c r="N103" s="3">
        <f>_xlfn.XLOOKUP(Table1[[#This Row],[orderID]],Table3[orderID],Table3[quantity])</f>
        <v>24</v>
      </c>
      <c r="O103" s="6" t="str">
        <f>_xlfn.XLOOKUP(Table1[[#This Row],[CustomerID]],customers!A:A,customers!B:B)</f>
        <v>Split Rail Beer &amp; Ale</v>
      </c>
      <c r="P103" s="6" t="str">
        <f>_xlfn.XLOOKUP(Table1[[#This Row],[shipperID]],Table6[shipperID],Table6[companyName])</f>
        <v>Speedy Express</v>
      </c>
      <c r="Q103">
        <f>YEAR(Table1[[#This Row],[OrderDate]])</f>
        <v>2013</v>
      </c>
      <c r="R103">
        <f>MONTH(Table1[[#This Row],[OrderDate]])</f>
        <v>11</v>
      </c>
      <c r="S103" t="str">
        <f>"Q"&amp;ROUNDUP(Table1[[#This Row],[month]]/3,0)</f>
        <v>Q4</v>
      </c>
      <c r="T103" t="str">
        <f>CONCATENATE(Table1[[#This Row],[year]],"-",Table1[[#This Row],[Quarter]])</f>
        <v>2013-Q4</v>
      </c>
      <c r="U103" s="6" t="str">
        <f>IF(H102="","Pending",IF(Table1[[#This Row],[Days to ship]]&lt;Table1[[#This Row],[RequiredDate]],"On Time","Late"))</f>
        <v>On Time</v>
      </c>
      <c r="V103">
        <f>_xlfn.XLOOKUP(Table1[[#This Row],[orderID]],Table3[orderID],Table3[unitPrice])</f>
        <v>5.9</v>
      </c>
    </row>
    <row r="104" spans="1:22" x14ac:dyDescent="0.45">
      <c r="A104" s="3">
        <v>10350</v>
      </c>
      <c r="B104" s="6" t="s">
        <v>178</v>
      </c>
      <c r="C104" s="3">
        <v>6</v>
      </c>
      <c r="D104" s="6" t="str">
        <f>_xlfn.XLOOKUP(Table1[[#This Row],[EmployeeID]],Table4[employeeID],Table4[employeeName])</f>
        <v>Michael Suyama</v>
      </c>
      <c r="E104" s="1">
        <v>41589</v>
      </c>
      <c r="F104" s="1">
        <v>41617</v>
      </c>
      <c r="G104" s="1">
        <v>41611</v>
      </c>
      <c r="H104" s="3">
        <f>IF(Table1[[#This Row],[ShippedDate]]="","",IF(Table1[[#This Row],[OrderDate]]="","",Table1[[#This Row],[ShippedDate]]-Table1[[#This Row],[OrderDate]]))</f>
        <v>22</v>
      </c>
      <c r="I104" s="3">
        <v>2</v>
      </c>
      <c r="J104" s="2">
        <v>64.19</v>
      </c>
      <c r="K104" s="2">
        <f>SUMIF(order_details!A:A,Table1[[#This Row],[orderID]],order_details!F:F)</f>
        <v>642.05999999999995</v>
      </c>
      <c r="L104" s="9">
        <f>_xlfn.XLOOKUP(Table1[[#This Row],[orderID]],Table3[orderID],Table3[discount])</f>
        <v>0.1</v>
      </c>
      <c r="M104" s="2">
        <f>SUM(Table1[[#This Row],[Sales]],Table1[[#This Row],[freight]])</f>
        <v>706.25</v>
      </c>
      <c r="N104" s="3">
        <f>_xlfn.XLOOKUP(Table1[[#This Row],[orderID]],Table3[orderID],Table3[quantity])</f>
        <v>15</v>
      </c>
      <c r="O104" s="6" t="str">
        <f>_xlfn.XLOOKUP(Table1[[#This Row],[CustomerID]],customers!A:A,customers!B:B)</f>
        <v>La maison d'Asie</v>
      </c>
      <c r="P104" s="6" t="str">
        <f>_xlfn.XLOOKUP(Table1[[#This Row],[shipperID]],Table6[shipperID],Table6[companyName])</f>
        <v>United Package</v>
      </c>
      <c r="Q104">
        <f>YEAR(Table1[[#This Row],[OrderDate]])</f>
        <v>2013</v>
      </c>
      <c r="R104">
        <f>MONTH(Table1[[#This Row],[OrderDate]])</f>
        <v>11</v>
      </c>
      <c r="S104" t="str">
        <f>"Q"&amp;ROUNDUP(Table1[[#This Row],[month]]/3,0)</f>
        <v>Q4</v>
      </c>
      <c r="T104" t="str">
        <f>CONCATENATE(Table1[[#This Row],[year]],"-",Table1[[#This Row],[Quarter]])</f>
        <v>2013-Q4</v>
      </c>
      <c r="U104" s="6" t="str">
        <f>IF(H103="","Pending",IF(Table1[[#This Row],[Days to ship]]&lt;Table1[[#This Row],[RequiredDate]],"On Time","Late"))</f>
        <v>On Time</v>
      </c>
      <c r="V104">
        <f>_xlfn.XLOOKUP(Table1[[#This Row],[orderID]],Table3[orderID],Table3[unitPrice])</f>
        <v>13</v>
      </c>
    </row>
    <row r="105" spans="1:22" x14ac:dyDescent="0.45">
      <c r="A105" s="3">
        <v>10351</v>
      </c>
      <c r="B105" s="6" t="s">
        <v>158</v>
      </c>
      <c r="C105" s="3">
        <v>1</v>
      </c>
      <c r="D105" s="6" t="str">
        <f>_xlfn.XLOOKUP(Table1[[#This Row],[EmployeeID]],Table4[employeeID],Table4[employeeName])</f>
        <v>Nancy Davolio</v>
      </c>
      <c r="E105" s="1">
        <v>41589</v>
      </c>
      <c r="F105" s="1">
        <v>41617</v>
      </c>
      <c r="G105" s="1">
        <v>41598</v>
      </c>
      <c r="H105" s="3">
        <f>IF(Table1[[#This Row],[ShippedDate]]="","",IF(Table1[[#This Row],[OrderDate]]="","",Table1[[#This Row],[ShippedDate]]-Table1[[#This Row],[OrderDate]]))</f>
        <v>9</v>
      </c>
      <c r="I105" s="3">
        <v>1</v>
      </c>
      <c r="J105" s="2">
        <v>162.33000000000001</v>
      </c>
      <c r="K105" s="2">
        <f>SUMIF(order_details!A:A,Table1[[#This Row],[orderID]],order_details!F:F)</f>
        <v>5398.7250000000004</v>
      </c>
      <c r="L105" s="9">
        <f>_xlfn.XLOOKUP(Table1[[#This Row],[orderID]],Table3[orderID],Table3[discount])</f>
        <v>0.05</v>
      </c>
      <c r="M105" s="2">
        <f>SUM(Table1[[#This Row],[Sales]],Table1[[#This Row],[freight]])</f>
        <v>5561.0550000000003</v>
      </c>
      <c r="N105" s="3">
        <f>_xlfn.XLOOKUP(Table1[[#This Row],[orderID]],Table3[orderID],Table3[quantity])</f>
        <v>20</v>
      </c>
      <c r="O105" s="6" t="str">
        <f>_xlfn.XLOOKUP(Table1[[#This Row],[CustomerID]],customers!A:A,customers!B:B)</f>
        <v>Ernst Handel</v>
      </c>
      <c r="P105" s="6" t="str">
        <f>_xlfn.XLOOKUP(Table1[[#This Row],[shipperID]],Table6[shipperID],Table6[companyName])</f>
        <v>Speedy Express</v>
      </c>
      <c r="Q105">
        <f>YEAR(Table1[[#This Row],[OrderDate]])</f>
        <v>2013</v>
      </c>
      <c r="R105">
        <f>MONTH(Table1[[#This Row],[OrderDate]])</f>
        <v>11</v>
      </c>
      <c r="S105" t="str">
        <f>"Q"&amp;ROUNDUP(Table1[[#This Row],[month]]/3,0)</f>
        <v>Q4</v>
      </c>
      <c r="T105" t="str">
        <f>CONCATENATE(Table1[[#This Row],[year]],"-",Table1[[#This Row],[Quarter]])</f>
        <v>2013-Q4</v>
      </c>
      <c r="U105" s="6" t="str">
        <f>IF(H104="","Pending",IF(Table1[[#This Row],[Days to ship]]&lt;Table1[[#This Row],[RequiredDate]],"On Time","Late"))</f>
        <v>On Time</v>
      </c>
      <c r="V105">
        <f>_xlfn.XLOOKUP(Table1[[#This Row],[orderID]],Table3[orderID],Table3[unitPrice])</f>
        <v>210.8</v>
      </c>
    </row>
    <row r="106" spans="1:22" x14ac:dyDescent="0.45">
      <c r="A106" s="3">
        <v>10352</v>
      </c>
      <c r="B106" s="6" t="s">
        <v>216</v>
      </c>
      <c r="C106" s="3">
        <v>3</v>
      </c>
      <c r="D106" s="6" t="str">
        <f>_xlfn.XLOOKUP(Table1[[#This Row],[EmployeeID]],Table4[employeeID],Table4[employeeName])</f>
        <v>Janet Leverling</v>
      </c>
      <c r="E106" s="1">
        <v>41590</v>
      </c>
      <c r="F106" s="1">
        <v>41604</v>
      </c>
      <c r="G106" s="1">
        <v>41596</v>
      </c>
      <c r="H106" s="3">
        <f>IF(Table1[[#This Row],[ShippedDate]]="","",IF(Table1[[#This Row],[OrderDate]]="","",Table1[[#This Row],[ShippedDate]]-Table1[[#This Row],[OrderDate]]))</f>
        <v>6</v>
      </c>
      <c r="I106" s="3">
        <v>3</v>
      </c>
      <c r="J106" s="2">
        <v>1.3</v>
      </c>
      <c r="K106" s="2">
        <f>SUMIF(order_details!A:A,Table1[[#This Row],[orderID]],order_details!F:F)</f>
        <v>136.30000000000001</v>
      </c>
      <c r="L106" s="9">
        <f>_xlfn.XLOOKUP(Table1[[#This Row],[orderID]],Table3[orderID],Table3[discount])</f>
        <v>0</v>
      </c>
      <c r="M106" s="2">
        <f>SUM(Table1[[#This Row],[Sales]],Table1[[#This Row],[freight]])</f>
        <v>137.60000000000002</v>
      </c>
      <c r="N106" s="3">
        <f>_xlfn.XLOOKUP(Table1[[#This Row],[orderID]],Table3[orderID],Table3[quantity])</f>
        <v>10</v>
      </c>
      <c r="O106" s="6" t="str">
        <f>_xlfn.XLOOKUP(Table1[[#This Row],[CustomerID]],customers!A:A,customers!B:B)</f>
        <v>Furia Bacalhau e Frutos do Mar</v>
      </c>
      <c r="P106" s="6" t="str">
        <f>_xlfn.XLOOKUP(Table1[[#This Row],[shipperID]],Table6[shipperID],Table6[companyName])</f>
        <v>Federal Shipping</v>
      </c>
      <c r="Q106">
        <f>YEAR(Table1[[#This Row],[OrderDate]])</f>
        <v>2013</v>
      </c>
      <c r="R106">
        <f>MONTH(Table1[[#This Row],[OrderDate]])</f>
        <v>11</v>
      </c>
      <c r="S106" t="str">
        <f>"Q"&amp;ROUNDUP(Table1[[#This Row],[month]]/3,0)</f>
        <v>Q4</v>
      </c>
      <c r="T106" t="str">
        <f>CONCATENATE(Table1[[#This Row],[year]],"-",Table1[[#This Row],[Quarter]])</f>
        <v>2013-Q4</v>
      </c>
      <c r="U106" s="6" t="str">
        <f>IF(H105="","Pending",IF(Table1[[#This Row],[Days to ship]]&lt;Table1[[#This Row],[RequiredDate]],"On Time","Late"))</f>
        <v>On Time</v>
      </c>
      <c r="V106">
        <f>_xlfn.XLOOKUP(Table1[[#This Row],[orderID]],Table3[orderID],Table3[unitPrice])</f>
        <v>3.6</v>
      </c>
    </row>
    <row r="107" spans="1:22" x14ac:dyDescent="0.45">
      <c r="A107" s="3">
        <v>10353</v>
      </c>
      <c r="B107" s="6" t="s">
        <v>176</v>
      </c>
      <c r="C107" s="3">
        <v>7</v>
      </c>
      <c r="D107" s="6" t="str">
        <f>_xlfn.XLOOKUP(Table1[[#This Row],[EmployeeID]],Table4[employeeID],Table4[employeeName])</f>
        <v>Robert King</v>
      </c>
      <c r="E107" s="1">
        <v>41591</v>
      </c>
      <c r="F107" s="1">
        <v>41619</v>
      </c>
      <c r="G107" s="1">
        <v>41603</v>
      </c>
      <c r="H107" s="3">
        <f>IF(Table1[[#This Row],[ShippedDate]]="","",IF(Table1[[#This Row],[OrderDate]]="","",Table1[[#This Row],[ShippedDate]]-Table1[[#This Row],[OrderDate]]))</f>
        <v>12</v>
      </c>
      <c r="I107" s="3">
        <v>3</v>
      </c>
      <c r="J107" s="2">
        <v>360.63</v>
      </c>
      <c r="K107" s="2">
        <f>SUMIF(order_details!A:A,Table1[[#This Row],[orderID]],order_details!F:F)</f>
        <v>8593.2800000000007</v>
      </c>
      <c r="L107" s="9">
        <f>_xlfn.XLOOKUP(Table1[[#This Row],[orderID]],Table3[orderID],Table3[discount])</f>
        <v>0.2</v>
      </c>
      <c r="M107" s="2">
        <f>SUM(Table1[[#This Row],[Sales]],Table1[[#This Row],[freight]])</f>
        <v>8953.91</v>
      </c>
      <c r="N107" s="3">
        <f>_xlfn.XLOOKUP(Table1[[#This Row],[orderID]],Table3[orderID],Table3[quantity])</f>
        <v>12</v>
      </c>
      <c r="O107" s="6" t="str">
        <f>_xlfn.XLOOKUP(Table1[[#This Row],[CustomerID]],customers!A:A,customers!B:B)</f>
        <v>Piccolo und mehr</v>
      </c>
      <c r="P107" s="6" t="str">
        <f>_xlfn.XLOOKUP(Table1[[#This Row],[shipperID]],Table6[shipperID],Table6[companyName])</f>
        <v>Federal Shipping</v>
      </c>
      <c r="Q107">
        <f>YEAR(Table1[[#This Row],[OrderDate]])</f>
        <v>2013</v>
      </c>
      <c r="R107">
        <f>MONTH(Table1[[#This Row],[OrderDate]])</f>
        <v>11</v>
      </c>
      <c r="S107" t="str">
        <f>"Q"&amp;ROUNDUP(Table1[[#This Row],[month]]/3,0)</f>
        <v>Q4</v>
      </c>
      <c r="T107" t="str">
        <f>CONCATENATE(Table1[[#This Row],[year]],"-",Table1[[#This Row],[Quarter]])</f>
        <v>2013-Q4</v>
      </c>
      <c r="U107" s="6" t="str">
        <f>IF(H106="","Pending",IF(Table1[[#This Row],[Days to ship]]&lt;Table1[[#This Row],[RequiredDate]],"On Time","Late"))</f>
        <v>On Time</v>
      </c>
      <c r="V107">
        <f>_xlfn.XLOOKUP(Table1[[#This Row],[orderID]],Table3[orderID],Table3[unitPrice])</f>
        <v>16.8</v>
      </c>
    </row>
    <row r="108" spans="1:22" x14ac:dyDescent="0.45">
      <c r="A108" s="3">
        <v>10354</v>
      </c>
      <c r="B108" s="6" t="s">
        <v>157</v>
      </c>
      <c r="C108" s="3">
        <v>8</v>
      </c>
      <c r="D108" s="6" t="str">
        <f>_xlfn.XLOOKUP(Table1[[#This Row],[EmployeeID]],Table4[employeeID],Table4[employeeName])</f>
        <v>Laura Callahan</v>
      </c>
      <c r="E108" s="1">
        <v>41592</v>
      </c>
      <c r="F108" s="1">
        <v>41620</v>
      </c>
      <c r="G108" s="1">
        <v>41598</v>
      </c>
      <c r="H108" s="3">
        <f>IF(Table1[[#This Row],[ShippedDate]]="","",IF(Table1[[#This Row],[OrderDate]]="","",Table1[[#This Row],[ShippedDate]]-Table1[[#This Row],[OrderDate]]))</f>
        <v>6</v>
      </c>
      <c r="I108" s="3">
        <v>3</v>
      </c>
      <c r="J108" s="2">
        <v>53.8</v>
      </c>
      <c r="K108" s="2">
        <f>SUMIF(order_details!A:A,Table1[[#This Row],[orderID]],order_details!F:F)</f>
        <v>568.79999999999995</v>
      </c>
      <c r="L108" s="9">
        <f>_xlfn.XLOOKUP(Table1[[#This Row],[orderID]],Table3[orderID],Table3[discount])</f>
        <v>0</v>
      </c>
      <c r="M108" s="2">
        <f>SUM(Table1[[#This Row],[Sales]],Table1[[#This Row],[freight]])</f>
        <v>622.59999999999991</v>
      </c>
      <c r="N108" s="3">
        <f>_xlfn.XLOOKUP(Table1[[#This Row],[orderID]],Table3[orderID],Table3[quantity])</f>
        <v>12</v>
      </c>
      <c r="O108" s="6" t="str">
        <f>_xlfn.XLOOKUP(Table1[[#This Row],[CustomerID]],customers!A:A,customers!B:B)</f>
        <v>Pericles Comidas clásicas</v>
      </c>
      <c r="P108" s="6" t="str">
        <f>_xlfn.XLOOKUP(Table1[[#This Row],[shipperID]],Table6[shipperID],Table6[companyName])</f>
        <v>Federal Shipping</v>
      </c>
      <c r="Q108">
        <f>YEAR(Table1[[#This Row],[OrderDate]])</f>
        <v>2013</v>
      </c>
      <c r="R108">
        <f>MONTH(Table1[[#This Row],[OrderDate]])</f>
        <v>11</v>
      </c>
      <c r="S108" t="str">
        <f>"Q"&amp;ROUNDUP(Table1[[#This Row],[month]]/3,0)</f>
        <v>Q4</v>
      </c>
      <c r="T108" t="str">
        <f>CONCATENATE(Table1[[#This Row],[year]],"-",Table1[[#This Row],[Quarter]])</f>
        <v>2013-Q4</v>
      </c>
      <c r="U108" s="6" t="str">
        <f>IF(H107="","Pending",IF(Table1[[#This Row],[Days to ship]]&lt;Table1[[#This Row],[RequiredDate]],"On Time","Late"))</f>
        <v>On Time</v>
      </c>
      <c r="V108">
        <f>_xlfn.XLOOKUP(Table1[[#This Row],[orderID]],Table3[orderID],Table3[unitPrice])</f>
        <v>14.4</v>
      </c>
    </row>
    <row r="109" spans="1:22" x14ac:dyDescent="0.45">
      <c r="A109" s="3">
        <v>10355</v>
      </c>
      <c r="B109" s="6" t="s">
        <v>198</v>
      </c>
      <c r="C109" s="3">
        <v>6</v>
      </c>
      <c r="D109" s="6" t="str">
        <f>_xlfn.XLOOKUP(Table1[[#This Row],[EmployeeID]],Table4[employeeID],Table4[employeeName])</f>
        <v>Michael Suyama</v>
      </c>
      <c r="E109" s="1">
        <v>41593</v>
      </c>
      <c r="F109" s="1">
        <v>41621</v>
      </c>
      <c r="G109" s="1">
        <v>41598</v>
      </c>
      <c r="H109" s="3">
        <f>IF(Table1[[#This Row],[ShippedDate]]="","",IF(Table1[[#This Row],[OrderDate]]="","",Table1[[#This Row],[ShippedDate]]-Table1[[#This Row],[OrderDate]]))</f>
        <v>5</v>
      </c>
      <c r="I109" s="3">
        <v>1</v>
      </c>
      <c r="J109" s="2">
        <v>41.95</v>
      </c>
      <c r="K109" s="2">
        <f>SUMIF(order_details!A:A,Table1[[#This Row],[orderID]],order_details!F:F)</f>
        <v>480</v>
      </c>
      <c r="L109" s="9">
        <f>_xlfn.XLOOKUP(Table1[[#This Row],[orderID]],Table3[orderID],Table3[discount])</f>
        <v>0</v>
      </c>
      <c r="M109" s="2">
        <f>SUM(Table1[[#This Row],[Sales]],Table1[[#This Row],[freight]])</f>
        <v>521.95000000000005</v>
      </c>
      <c r="N109" s="3">
        <f>_xlfn.XLOOKUP(Table1[[#This Row],[orderID]],Table3[orderID],Table3[quantity])</f>
        <v>25</v>
      </c>
      <c r="O109" s="6" t="str">
        <f>_xlfn.XLOOKUP(Table1[[#This Row],[CustomerID]],customers!A:A,customers!B:B)</f>
        <v>Around the Horn</v>
      </c>
      <c r="P109" s="6" t="str">
        <f>_xlfn.XLOOKUP(Table1[[#This Row],[shipperID]],Table6[shipperID],Table6[companyName])</f>
        <v>Speedy Express</v>
      </c>
      <c r="Q109">
        <f>YEAR(Table1[[#This Row],[OrderDate]])</f>
        <v>2013</v>
      </c>
      <c r="R109">
        <f>MONTH(Table1[[#This Row],[OrderDate]])</f>
        <v>11</v>
      </c>
      <c r="S109" t="str">
        <f>"Q"&amp;ROUNDUP(Table1[[#This Row],[month]]/3,0)</f>
        <v>Q4</v>
      </c>
      <c r="T109" t="str">
        <f>CONCATENATE(Table1[[#This Row],[year]],"-",Table1[[#This Row],[Quarter]])</f>
        <v>2013-Q4</v>
      </c>
      <c r="U109" s="6" t="str">
        <f>IF(H108="","Pending",IF(Table1[[#This Row],[Days to ship]]&lt;Table1[[#This Row],[RequiredDate]],"On Time","Late"))</f>
        <v>On Time</v>
      </c>
      <c r="V109">
        <f>_xlfn.XLOOKUP(Table1[[#This Row],[orderID]],Table3[orderID],Table3[unitPrice])</f>
        <v>3.6</v>
      </c>
    </row>
    <row r="110" spans="1:22" x14ac:dyDescent="0.45">
      <c r="A110" s="3">
        <v>10356</v>
      </c>
      <c r="B110" s="6" t="s">
        <v>182</v>
      </c>
      <c r="C110" s="3">
        <v>6</v>
      </c>
      <c r="D110" s="6" t="str">
        <f>_xlfn.XLOOKUP(Table1[[#This Row],[EmployeeID]],Table4[employeeID],Table4[employeeName])</f>
        <v>Michael Suyama</v>
      </c>
      <c r="E110" s="1">
        <v>41596</v>
      </c>
      <c r="F110" s="1">
        <v>41624</v>
      </c>
      <c r="G110" s="1">
        <v>41605</v>
      </c>
      <c r="H110" s="3">
        <f>IF(Table1[[#This Row],[ShippedDate]]="","",IF(Table1[[#This Row],[OrderDate]]="","",Table1[[#This Row],[ShippedDate]]-Table1[[#This Row],[OrderDate]]))</f>
        <v>9</v>
      </c>
      <c r="I110" s="3">
        <v>2</v>
      </c>
      <c r="J110" s="2">
        <v>36.71</v>
      </c>
      <c r="K110" s="2">
        <f>SUMIF(order_details!A:A,Table1[[#This Row],[orderID]],order_details!F:F)</f>
        <v>1106.4000000000001</v>
      </c>
      <c r="L110" s="9">
        <f>_xlfn.XLOOKUP(Table1[[#This Row],[orderID]],Table3[orderID],Table3[discount])</f>
        <v>0</v>
      </c>
      <c r="M110" s="2">
        <f>SUM(Table1[[#This Row],[Sales]],Table1[[#This Row],[freight]])</f>
        <v>1143.1100000000001</v>
      </c>
      <c r="N110" s="3">
        <f>_xlfn.XLOOKUP(Table1[[#This Row],[orderID]],Table3[orderID],Table3[quantity])</f>
        <v>30</v>
      </c>
      <c r="O110" s="6" t="str">
        <f>_xlfn.XLOOKUP(Table1[[#This Row],[CustomerID]],customers!A:A,customers!B:B)</f>
        <v>Die Wandernde Kuh</v>
      </c>
      <c r="P110" s="6" t="str">
        <f>_xlfn.XLOOKUP(Table1[[#This Row],[shipperID]],Table6[shipperID],Table6[companyName])</f>
        <v>United Package</v>
      </c>
      <c r="Q110">
        <f>YEAR(Table1[[#This Row],[OrderDate]])</f>
        <v>2013</v>
      </c>
      <c r="R110">
        <f>MONTH(Table1[[#This Row],[OrderDate]])</f>
        <v>11</v>
      </c>
      <c r="S110" t="str">
        <f>"Q"&amp;ROUNDUP(Table1[[#This Row],[month]]/3,0)</f>
        <v>Q4</v>
      </c>
      <c r="T110" t="str">
        <f>CONCATENATE(Table1[[#This Row],[year]],"-",Table1[[#This Row],[Quarter]])</f>
        <v>2013-Q4</v>
      </c>
      <c r="U110" s="6" t="str">
        <f>IF(H109="","Pending",IF(Table1[[#This Row],[Days to ship]]&lt;Table1[[#This Row],[RequiredDate]],"On Time","Late"))</f>
        <v>On Time</v>
      </c>
      <c r="V110">
        <f>_xlfn.XLOOKUP(Table1[[#This Row],[orderID]],Table3[orderID],Table3[unitPrice])</f>
        <v>10</v>
      </c>
    </row>
    <row r="111" spans="1:22" x14ac:dyDescent="0.45">
      <c r="A111" s="3">
        <v>10357</v>
      </c>
      <c r="B111" s="6" t="s">
        <v>159</v>
      </c>
      <c r="C111" s="3">
        <v>1</v>
      </c>
      <c r="D111" s="6" t="str">
        <f>_xlfn.XLOOKUP(Table1[[#This Row],[EmployeeID]],Table4[employeeID],Table4[employeeName])</f>
        <v>Nancy Davolio</v>
      </c>
      <c r="E111" s="1">
        <v>41597</v>
      </c>
      <c r="F111" s="1">
        <v>41625</v>
      </c>
      <c r="G111" s="1">
        <v>41610</v>
      </c>
      <c r="H111" s="3">
        <f>IF(Table1[[#This Row],[ShippedDate]]="","",IF(Table1[[#This Row],[OrderDate]]="","",Table1[[#This Row],[ShippedDate]]-Table1[[#This Row],[OrderDate]]))</f>
        <v>13</v>
      </c>
      <c r="I111" s="3">
        <v>3</v>
      </c>
      <c r="J111" s="2">
        <v>34.880000000000003</v>
      </c>
      <c r="K111" s="2">
        <f>SUMIF(order_details!A:A,Table1[[#This Row],[orderID]],order_details!F:F)</f>
        <v>1167.68</v>
      </c>
      <c r="L111" s="9">
        <f>_xlfn.XLOOKUP(Table1[[#This Row],[orderID]],Table3[orderID],Table3[discount])</f>
        <v>0.2</v>
      </c>
      <c r="M111" s="2">
        <f>SUM(Table1[[#This Row],[Sales]],Table1[[#This Row],[freight]])</f>
        <v>1202.5600000000002</v>
      </c>
      <c r="N111" s="3">
        <f>_xlfn.XLOOKUP(Table1[[#This Row],[orderID]],Table3[orderID],Table3[quantity])</f>
        <v>30</v>
      </c>
      <c r="O111" s="6" t="str">
        <f>_xlfn.XLOOKUP(Table1[[#This Row],[CustomerID]],customers!A:A,customers!B:B)</f>
        <v>LILA-Supermercado</v>
      </c>
      <c r="P111" s="6" t="str">
        <f>_xlfn.XLOOKUP(Table1[[#This Row],[shipperID]],Table6[shipperID],Table6[companyName])</f>
        <v>Federal Shipping</v>
      </c>
      <c r="Q111">
        <f>YEAR(Table1[[#This Row],[OrderDate]])</f>
        <v>2013</v>
      </c>
      <c r="R111">
        <f>MONTH(Table1[[#This Row],[OrderDate]])</f>
        <v>11</v>
      </c>
      <c r="S111" t="str">
        <f>"Q"&amp;ROUNDUP(Table1[[#This Row],[month]]/3,0)</f>
        <v>Q4</v>
      </c>
      <c r="T111" t="str">
        <f>CONCATENATE(Table1[[#This Row],[year]],"-",Table1[[#This Row],[Quarter]])</f>
        <v>2013-Q4</v>
      </c>
      <c r="U111" s="6" t="str">
        <f>IF(H110="","Pending",IF(Table1[[#This Row],[Days to ship]]&lt;Table1[[#This Row],[RequiredDate]],"On Time","Late"))</f>
        <v>On Time</v>
      </c>
      <c r="V111">
        <f>_xlfn.XLOOKUP(Table1[[#This Row],[orderID]],Table3[orderID],Table3[unitPrice])</f>
        <v>24.8</v>
      </c>
    </row>
    <row r="112" spans="1:22" x14ac:dyDescent="0.45">
      <c r="A112" s="3">
        <v>10358</v>
      </c>
      <c r="B112" s="6" t="s">
        <v>178</v>
      </c>
      <c r="C112" s="3">
        <v>5</v>
      </c>
      <c r="D112" s="6" t="str">
        <f>_xlfn.XLOOKUP(Table1[[#This Row],[EmployeeID]],Table4[employeeID],Table4[employeeName])</f>
        <v>Steven Buchanan</v>
      </c>
      <c r="E112" s="1">
        <v>41598</v>
      </c>
      <c r="F112" s="1">
        <v>41626</v>
      </c>
      <c r="G112" s="1">
        <v>41605</v>
      </c>
      <c r="H112" s="3">
        <f>IF(Table1[[#This Row],[ShippedDate]]="","",IF(Table1[[#This Row],[OrderDate]]="","",Table1[[#This Row],[ShippedDate]]-Table1[[#This Row],[OrderDate]]))</f>
        <v>7</v>
      </c>
      <c r="I112" s="3">
        <v>1</v>
      </c>
      <c r="J112" s="2">
        <v>19.64</v>
      </c>
      <c r="K112" s="2">
        <f>SUMIF(order_details!A:A,Table1[[#This Row],[orderID]],order_details!F:F)</f>
        <v>429.4</v>
      </c>
      <c r="L112" s="9">
        <f>_xlfn.XLOOKUP(Table1[[#This Row],[orderID]],Table3[orderID],Table3[discount])</f>
        <v>0.05</v>
      </c>
      <c r="M112" s="2">
        <f>SUM(Table1[[#This Row],[Sales]],Table1[[#This Row],[freight]])</f>
        <v>449.03999999999996</v>
      </c>
      <c r="N112" s="3">
        <f>_xlfn.XLOOKUP(Table1[[#This Row],[orderID]],Table3[orderID],Table3[quantity])</f>
        <v>10</v>
      </c>
      <c r="O112" s="6" t="str">
        <f>_xlfn.XLOOKUP(Table1[[#This Row],[CustomerID]],customers!A:A,customers!B:B)</f>
        <v>La maison d'Asie</v>
      </c>
      <c r="P112" s="6" t="str">
        <f>_xlfn.XLOOKUP(Table1[[#This Row],[shipperID]],Table6[shipperID],Table6[companyName])</f>
        <v>Speedy Express</v>
      </c>
      <c r="Q112">
        <f>YEAR(Table1[[#This Row],[OrderDate]])</f>
        <v>2013</v>
      </c>
      <c r="R112">
        <f>MONTH(Table1[[#This Row],[OrderDate]])</f>
        <v>11</v>
      </c>
      <c r="S112" t="str">
        <f>"Q"&amp;ROUNDUP(Table1[[#This Row],[month]]/3,0)</f>
        <v>Q4</v>
      </c>
      <c r="T112" t="str">
        <f>CONCATENATE(Table1[[#This Row],[year]],"-",Table1[[#This Row],[Quarter]])</f>
        <v>2013-Q4</v>
      </c>
      <c r="U112" s="6" t="str">
        <f>IF(H111="","Pending",IF(Table1[[#This Row],[Days to ship]]&lt;Table1[[#This Row],[RequiredDate]],"On Time","Late"))</f>
        <v>On Time</v>
      </c>
      <c r="V112">
        <f>_xlfn.XLOOKUP(Table1[[#This Row],[orderID]],Table3[orderID],Table3[unitPrice])</f>
        <v>3.6</v>
      </c>
    </row>
    <row r="113" spans="1:22" x14ac:dyDescent="0.45">
      <c r="A113" s="3">
        <v>10359</v>
      </c>
      <c r="B113" s="6" t="s">
        <v>226</v>
      </c>
      <c r="C113" s="3">
        <v>5</v>
      </c>
      <c r="D113" s="6" t="str">
        <f>_xlfn.XLOOKUP(Table1[[#This Row],[EmployeeID]],Table4[employeeID],Table4[employeeName])</f>
        <v>Steven Buchanan</v>
      </c>
      <c r="E113" s="1">
        <v>41599</v>
      </c>
      <c r="F113" s="1">
        <v>41627</v>
      </c>
      <c r="G113" s="1">
        <v>41604</v>
      </c>
      <c r="H113" s="3">
        <f>IF(Table1[[#This Row],[ShippedDate]]="","",IF(Table1[[#This Row],[OrderDate]]="","",Table1[[#This Row],[ShippedDate]]-Table1[[#This Row],[OrderDate]]))</f>
        <v>5</v>
      </c>
      <c r="I113" s="3">
        <v>3</v>
      </c>
      <c r="J113" s="2">
        <v>288.43</v>
      </c>
      <c r="K113" s="2">
        <f>SUMIF(order_details!A:A,Table1[[#This Row],[orderID]],order_details!F:F)</f>
        <v>3471.68</v>
      </c>
      <c r="L113" s="9">
        <f>_xlfn.XLOOKUP(Table1[[#This Row],[orderID]],Table3[orderID],Table3[discount])</f>
        <v>0.05</v>
      </c>
      <c r="M113" s="2">
        <f>SUM(Table1[[#This Row],[Sales]],Table1[[#This Row],[freight]])</f>
        <v>3760.1099999999997</v>
      </c>
      <c r="N113" s="3">
        <f>_xlfn.XLOOKUP(Table1[[#This Row],[orderID]],Table3[orderID],Table3[quantity])</f>
        <v>56</v>
      </c>
      <c r="O113" s="6" t="str">
        <f>_xlfn.XLOOKUP(Table1[[#This Row],[CustomerID]],customers!A:A,customers!B:B)</f>
        <v>Seven Seas Imports</v>
      </c>
      <c r="P113" s="6" t="str">
        <f>_xlfn.XLOOKUP(Table1[[#This Row],[shipperID]],Table6[shipperID],Table6[companyName])</f>
        <v>Federal Shipping</v>
      </c>
      <c r="Q113">
        <f>YEAR(Table1[[#This Row],[OrderDate]])</f>
        <v>2013</v>
      </c>
      <c r="R113">
        <f>MONTH(Table1[[#This Row],[OrderDate]])</f>
        <v>11</v>
      </c>
      <c r="S113" t="str">
        <f>"Q"&amp;ROUNDUP(Table1[[#This Row],[month]]/3,0)</f>
        <v>Q4</v>
      </c>
      <c r="T113" t="str">
        <f>CONCATENATE(Table1[[#This Row],[year]],"-",Table1[[#This Row],[Quarter]])</f>
        <v>2013-Q4</v>
      </c>
      <c r="U113" s="6" t="str">
        <f>IF(H112="","Pending",IF(Table1[[#This Row],[Days to ship]]&lt;Table1[[#This Row],[RequiredDate]],"On Time","Late"))</f>
        <v>On Time</v>
      </c>
      <c r="V113">
        <f>_xlfn.XLOOKUP(Table1[[#This Row],[orderID]],Table3[orderID],Table3[unitPrice])</f>
        <v>13.9</v>
      </c>
    </row>
    <row r="114" spans="1:22" x14ac:dyDescent="0.45">
      <c r="A114" s="3">
        <v>10360</v>
      </c>
      <c r="B114" s="6" t="s">
        <v>231</v>
      </c>
      <c r="C114" s="3">
        <v>4</v>
      </c>
      <c r="D114" s="6" t="str">
        <f>_xlfn.XLOOKUP(Table1[[#This Row],[EmployeeID]],Table4[employeeID],Table4[employeeName])</f>
        <v>Margaret Peacock</v>
      </c>
      <c r="E114" s="1">
        <v>41600</v>
      </c>
      <c r="F114" s="1">
        <v>41628</v>
      </c>
      <c r="G114" s="1">
        <v>41610</v>
      </c>
      <c r="H114" s="3">
        <f>IF(Table1[[#This Row],[ShippedDate]]="","",IF(Table1[[#This Row],[OrderDate]]="","",Table1[[#This Row],[ShippedDate]]-Table1[[#This Row],[OrderDate]]))</f>
        <v>10</v>
      </c>
      <c r="I114" s="3">
        <v>3</v>
      </c>
      <c r="J114" s="2">
        <v>131.69999999999999</v>
      </c>
      <c r="K114" s="2">
        <f>SUMIF(order_details!A:A,Table1[[#This Row],[orderID]],order_details!F:F)</f>
        <v>7390.2</v>
      </c>
      <c r="L114" s="9">
        <f>_xlfn.XLOOKUP(Table1[[#This Row],[orderID]],Table3[orderID],Table3[discount])</f>
        <v>0</v>
      </c>
      <c r="M114" s="2">
        <f>SUM(Table1[[#This Row],[Sales]],Table1[[#This Row],[freight]])</f>
        <v>7521.9</v>
      </c>
      <c r="N114" s="3">
        <f>_xlfn.XLOOKUP(Table1[[#This Row],[orderID]],Table3[orderID],Table3[quantity])</f>
        <v>30</v>
      </c>
      <c r="O114" s="6" t="str">
        <f>_xlfn.XLOOKUP(Table1[[#This Row],[CustomerID]],customers!A:A,customers!B:B)</f>
        <v>Blondesddsl père et fils</v>
      </c>
      <c r="P114" s="6" t="str">
        <f>_xlfn.XLOOKUP(Table1[[#This Row],[shipperID]],Table6[shipperID],Table6[companyName])</f>
        <v>Federal Shipping</v>
      </c>
      <c r="Q114">
        <f>YEAR(Table1[[#This Row],[OrderDate]])</f>
        <v>2013</v>
      </c>
      <c r="R114">
        <f>MONTH(Table1[[#This Row],[OrderDate]])</f>
        <v>11</v>
      </c>
      <c r="S114" t="str">
        <f>"Q"&amp;ROUNDUP(Table1[[#This Row],[month]]/3,0)</f>
        <v>Q4</v>
      </c>
      <c r="T114" t="str">
        <f>CONCATENATE(Table1[[#This Row],[year]],"-",Table1[[#This Row],[Quarter]])</f>
        <v>2013-Q4</v>
      </c>
      <c r="U114" s="6" t="str">
        <f>IF(H113="","Pending",IF(Table1[[#This Row],[Days to ship]]&lt;Table1[[#This Row],[RequiredDate]],"On Time","Late"))</f>
        <v>On Time</v>
      </c>
      <c r="V114">
        <f>_xlfn.XLOOKUP(Table1[[#This Row],[orderID]],Table3[orderID],Table3[unitPrice])</f>
        <v>36.4</v>
      </c>
    </row>
    <row r="115" spans="1:22" x14ac:dyDescent="0.45">
      <c r="A115" s="3">
        <v>10361</v>
      </c>
      <c r="B115" s="6" t="s">
        <v>194</v>
      </c>
      <c r="C115" s="3">
        <v>1</v>
      </c>
      <c r="D115" s="6" t="str">
        <f>_xlfn.XLOOKUP(Table1[[#This Row],[EmployeeID]],Table4[employeeID],Table4[employeeName])</f>
        <v>Nancy Davolio</v>
      </c>
      <c r="E115" s="1">
        <v>41600</v>
      </c>
      <c r="F115" s="1">
        <v>41628</v>
      </c>
      <c r="G115" s="1">
        <v>41611</v>
      </c>
      <c r="H115" s="3">
        <f>IF(Table1[[#This Row],[ShippedDate]]="","",IF(Table1[[#This Row],[OrderDate]]="","",Table1[[#This Row],[ShippedDate]]-Table1[[#This Row],[OrderDate]]))</f>
        <v>11</v>
      </c>
      <c r="I115" s="3">
        <v>2</v>
      </c>
      <c r="J115" s="2">
        <v>183.17</v>
      </c>
      <c r="K115" s="2">
        <f>SUMIF(order_details!A:A,Table1[[#This Row],[orderID]],order_details!F:F)</f>
        <v>2046.2400000000002</v>
      </c>
      <c r="L115" s="9">
        <f>_xlfn.XLOOKUP(Table1[[#This Row],[orderID]],Table3[orderID],Table3[discount])</f>
        <v>0.1</v>
      </c>
      <c r="M115" s="2">
        <f>SUM(Table1[[#This Row],[Sales]],Table1[[#This Row],[freight]])</f>
        <v>2229.4100000000003</v>
      </c>
      <c r="N115" s="3">
        <f>_xlfn.XLOOKUP(Table1[[#This Row],[orderID]],Table3[orderID],Table3[quantity])</f>
        <v>54</v>
      </c>
      <c r="O115" s="6" t="str">
        <f>_xlfn.XLOOKUP(Table1[[#This Row],[CustomerID]],customers!A:A,customers!B:B)</f>
        <v>QUICK-Stop</v>
      </c>
      <c r="P115" s="6" t="str">
        <f>_xlfn.XLOOKUP(Table1[[#This Row],[shipperID]],Table6[shipperID],Table6[companyName])</f>
        <v>United Package</v>
      </c>
      <c r="Q115">
        <f>YEAR(Table1[[#This Row],[OrderDate]])</f>
        <v>2013</v>
      </c>
      <c r="R115">
        <f>MONTH(Table1[[#This Row],[OrderDate]])</f>
        <v>11</v>
      </c>
      <c r="S115" t="str">
        <f>"Q"&amp;ROUNDUP(Table1[[#This Row],[month]]/3,0)</f>
        <v>Q4</v>
      </c>
      <c r="T115" t="str">
        <f>CONCATENATE(Table1[[#This Row],[year]],"-",Table1[[#This Row],[Quarter]])</f>
        <v>2013-Q4</v>
      </c>
      <c r="U115" s="6" t="str">
        <f>IF(H114="","Pending",IF(Table1[[#This Row],[Days to ship]]&lt;Table1[[#This Row],[RequiredDate]],"On Time","Late"))</f>
        <v>On Time</v>
      </c>
      <c r="V115">
        <f>_xlfn.XLOOKUP(Table1[[#This Row],[orderID]],Table3[orderID],Table3[unitPrice])</f>
        <v>14.4</v>
      </c>
    </row>
    <row r="116" spans="1:22" x14ac:dyDescent="0.45">
      <c r="A116" s="3">
        <v>10362</v>
      </c>
      <c r="B116" s="6" t="s">
        <v>154</v>
      </c>
      <c r="C116" s="3">
        <v>3</v>
      </c>
      <c r="D116" s="6" t="str">
        <f>_xlfn.XLOOKUP(Table1[[#This Row],[EmployeeID]],Table4[employeeID],Table4[employeeName])</f>
        <v>Janet Leverling</v>
      </c>
      <c r="E116" s="1">
        <v>41603</v>
      </c>
      <c r="F116" s="1">
        <v>41631</v>
      </c>
      <c r="G116" s="1">
        <v>41606</v>
      </c>
      <c r="H116" s="3">
        <f>IF(Table1[[#This Row],[ShippedDate]]="","",IF(Table1[[#This Row],[OrderDate]]="","",Table1[[#This Row],[ShippedDate]]-Table1[[#This Row],[OrderDate]]))</f>
        <v>3</v>
      </c>
      <c r="I116" s="3">
        <v>1</v>
      </c>
      <c r="J116" s="2">
        <v>96.04</v>
      </c>
      <c r="K116" s="2">
        <f>SUMIF(order_details!A:A,Table1[[#This Row],[orderID]],order_details!F:F)</f>
        <v>1549.6</v>
      </c>
      <c r="L116" s="9">
        <f>_xlfn.XLOOKUP(Table1[[#This Row],[orderID]],Table3[orderID],Table3[discount])</f>
        <v>0</v>
      </c>
      <c r="M116" s="2">
        <f>SUM(Table1[[#This Row],[Sales]],Table1[[#This Row],[freight]])</f>
        <v>1645.6399999999999</v>
      </c>
      <c r="N116" s="3">
        <f>_xlfn.XLOOKUP(Table1[[#This Row],[orderID]],Table3[orderID],Table3[quantity])</f>
        <v>50</v>
      </c>
      <c r="O116" s="6" t="str">
        <f>_xlfn.XLOOKUP(Table1[[#This Row],[CustomerID]],customers!A:A,customers!B:B)</f>
        <v>Bon app'</v>
      </c>
      <c r="P116" s="6" t="str">
        <f>_xlfn.XLOOKUP(Table1[[#This Row],[shipperID]],Table6[shipperID],Table6[companyName])</f>
        <v>Speedy Express</v>
      </c>
      <c r="Q116">
        <f>YEAR(Table1[[#This Row],[OrderDate]])</f>
        <v>2013</v>
      </c>
      <c r="R116">
        <f>MONTH(Table1[[#This Row],[OrderDate]])</f>
        <v>11</v>
      </c>
      <c r="S116" t="str">
        <f>"Q"&amp;ROUNDUP(Table1[[#This Row],[month]]/3,0)</f>
        <v>Q4</v>
      </c>
      <c r="T116" t="str">
        <f>CONCATENATE(Table1[[#This Row],[year]],"-",Table1[[#This Row],[Quarter]])</f>
        <v>2013-Q4</v>
      </c>
      <c r="U116" s="6" t="str">
        <f>IF(H115="","Pending",IF(Table1[[#This Row],[Days to ship]]&lt;Table1[[#This Row],[RequiredDate]],"On Time","Late"))</f>
        <v>On Time</v>
      </c>
      <c r="V116">
        <f>_xlfn.XLOOKUP(Table1[[#This Row],[orderID]],Table3[orderID],Table3[unitPrice])</f>
        <v>11.2</v>
      </c>
    </row>
    <row r="117" spans="1:22" x14ac:dyDescent="0.45">
      <c r="A117" s="3">
        <v>10363</v>
      </c>
      <c r="B117" s="6" t="s">
        <v>163</v>
      </c>
      <c r="C117" s="3">
        <v>4</v>
      </c>
      <c r="D117" s="6" t="str">
        <f>_xlfn.XLOOKUP(Table1[[#This Row],[EmployeeID]],Table4[employeeID],Table4[employeeName])</f>
        <v>Margaret Peacock</v>
      </c>
      <c r="E117" s="1">
        <v>41604</v>
      </c>
      <c r="F117" s="1">
        <v>41632</v>
      </c>
      <c r="G117" s="1">
        <v>41612</v>
      </c>
      <c r="H117" s="3">
        <f>IF(Table1[[#This Row],[ShippedDate]]="","",IF(Table1[[#This Row],[OrderDate]]="","",Table1[[#This Row],[ShippedDate]]-Table1[[#This Row],[OrderDate]]))</f>
        <v>8</v>
      </c>
      <c r="I117" s="3">
        <v>3</v>
      </c>
      <c r="J117" s="2">
        <v>30.54</v>
      </c>
      <c r="K117" s="2">
        <f>SUMIF(order_details!A:A,Table1[[#This Row],[orderID]],order_details!F:F)</f>
        <v>447.2</v>
      </c>
      <c r="L117" s="9">
        <f>_xlfn.XLOOKUP(Table1[[#This Row],[orderID]],Table3[orderID],Table3[discount])</f>
        <v>0</v>
      </c>
      <c r="M117" s="2">
        <f>SUM(Table1[[#This Row],[Sales]],Table1[[#This Row],[freight]])</f>
        <v>477.74</v>
      </c>
      <c r="N117" s="3">
        <f>_xlfn.XLOOKUP(Table1[[#This Row],[orderID]],Table3[orderID],Table3[quantity])</f>
        <v>20</v>
      </c>
      <c r="O117" s="6" t="str">
        <f>_xlfn.XLOOKUP(Table1[[#This Row],[CustomerID]],customers!A:A,customers!B:B)</f>
        <v>Drachenblut Delikatessen</v>
      </c>
      <c r="P117" s="6" t="str">
        <f>_xlfn.XLOOKUP(Table1[[#This Row],[shipperID]],Table6[shipperID],Table6[companyName])</f>
        <v>Federal Shipping</v>
      </c>
      <c r="Q117">
        <f>YEAR(Table1[[#This Row],[OrderDate]])</f>
        <v>2013</v>
      </c>
      <c r="R117">
        <f>MONTH(Table1[[#This Row],[OrderDate]])</f>
        <v>11</v>
      </c>
      <c r="S117" t="str">
        <f>"Q"&amp;ROUNDUP(Table1[[#This Row],[month]]/3,0)</f>
        <v>Q4</v>
      </c>
      <c r="T117" t="str">
        <f>CONCATENATE(Table1[[#This Row],[year]],"-",Table1[[#This Row],[Quarter]])</f>
        <v>2013-Q4</v>
      </c>
      <c r="U117" s="6" t="str">
        <f>IF(H116="","Pending",IF(Table1[[#This Row],[Days to ship]]&lt;Table1[[#This Row],[RequiredDate]],"On Time","Late"))</f>
        <v>On Time</v>
      </c>
      <c r="V117">
        <f>_xlfn.XLOOKUP(Table1[[#This Row],[orderID]],Table3[orderID],Table3[unitPrice])</f>
        <v>10</v>
      </c>
    </row>
    <row r="118" spans="1:22" x14ac:dyDescent="0.45">
      <c r="A118" s="3">
        <v>10364</v>
      </c>
      <c r="B118" s="6" t="s">
        <v>173</v>
      </c>
      <c r="C118" s="3">
        <v>1</v>
      </c>
      <c r="D118" s="6" t="str">
        <f>_xlfn.XLOOKUP(Table1[[#This Row],[EmployeeID]],Table4[employeeID],Table4[employeeName])</f>
        <v>Nancy Davolio</v>
      </c>
      <c r="E118" s="1">
        <v>41604</v>
      </c>
      <c r="F118" s="1">
        <v>41646</v>
      </c>
      <c r="G118" s="1">
        <v>41612</v>
      </c>
      <c r="H118" s="3">
        <f>IF(Table1[[#This Row],[ShippedDate]]="","",IF(Table1[[#This Row],[OrderDate]]="","",Table1[[#This Row],[ShippedDate]]-Table1[[#This Row],[OrderDate]]))</f>
        <v>8</v>
      </c>
      <c r="I118" s="3">
        <v>1</v>
      </c>
      <c r="J118" s="2">
        <v>71.97</v>
      </c>
      <c r="K118" s="2">
        <f>SUMIF(order_details!A:A,Table1[[#This Row],[orderID]],order_details!F:F)</f>
        <v>950</v>
      </c>
      <c r="L118" s="9">
        <f>_xlfn.XLOOKUP(Table1[[#This Row],[orderID]],Table3[orderID],Table3[discount])</f>
        <v>0</v>
      </c>
      <c r="M118" s="2">
        <f>SUM(Table1[[#This Row],[Sales]],Table1[[#This Row],[freight]])</f>
        <v>1021.97</v>
      </c>
      <c r="N118" s="3">
        <f>_xlfn.XLOOKUP(Table1[[#This Row],[orderID]],Table3[orderID],Table3[quantity])</f>
        <v>30</v>
      </c>
      <c r="O118" s="6" t="str">
        <f>_xlfn.XLOOKUP(Table1[[#This Row],[CustomerID]],customers!A:A,customers!B:B)</f>
        <v>Eastern Connection</v>
      </c>
      <c r="P118" s="6" t="str">
        <f>_xlfn.XLOOKUP(Table1[[#This Row],[shipperID]],Table6[shipperID],Table6[companyName])</f>
        <v>Speedy Express</v>
      </c>
      <c r="Q118">
        <f>YEAR(Table1[[#This Row],[OrderDate]])</f>
        <v>2013</v>
      </c>
      <c r="R118">
        <f>MONTH(Table1[[#This Row],[OrderDate]])</f>
        <v>11</v>
      </c>
      <c r="S118" t="str">
        <f>"Q"&amp;ROUNDUP(Table1[[#This Row],[month]]/3,0)</f>
        <v>Q4</v>
      </c>
      <c r="T118" t="str">
        <f>CONCATENATE(Table1[[#This Row],[year]],"-",Table1[[#This Row],[Quarter]])</f>
        <v>2013-Q4</v>
      </c>
      <c r="U118" s="6" t="str">
        <f>IF(H117="","Pending",IF(Table1[[#This Row],[Days to ship]]&lt;Table1[[#This Row],[RequiredDate]],"On Time","Late"))</f>
        <v>On Time</v>
      </c>
      <c r="V118">
        <f>_xlfn.XLOOKUP(Table1[[#This Row],[orderID]],Table3[orderID],Table3[unitPrice])</f>
        <v>28.8</v>
      </c>
    </row>
    <row r="119" spans="1:22" x14ac:dyDescent="0.45">
      <c r="A119" s="3">
        <v>10365</v>
      </c>
      <c r="B119" s="6" t="s">
        <v>227</v>
      </c>
      <c r="C119" s="3">
        <v>3</v>
      </c>
      <c r="D119" s="6" t="str">
        <f>_xlfn.XLOOKUP(Table1[[#This Row],[EmployeeID]],Table4[employeeID],Table4[employeeName])</f>
        <v>Janet Leverling</v>
      </c>
      <c r="E119" s="1">
        <v>41605</v>
      </c>
      <c r="F119" s="1">
        <v>41633</v>
      </c>
      <c r="G119" s="1">
        <v>41610</v>
      </c>
      <c r="H119" s="3">
        <f>IF(Table1[[#This Row],[ShippedDate]]="","",IF(Table1[[#This Row],[OrderDate]]="","",Table1[[#This Row],[ShippedDate]]-Table1[[#This Row],[OrderDate]]))</f>
        <v>5</v>
      </c>
      <c r="I119" s="3">
        <v>2</v>
      </c>
      <c r="J119" s="2">
        <v>22</v>
      </c>
      <c r="K119" s="2">
        <f>SUMIF(order_details!A:A,Table1[[#This Row],[orderID]],order_details!F:F)</f>
        <v>403.20000000000005</v>
      </c>
      <c r="L119" s="9">
        <f>_xlfn.XLOOKUP(Table1[[#This Row],[orderID]],Table3[orderID],Table3[discount])</f>
        <v>0</v>
      </c>
      <c r="M119" s="2">
        <f>SUM(Table1[[#This Row],[Sales]],Table1[[#This Row],[freight]])</f>
        <v>425.20000000000005</v>
      </c>
      <c r="N119" s="3">
        <f>_xlfn.XLOOKUP(Table1[[#This Row],[orderID]],Table3[orderID],Table3[quantity])</f>
        <v>24</v>
      </c>
      <c r="O119" s="6" t="str">
        <f>_xlfn.XLOOKUP(Table1[[#This Row],[CustomerID]],customers!A:A,customers!B:B)</f>
        <v>Antonio Moreno Taquería</v>
      </c>
      <c r="P119" s="6" t="str">
        <f>_xlfn.XLOOKUP(Table1[[#This Row],[shipperID]],Table6[shipperID],Table6[companyName])</f>
        <v>United Package</v>
      </c>
      <c r="Q119">
        <f>YEAR(Table1[[#This Row],[OrderDate]])</f>
        <v>2013</v>
      </c>
      <c r="R119">
        <f>MONTH(Table1[[#This Row],[OrderDate]])</f>
        <v>11</v>
      </c>
      <c r="S119" t="str">
        <f>"Q"&amp;ROUNDUP(Table1[[#This Row],[month]]/3,0)</f>
        <v>Q4</v>
      </c>
      <c r="T119" t="str">
        <f>CONCATENATE(Table1[[#This Row],[year]],"-",Table1[[#This Row],[Quarter]])</f>
        <v>2013-Q4</v>
      </c>
      <c r="U119" s="6" t="str">
        <f>IF(H118="","Pending",IF(Table1[[#This Row],[Days to ship]]&lt;Table1[[#This Row],[RequiredDate]],"On Time","Late"))</f>
        <v>On Time</v>
      </c>
      <c r="V119">
        <f>_xlfn.XLOOKUP(Table1[[#This Row],[orderID]],Table3[orderID],Table3[unitPrice])</f>
        <v>16.8</v>
      </c>
    </row>
    <row r="120" spans="1:22" x14ac:dyDescent="0.45">
      <c r="A120" s="3">
        <v>10366</v>
      </c>
      <c r="B120" s="6" t="s">
        <v>221</v>
      </c>
      <c r="C120" s="3">
        <v>8</v>
      </c>
      <c r="D120" s="6" t="str">
        <f>_xlfn.XLOOKUP(Table1[[#This Row],[EmployeeID]],Table4[employeeID],Table4[employeeName])</f>
        <v>Laura Callahan</v>
      </c>
      <c r="E120" s="1">
        <v>41606</v>
      </c>
      <c r="F120" s="1">
        <v>41648</v>
      </c>
      <c r="G120" s="1">
        <v>41638</v>
      </c>
      <c r="H120" s="3">
        <f>IF(Table1[[#This Row],[ShippedDate]]="","",IF(Table1[[#This Row],[OrderDate]]="","",Table1[[#This Row],[ShippedDate]]-Table1[[#This Row],[OrderDate]]))</f>
        <v>32</v>
      </c>
      <c r="I120" s="3">
        <v>2</v>
      </c>
      <c r="J120" s="2">
        <v>10.14</v>
      </c>
      <c r="K120" s="2">
        <f>SUMIF(order_details!A:A,Table1[[#This Row],[orderID]],order_details!F:F)</f>
        <v>136</v>
      </c>
      <c r="L120" s="9">
        <f>_xlfn.XLOOKUP(Table1[[#This Row],[orderID]],Table3[orderID],Table3[discount])</f>
        <v>0</v>
      </c>
      <c r="M120" s="2">
        <f>SUM(Table1[[#This Row],[Sales]],Table1[[#This Row],[freight]])</f>
        <v>146.13999999999999</v>
      </c>
      <c r="N120" s="3">
        <f>_xlfn.XLOOKUP(Table1[[#This Row],[orderID]],Table3[orderID],Table3[quantity])</f>
        <v>5</v>
      </c>
      <c r="O120" s="6" t="str">
        <f>_xlfn.XLOOKUP(Table1[[#This Row],[CustomerID]],customers!A:A,customers!B:B)</f>
        <v>Galería del gastrónomo</v>
      </c>
      <c r="P120" s="6" t="str">
        <f>_xlfn.XLOOKUP(Table1[[#This Row],[shipperID]],Table6[shipperID],Table6[companyName])</f>
        <v>United Package</v>
      </c>
      <c r="Q120">
        <f>YEAR(Table1[[#This Row],[OrderDate]])</f>
        <v>2013</v>
      </c>
      <c r="R120">
        <f>MONTH(Table1[[#This Row],[OrderDate]])</f>
        <v>11</v>
      </c>
      <c r="S120" t="str">
        <f>"Q"&amp;ROUNDUP(Table1[[#This Row],[month]]/3,0)</f>
        <v>Q4</v>
      </c>
      <c r="T120" t="str">
        <f>CONCATENATE(Table1[[#This Row],[year]],"-",Table1[[#This Row],[Quarter]])</f>
        <v>2013-Q4</v>
      </c>
      <c r="U120" s="6" t="str">
        <f>IF(H119="","Pending",IF(Table1[[#This Row],[Days to ship]]&lt;Table1[[#This Row],[RequiredDate]],"On Time","Late"))</f>
        <v>On Time</v>
      </c>
      <c r="V120">
        <f>_xlfn.XLOOKUP(Table1[[#This Row],[orderID]],Table3[orderID],Table3[unitPrice])</f>
        <v>16.8</v>
      </c>
    </row>
    <row r="121" spans="1:22" x14ac:dyDescent="0.45">
      <c r="A121" s="3">
        <v>10367</v>
      </c>
      <c r="B121" s="6" t="s">
        <v>207</v>
      </c>
      <c r="C121" s="3">
        <v>7</v>
      </c>
      <c r="D121" s="6" t="str">
        <f>_xlfn.XLOOKUP(Table1[[#This Row],[EmployeeID]],Table4[employeeID],Table4[employeeName])</f>
        <v>Robert King</v>
      </c>
      <c r="E121" s="1">
        <v>41606</v>
      </c>
      <c r="F121" s="1">
        <v>41634</v>
      </c>
      <c r="G121" s="1">
        <v>41610</v>
      </c>
      <c r="H121" s="3">
        <f>IF(Table1[[#This Row],[ShippedDate]]="","",IF(Table1[[#This Row],[OrderDate]]="","",Table1[[#This Row],[ShippedDate]]-Table1[[#This Row],[OrderDate]]))</f>
        <v>4</v>
      </c>
      <c r="I121" s="3">
        <v>3</v>
      </c>
      <c r="J121" s="2">
        <v>13.55</v>
      </c>
      <c r="K121" s="2">
        <f>SUMIF(order_details!A:A,Table1[[#This Row],[orderID]],order_details!F:F)</f>
        <v>834.19999999999993</v>
      </c>
      <c r="L121" s="9">
        <f>_xlfn.XLOOKUP(Table1[[#This Row],[orderID]],Table3[orderID],Table3[discount])</f>
        <v>0</v>
      </c>
      <c r="M121" s="2">
        <f>SUM(Table1[[#This Row],[Sales]],Table1[[#This Row],[freight]])</f>
        <v>847.74999999999989</v>
      </c>
      <c r="N121" s="3">
        <f>_xlfn.XLOOKUP(Table1[[#This Row],[orderID]],Table3[orderID],Table3[quantity])</f>
        <v>36</v>
      </c>
      <c r="O121" s="6" t="str">
        <f>_xlfn.XLOOKUP(Table1[[#This Row],[CustomerID]],customers!A:A,customers!B:B)</f>
        <v>Vaffeljernet</v>
      </c>
      <c r="P121" s="6" t="str">
        <f>_xlfn.XLOOKUP(Table1[[#This Row],[shipperID]],Table6[shipperID],Table6[companyName])</f>
        <v>Federal Shipping</v>
      </c>
      <c r="Q121">
        <f>YEAR(Table1[[#This Row],[OrderDate]])</f>
        <v>2013</v>
      </c>
      <c r="R121">
        <f>MONTH(Table1[[#This Row],[OrderDate]])</f>
        <v>11</v>
      </c>
      <c r="S121" t="str">
        <f>"Q"&amp;ROUNDUP(Table1[[#This Row],[month]]/3,0)</f>
        <v>Q4</v>
      </c>
      <c r="T121" t="str">
        <f>CONCATENATE(Table1[[#This Row],[year]],"-",Table1[[#This Row],[Quarter]])</f>
        <v>2013-Q4</v>
      </c>
      <c r="U121" s="6" t="str">
        <f>IF(H120="","Pending",IF(Table1[[#This Row],[Days to ship]]&lt;Table1[[#This Row],[RequiredDate]],"On Time","Late"))</f>
        <v>On Time</v>
      </c>
      <c r="V121">
        <f>_xlfn.XLOOKUP(Table1[[#This Row],[orderID]],Table3[orderID],Table3[unitPrice])</f>
        <v>11.2</v>
      </c>
    </row>
    <row r="122" spans="1:22" x14ac:dyDescent="0.45">
      <c r="A122" s="3">
        <v>10368</v>
      </c>
      <c r="B122" s="6" t="s">
        <v>158</v>
      </c>
      <c r="C122" s="3">
        <v>2</v>
      </c>
      <c r="D122" s="6" t="str">
        <f>_xlfn.XLOOKUP(Table1[[#This Row],[EmployeeID]],Table4[employeeID],Table4[employeeName])</f>
        <v>Andrew Fuller</v>
      </c>
      <c r="E122" s="1">
        <v>41607</v>
      </c>
      <c r="F122" s="1">
        <v>41635</v>
      </c>
      <c r="G122" s="1">
        <v>41610</v>
      </c>
      <c r="H122" s="3">
        <f>IF(Table1[[#This Row],[ShippedDate]]="","",IF(Table1[[#This Row],[OrderDate]]="","",Table1[[#This Row],[ShippedDate]]-Table1[[#This Row],[OrderDate]]))</f>
        <v>3</v>
      </c>
      <c r="I122" s="3">
        <v>2</v>
      </c>
      <c r="J122" s="2">
        <v>101.95</v>
      </c>
      <c r="K122" s="2">
        <f>SUMIF(order_details!A:A,Table1[[#This Row],[orderID]],order_details!F:F)</f>
        <v>1689.78</v>
      </c>
      <c r="L122" s="9">
        <f>_xlfn.XLOOKUP(Table1[[#This Row],[orderID]],Table3[orderID],Table3[discount])</f>
        <v>0.1</v>
      </c>
      <c r="M122" s="2">
        <f>SUM(Table1[[#This Row],[Sales]],Table1[[#This Row],[freight]])</f>
        <v>1791.73</v>
      </c>
      <c r="N122" s="3">
        <f>_xlfn.XLOOKUP(Table1[[#This Row],[orderID]],Table3[orderID],Table3[quantity])</f>
        <v>5</v>
      </c>
      <c r="O122" s="6" t="str">
        <f>_xlfn.XLOOKUP(Table1[[#This Row],[CustomerID]],customers!A:A,customers!B:B)</f>
        <v>Ernst Handel</v>
      </c>
      <c r="P122" s="6" t="str">
        <f>_xlfn.XLOOKUP(Table1[[#This Row],[shipperID]],Table6[shipperID],Table6[companyName])</f>
        <v>United Package</v>
      </c>
      <c r="Q122">
        <f>YEAR(Table1[[#This Row],[OrderDate]])</f>
        <v>2013</v>
      </c>
      <c r="R122">
        <f>MONTH(Table1[[#This Row],[OrderDate]])</f>
        <v>11</v>
      </c>
      <c r="S122" t="str">
        <f>"Q"&amp;ROUNDUP(Table1[[#This Row],[month]]/3,0)</f>
        <v>Q4</v>
      </c>
      <c r="T122" t="str">
        <f>CONCATENATE(Table1[[#This Row],[year]],"-",Table1[[#This Row],[Quarter]])</f>
        <v>2013-Q4</v>
      </c>
      <c r="U122" s="6" t="str">
        <f>IF(H121="","Pending",IF(Table1[[#This Row],[Days to ship]]&lt;Table1[[#This Row],[RequiredDate]],"On Time","Late"))</f>
        <v>On Time</v>
      </c>
      <c r="V122">
        <f>_xlfn.XLOOKUP(Table1[[#This Row],[orderID]],Table3[orderID],Table3[unitPrice])</f>
        <v>8</v>
      </c>
    </row>
    <row r="123" spans="1:22" x14ac:dyDescent="0.45">
      <c r="A123" s="3">
        <v>10369</v>
      </c>
      <c r="B123" s="6" t="s">
        <v>211</v>
      </c>
      <c r="C123" s="3">
        <v>8</v>
      </c>
      <c r="D123" s="6" t="str">
        <f>_xlfn.XLOOKUP(Table1[[#This Row],[EmployeeID]],Table4[employeeID],Table4[employeeName])</f>
        <v>Laura Callahan</v>
      </c>
      <c r="E123" s="1">
        <v>41610</v>
      </c>
      <c r="F123" s="1">
        <v>41638</v>
      </c>
      <c r="G123" s="1">
        <v>41617</v>
      </c>
      <c r="H123" s="3">
        <f>IF(Table1[[#This Row],[ShippedDate]]="","",IF(Table1[[#This Row],[OrderDate]]="","",Table1[[#This Row],[ShippedDate]]-Table1[[#This Row],[OrderDate]]))</f>
        <v>7</v>
      </c>
      <c r="I123" s="3">
        <v>2</v>
      </c>
      <c r="J123" s="2">
        <v>195.68</v>
      </c>
      <c r="K123" s="2">
        <f>SUMIF(order_details!A:A,Table1[[#This Row],[orderID]],order_details!F:F)</f>
        <v>2390.4</v>
      </c>
      <c r="L123" s="9">
        <f>_xlfn.XLOOKUP(Table1[[#This Row],[orderID]],Table3[orderID],Table3[discount])</f>
        <v>0</v>
      </c>
      <c r="M123" s="2">
        <f>SUM(Table1[[#This Row],[Sales]],Table1[[#This Row],[freight]])</f>
        <v>2586.08</v>
      </c>
      <c r="N123" s="3">
        <f>_xlfn.XLOOKUP(Table1[[#This Row],[orderID]],Table3[orderID],Table3[quantity])</f>
        <v>20</v>
      </c>
      <c r="O123" s="6" t="str">
        <f>_xlfn.XLOOKUP(Table1[[#This Row],[CustomerID]],customers!A:A,customers!B:B)</f>
        <v>Split Rail Beer &amp; Ale</v>
      </c>
      <c r="P123" s="6" t="str">
        <f>_xlfn.XLOOKUP(Table1[[#This Row],[shipperID]],Table6[shipperID],Table6[companyName])</f>
        <v>United Package</v>
      </c>
      <c r="Q123">
        <f>YEAR(Table1[[#This Row],[OrderDate]])</f>
        <v>2013</v>
      </c>
      <c r="R123">
        <f>MONTH(Table1[[#This Row],[OrderDate]])</f>
        <v>12</v>
      </c>
      <c r="S123" t="str">
        <f>"Q"&amp;ROUNDUP(Table1[[#This Row],[month]]/3,0)</f>
        <v>Q4</v>
      </c>
      <c r="T123" t="str">
        <f>CONCATENATE(Table1[[#This Row],[year]],"-",Table1[[#This Row],[Quarter]])</f>
        <v>2013-Q4</v>
      </c>
      <c r="U123" s="6" t="str">
        <f>IF(H122="","Pending",IF(Table1[[#This Row],[Days to ship]]&lt;Table1[[#This Row],[RequiredDate]],"On Time","Late"))</f>
        <v>On Time</v>
      </c>
      <c r="V123">
        <f>_xlfn.XLOOKUP(Table1[[#This Row],[orderID]],Table3[orderID],Table3[unitPrice])</f>
        <v>99</v>
      </c>
    </row>
    <row r="124" spans="1:22" x14ac:dyDescent="0.45">
      <c r="A124" s="3">
        <v>10370</v>
      </c>
      <c r="B124" s="6" t="s">
        <v>186</v>
      </c>
      <c r="C124" s="3">
        <v>6</v>
      </c>
      <c r="D124" s="6" t="str">
        <f>_xlfn.XLOOKUP(Table1[[#This Row],[EmployeeID]],Table4[employeeID],Table4[employeeName])</f>
        <v>Michael Suyama</v>
      </c>
      <c r="E124" s="1">
        <v>41611</v>
      </c>
      <c r="F124" s="1">
        <v>41639</v>
      </c>
      <c r="G124" s="1">
        <v>41635</v>
      </c>
      <c r="H124" s="3">
        <f>IF(Table1[[#This Row],[ShippedDate]]="","",IF(Table1[[#This Row],[OrderDate]]="","",Table1[[#This Row],[ShippedDate]]-Table1[[#This Row],[OrderDate]]))</f>
        <v>24</v>
      </c>
      <c r="I124" s="3">
        <v>2</v>
      </c>
      <c r="J124" s="2">
        <v>1.17</v>
      </c>
      <c r="K124" s="2">
        <f>SUMIF(order_details!A:A,Table1[[#This Row],[orderID]],order_details!F:F)</f>
        <v>1117.5999999999999</v>
      </c>
      <c r="L124" s="9">
        <f>_xlfn.XLOOKUP(Table1[[#This Row],[orderID]],Table3[orderID],Table3[discount])</f>
        <v>0.15</v>
      </c>
      <c r="M124" s="2">
        <f>SUM(Table1[[#This Row],[Sales]],Table1[[#This Row],[freight]])</f>
        <v>1118.77</v>
      </c>
      <c r="N124" s="3">
        <f>_xlfn.XLOOKUP(Table1[[#This Row],[orderID]],Table3[orderID],Table3[quantity])</f>
        <v>15</v>
      </c>
      <c r="O124" s="6" t="str">
        <f>_xlfn.XLOOKUP(Table1[[#This Row],[CustomerID]],customers!A:A,customers!B:B)</f>
        <v>Chop-suey Chinese</v>
      </c>
      <c r="P124" s="6" t="str">
        <f>_xlfn.XLOOKUP(Table1[[#This Row],[shipperID]],Table6[shipperID],Table6[companyName])</f>
        <v>United Package</v>
      </c>
      <c r="Q124">
        <f>YEAR(Table1[[#This Row],[OrderDate]])</f>
        <v>2013</v>
      </c>
      <c r="R124">
        <f>MONTH(Table1[[#This Row],[OrderDate]])</f>
        <v>12</v>
      </c>
      <c r="S124" t="str">
        <f>"Q"&amp;ROUNDUP(Table1[[#This Row],[month]]/3,0)</f>
        <v>Q4</v>
      </c>
      <c r="T124" t="str">
        <f>CONCATENATE(Table1[[#This Row],[year]],"-",Table1[[#This Row],[Quarter]])</f>
        <v>2013-Q4</v>
      </c>
      <c r="U124" s="6" t="str">
        <f>IF(H123="","Pending",IF(Table1[[#This Row],[Days to ship]]&lt;Table1[[#This Row],[RequiredDate]],"On Time","Late"))</f>
        <v>On Time</v>
      </c>
      <c r="V124">
        <f>_xlfn.XLOOKUP(Table1[[#This Row],[orderID]],Table3[orderID],Table3[unitPrice])</f>
        <v>14.4</v>
      </c>
    </row>
    <row r="125" spans="1:22" x14ac:dyDescent="0.45">
      <c r="A125" s="3">
        <v>10371</v>
      </c>
      <c r="B125" s="6" t="s">
        <v>178</v>
      </c>
      <c r="C125" s="3">
        <v>1</v>
      </c>
      <c r="D125" s="6" t="str">
        <f>_xlfn.XLOOKUP(Table1[[#This Row],[EmployeeID]],Table4[employeeID],Table4[employeeName])</f>
        <v>Nancy Davolio</v>
      </c>
      <c r="E125" s="1">
        <v>41611</v>
      </c>
      <c r="F125" s="1">
        <v>41639</v>
      </c>
      <c r="G125" s="1">
        <v>41632</v>
      </c>
      <c r="H125" s="3">
        <f>IF(Table1[[#This Row],[ShippedDate]]="","",IF(Table1[[#This Row],[OrderDate]]="","",Table1[[#This Row],[ShippedDate]]-Table1[[#This Row],[OrderDate]]))</f>
        <v>21</v>
      </c>
      <c r="I125" s="3">
        <v>1</v>
      </c>
      <c r="J125" s="2">
        <v>0.45</v>
      </c>
      <c r="K125" s="2">
        <f>SUMIF(order_details!A:A,Table1[[#This Row],[orderID]],order_details!F:F)</f>
        <v>72.959999999999994</v>
      </c>
      <c r="L125" s="9">
        <f>_xlfn.XLOOKUP(Table1[[#This Row],[orderID]],Table3[orderID],Table3[discount])</f>
        <v>0.2</v>
      </c>
      <c r="M125" s="2">
        <f>SUM(Table1[[#This Row],[Sales]],Table1[[#This Row],[freight]])</f>
        <v>73.41</v>
      </c>
      <c r="N125" s="3">
        <f>_xlfn.XLOOKUP(Table1[[#This Row],[orderID]],Table3[orderID],Table3[quantity])</f>
        <v>6</v>
      </c>
      <c r="O125" s="6" t="str">
        <f>_xlfn.XLOOKUP(Table1[[#This Row],[CustomerID]],customers!A:A,customers!B:B)</f>
        <v>La maison d'Asie</v>
      </c>
      <c r="P125" s="6" t="str">
        <f>_xlfn.XLOOKUP(Table1[[#This Row],[shipperID]],Table6[shipperID],Table6[companyName])</f>
        <v>Speedy Express</v>
      </c>
      <c r="Q125">
        <f>YEAR(Table1[[#This Row],[OrderDate]])</f>
        <v>2013</v>
      </c>
      <c r="R125">
        <f>MONTH(Table1[[#This Row],[OrderDate]])</f>
        <v>12</v>
      </c>
      <c r="S125" t="str">
        <f>"Q"&amp;ROUNDUP(Table1[[#This Row],[month]]/3,0)</f>
        <v>Q4</v>
      </c>
      <c r="T125" t="str">
        <f>CONCATENATE(Table1[[#This Row],[year]],"-",Table1[[#This Row],[Quarter]])</f>
        <v>2013-Q4</v>
      </c>
      <c r="U125" s="6" t="str">
        <f>IF(H124="","Pending",IF(Table1[[#This Row],[Days to ship]]&lt;Table1[[#This Row],[RequiredDate]],"On Time","Late"))</f>
        <v>On Time</v>
      </c>
      <c r="V125">
        <f>_xlfn.XLOOKUP(Table1[[#This Row],[orderID]],Table3[orderID],Table3[unitPrice])</f>
        <v>15.2</v>
      </c>
    </row>
    <row r="126" spans="1:22" x14ac:dyDescent="0.45">
      <c r="A126" s="3">
        <v>10372</v>
      </c>
      <c r="B126" s="6" t="s">
        <v>162</v>
      </c>
      <c r="C126" s="3">
        <v>5</v>
      </c>
      <c r="D126" s="6" t="str">
        <f>_xlfn.XLOOKUP(Table1[[#This Row],[EmployeeID]],Table4[employeeID],Table4[employeeName])</f>
        <v>Steven Buchanan</v>
      </c>
      <c r="E126" s="1">
        <v>41612</v>
      </c>
      <c r="F126" s="1">
        <v>41640</v>
      </c>
      <c r="G126" s="1">
        <v>41617</v>
      </c>
      <c r="H126" s="3">
        <f>IF(Table1[[#This Row],[ShippedDate]]="","",IF(Table1[[#This Row],[OrderDate]]="","",Table1[[#This Row],[ShippedDate]]-Table1[[#This Row],[OrderDate]]))</f>
        <v>5</v>
      </c>
      <c r="I126" s="3">
        <v>2</v>
      </c>
      <c r="J126" s="2">
        <v>890.78</v>
      </c>
      <c r="K126" s="2">
        <f>SUMIF(order_details!A:A,Table1[[#This Row],[orderID]],order_details!F:F)</f>
        <v>9210.9000000000015</v>
      </c>
      <c r="L126" s="9">
        <f>_xlfn.XLOOKUP(Table1[[#This Row],[orderID]],Table3[orderID],Table3[discount])</f>
        <v>0.25</v>
      </c>
      <c r="M126" s="2">
        <f>SUM(Table1[[#This Row],[Sales]],Table1[[#This Row],[freight]])</f>
        <v>10101.680000000002</v>
      </c>
      <c r="N126" s="3">
        <f>_xlfn.XLOOKUP(Table1[[#This Row],[orderID]],Table3[orderID],Table3[quantity])</f>
        <v>12</v>
      </c>
      <c r="O126" s="6" t="str">
        <f>_xlfn.XLOOKUP(Table1[[#This Row],[CustomerID]],customers!A:A,customers!B:B)</f>
        <v>Queen Cozinha</v>
      </c>
      <c r="P126" s="6" t="str">
        <f>_xlfn.XLOOKUP(Table1[[#This Row],[shipperID]],Table6[shipperID],Table6[companyName])</f>
        <v>United Package</v>
      </c>
      <c r="Q126">
        <f>YEAR(Table1[[#This Row],[OrderDate]])</f>
        <v>2013</v>
      </c>
      <c r="R126">
        <f>MONTH(Table1[[#This Row],[OrderDate]])</f>
        <v>12</v>
      </c>
      <c r="S126" t="str">
        <f>"Q"&amp;ROUNDUP(Table1[[#This Row],[month]]/3,0)</f>
        <v>Q4</v>
      </c>
      <c r="T126" t="str">
        <f>CONCATENATE(Table1[[#This Row],[year]],"-",Table1[[#This Row],[Quarter]])</f>
        <v>2013-Q4</v>
      </c>
      <c r="U126" s="6" t="str">
        <f>IF(H125="","Pending",IF(Table1[[#This Row],[Days to ship]]&lt;Table1[[#This Row],[RequiredDate]],"On Time","Late"))</f>
        <v>On Time</v>
      </c>
      <c r="V126">
        <f>_xlfn.XLOOKUP(Table1[[#This Row],[orderID]],Table3[orderID],Table3[unitPrice])</f>
        <v>64.8</v>
      </c>
    </row>
    <row r="127" spans="1:22" x14ac:dyDescent="0.45">
      <c r="A127" s="3">
        <v>10373</v>
      </c>
      <c r="B127" s="6" t="s">
        <v>166</v>
      </c>
      <c r="C127" s="3">
        <v>4</v>
      </c>
      <c r="D127" s="6" t="str">
        <f>_xlfn.XLOOKUP(Table1[[#This Row],[EmployeeID]],Table4[employeeID],Table4[employeeName])</f>
        <v>Margaret Peacock</v>
      </c>
      <c r="E127" s="1">
        <v>41613</v>
      </c>
      <c r="F127" s="1">
        <v>41641</v>
      </c>
      <c r="G127" s="1">
        <v>41619</v>
      </c>
      <c r="H127" s="3">
        <f>IF(Table1[[#This Row],[ShippedDate]]="","",IF(Table1[[#This Row],[OrderDate]]="","",Table1[[#This Row],[ShippedDate]]-Table1[[#This Row],[OrderDate]]))</f>
        <v>6</v>
      </c>
      <c r="I127" s="3">
        <v>3</v>
      </c>
      <c r="J127" s="2">
        <v>124.12</v>
      </c>
      <c r="K127" s="2">
        <f>SUMIF(order_details!A:A,Table1[[#This Row],[orderID]],order_details!F:F)</f>
        <v>1366.4</v>
      </c>
      <c r="L127" s="9">
        <f>_xlfn.XLOOKUP(Table1[[#This Row],[orderID]],Table3[orderID],Table3[discount])</f>
        <v>0.2</v>
      </c>
      <c r="M127" s="2">
        <f>SUM(Table1[[#This Row],[Sales]],Table1[[#This Row],[freight]])</f>
        <v>1490.52</v>
      </c>
      <c r="N127" s="3">
        <f>_xlfn.XLOOKUP(Table1[[#This Row],[orderID]],Table3[orderID],Table3[quantity])</f>
        <v>80</v>
      </c>
      <c r="O127" s="6" t="str">
        <f>_xlfn.XLOOKUP(Table1[[#This Row],[CustomerID]],customers!A:A,customers!B:B)</f>
        <v>Hungry Owl All-Night Grocers</v>
      </c>
      <c r="P127" s="6" t="str">
        <f>_xlfn.XLOOKUP(Table1[[#This Row],[shipperID]],Table6[shipperID],Table6[companyName])</f>
        <v>Federal Shipping</v>
      </c>
      <c r="Q127">
        <f>YEAR(Table1[[#This Row],[OrderDate]])</f>
        <v>2013</v>
      </c>
      <c r="R127">
        <f>MONTH(Table1[[#This Row],[OrderDate]])</f>
        <v>12</v>
      </c>
      <c r="S127" t="str">
        <f>"Q"&amp;ROUNDUP(Table1[[#This Row],[month]]/3,0)</f>
        <v>Q4</v>
      </c>
      <c r="T127" t="str">
        <f>CONCATENATE(Table1[[#This Row],[year]],"-",Table1[[#This Row],[Quarter]])</f>
        <v>2013-Q4</v>
      </c>
      <c r="U127" s="6" t="str">
        <f>IF(H126="","Pending",IF(Table1[[#This Row],[Days to ship]]&lt;Table1[[#This Row],[RequiredDate]],"On Time","Late"))</f>
        <v>On Time</v>
      </c>
      <c r="V127">
        <f>_xlfn.XLOOKUP(Table1[[#This Row],[orderID]],Table3[orderID],Table3[unitPrice])</f>
        <v>10.6</v>
      </c>
    </row>
    <row r="128" spans="1:22" x14ac:dyDescent="0.45">
      <c r="A128" s="3">
        <v>10374</v>
      </c>
      <c r="B128" s="6" t="s">
        <v>183</v>
      </c>
      <c r="C128" s="3">
        <v>1</v>
      </c>
      <c r="D128" s="6" t="str">
        <f>_xlfn.XLOOKUP(Table1[[#This Row],[EmployeeID]],Table4[employeeID],Table4[employeeName])</f>
        <v>Nancy Davolio</v>
      </c>
      <c r="E128" s="1">
        <v>41613</v>
      </c>
      <c r="F128" s="1">
        <v>41641</v>
      </c>
      <c r="G128" s="1">
        <v>41617</v>
      </c>
      <c r="H128" s="3">
        <f>IF(Table1[[#This Row],[ShippedDate]]="","",IF(Table1[[#This Row],[OrderDate]]="","",Table1[[#This Row],[ShippedDate]]-Table1[[#This Row],[OrderDate]]))</f>
        <v>4</v>
      </c>
      <c r="I128" s="3">
        <v>3</v>
      </c>
      <c r="J128" s="2">
        <v>3.94</v>
      </c>
      <c r="K128" s="2">
        <f>SUMIF(order_details!A:A,Table1[[#This Row],[orderID]],order_details!F:F)</f>
        <v>459</v>
      </c>
      <c r="L128" s="9">
        <f>_xlfn.XLOOKUP(Table1[[#This Row],[orderID]],Table3[orderID],Table3[discount])</f>
        <v>0</v>
      </c>
      <c r="M128" s="2">
        <f>SUM(Table1[[#This Row],[Sales]],Table1[[#This Row],[freight]])</f>
        <v>462.94</v>
      </c>
      <c r="N128" s="3">
        <f>_xlfn.XLOOKUP(Table1[[#This Row],[orderID]],Table3[orderID],Table3[quantity])</f>
        <v>30</v>
      </c>
      <c r="O128" s="6" t="str">
        <f>_xlfn.XLOOKUP(Table1[[#This Row],[CustomerID]],customers!A:A,customers!B:B)</f>
        <v>Wolski  Zajazd</v>
      </c>
      <c r="P128" s="6" t="str">
        <f>_xlfn.XLOOKUP(Table1[[#This Row],[shipperID]],Table6[shipperID],Table6[companyName])</f>
        <v>Federal Shipping</v>
      </c>
      <c r="Q128">
        <f>YEAR(Table1[[#This Row],[OrderDate]])</f>
        <v>2013</v>
      </c>
      <c r="R128">
        <f>MONTH(Table1[[#This Row],[OrderDate]])</f>
        <v>12</v>
      </c>
      <c r="S128" t="str">
        <f>"Q"&amp;ROUNDUP(Table1[[#This Row],[month]]/3,0)</f>
        <v>Q4</v>
      </c>
      <c r="T128" t="str">
        <f>CONCATENATE(Table1[[#This Row],[year]],"-",Table1[[#This Row],[Quarter]])</f>
        <v>2013-Q4</v>
      </c>
      <c r="U128" s="6" t="str">
        <f>IF(H127="","Pending",IF(Table1[[#This Row],[Days to ship]]&lt;Table1[[#This Row],[RequiredDate]],"On Time","Late"))</f>
        <v>On Time</v>
      </c>
      <c r="V128">
        <f>_xlfn.XLOOKUP(Table1[[#This Row],[orderID]],Table3[orderID],Table3[unitPrice])</f>
        <v>10</v>
      </c>
    </row>
    <row r="129" spans="1:22" x14ac:dyDescent="0.45">
      <c r="A129" s="3">
        <v>10375</v>
      </c>
      <c r="B129" s="6" t="s">
        <v>239</v>
      </c>
      <c r="C129" s="3">
        <v>3</v>
      </c>
      <c r="D129" s="6" t="str">
        <f>_xlfn.XLOOKUP(Table1[[#This Row],[EmployeeID]],Table4[employeeID],Table4[employeeName])</f>
        <v>Janet Leverling</v>
      </c>
      <c r="E129" s="1">
        <v>41614</v>
      </c>
      <c r="F129" s="1">
        <v>41642</v>
      </c>
      <c r="G129" s="1">
        <v>41617</v>
      </c>
      <c r="H129" s="3">
        <f>IF(Table1[[#This Row],[ShippedDate]]="","",IF(Table1[[#This Row],[OrderDate]]="","",Table1[[#This Row],[ShippedDate]]-Table1[[#This Row],[OrderDate]]))</f>
        <v>3</v>
      </c>
      <c r="I129" s="3">
        <v>2</v>
      </c>
      <c r="J129" s="2">
        <v>20.12</v>
      </c>
      <c r="K129" s="2">
        <f>SUMIF(order_details!A:A,Table1[[#This Row],[orderID]],order_details!F:F)</f>
        <v>338</v>
      </c>
      <c r="L129" s="9">
        <f>_xlfn.XLOOKUP(Table1[[#This Row],[orderID]],Table3[orderID],Table3[discount])</f>
        <v>0</v>
      </c>
      <c r="M129" s="2">
        <f>SUM(Table1[[#This Row],[Sales]],Table1[[#This Row],[freight]])</f>
        <v>358.12</v>
      </c>
      <c r="N129" s="3">
        <f>_xlfn.XLOOKUP(Table1[[#This Row],[orderID]],Table3[orderID],Table3[quantity])</f>
        <v>15</v>
      </c>
      <c r="O129" s="6" t="str">
        <f>_xlfn.XLOOKUP(Table1[[#This Row],[CustomerID]],customers!A:A,customers!B:B)</f>
        <v>Hungry Coyote Import Store</v>
      </c>
      <c r="P129" s="6" t="str">
        <f>_xlfn.XLOOKUP(Table1[[#This Row],[shipperID]],Table6[shipperID],Table6[companyName])</f>
        <v>United Package</v>
      </c>
      <c r="Q129">
        <f>YEAR(Table1[[#This Row],[OrderDate]])</f>
        <v>2013</v>
      </c>
      <c r="R129">
        <f>MONTH(Table1[[#This Row],[OrderDate]])</f>
        <v>12</v>
      </c>
      <c r="S129" t="str">
        <f>"Q"&amp;ROUNDUP(Table1[[#This Row],[month]]/3,0)</f>
        <v>Q4</v>
      </c>
      <c r="T129" t="str">
        <f>CONCATENATE(Table1[[#This Row],[year]],"-",Table1[[#This Row],[Quarter]])</f>
        <v>2013-Q4</v>
      </c>
      <c r="U129" s="6" t="str">
        <f>IF(H128="","Pending",IF(Table1[[#This Row],[Days to ship]]&lt;Table1[[#This Row],[RequiredDate]],"On Time","Late"))</f>
        <v>On Time</v>
      </c>
      <c r="V129">
        <f>_xlfn.XLOOKUP(Table1[[#This Row],[orderID]],Table3[orderID],Table3[unitPrice])</f>
        <v>18.600000000000001</v>
      </c>
    </row>
    <row r="130" spans="1:22" x14ac:dyDescent="0.45">
      <c r="A130" s="3">
        <v>10376</v>
      </c>
      <c r="B130" s="6" t="s">
        <v>238</v>
      </c>
      <c r="C130" s="3">
        <v>1</v>
      </c>
      <c r="D130" s="6" t="str">
        <f>_xlfn.XLOOKUP(Table1[[#This Row],[EmployeeID]],Table4[employeeID],Table4[employeeName])</f>
        <v>Nancy Davolio</v>
      </c>
      <c r="E130" s="1">
        <v>41617</v>
      </c>
      <c r="F130" s="1">
        <v>41645</v>
      </c>
      <c r="G130" s="1">
        <v>41621</v>
      </c>
      <c r="H130" s="3">
        <f>IF(Table1[[#This Row],[ShippedDate]]="","",IF(Table1[[#This Row],[OrderDate]]="","",Table1[[#This Row],[ShippedDate]]-Table1[[#This Row],[OrderDate]]))</f>
        <v>4</v>
      </c>
      <c r="I130" s="3">
        <v>2</v>
      </c>
      <c r="J130" s="2">
        <v>20.39</v>
      </c>
      <c r="K130" s="2">
        <f>SUMIF(order_details!A:A,Table1[[#This Row],[orderID]],order_details!F:F)</f>
        <v>399</v>
      </c>
      <c r="L130" s="9">
        <f>_xlfn.XLOOKUP(Table1[[#This Row],[orderID]],Table3[orderID],Table3[discount])</f>
        <v>0.05</v>
      </c>
      <c r="M130" s="2">
        <f>SUM(Table1[[#This Row],[Sales]],Table1[[#This Row],[freight]])</f>
        <v>419.39</v>
      </c>
      <c r="N130" s="3">
        <f>_xlfn.XLOOKUP(Table1[[#This Row],[orderID]],Table3[orderID],Table3[quantity])</f>
        <v>42</v>
      </c>
      <c r="O130" s="6" t="str">
        <f>_xlfn.XLOOKUP(Table1[[#This Row],[CustomerID]],customers!A:A,customers!B:B)</f>
        <v>Mère Paillarde</v>
      </c>
      <c r="P130" s="6" t="str">
        <f>_xlfn.XLOOKUP(Table1[[#This Row],[shipperID]],Table6[shipperID],Table6[companyName])</f>
        <v>United Package</v>
      </c>
      <c r="Q130">
        <f>YEAR(Table1[[#This Row],[OrderDate]])</f>
        <v>2013</v>
      </c>
      <c r="R130">
        <f>MONTH(Table1[[#This Row],[OrderDate]])</f>
        <v>12</v>
      </c>
      <c r="S130" t="str">
        <f>"Q"&amp;ROUNDUP(Table1[[#This Row],[month]]/3,0)</f>
        <v>Q4</v>
      </c>
      <c r="T130" t="str">
        <f>CONCATENATE(Table1[[#This Row],[year]],"-",Table1[[#This Row],[Quarter]])</f>
        <v>2013-Q4</v>
      </c>
      <c r="U130" s="6" t="str">
        <f>IF(H129="","Pending",IF(Table1[[#This Row],[Days to ship]]&lt;Table1[[#This Row],[RequiredDate]],"On Time","Late"))</f>
        <v>On Time</v>
      </c>
      <c r="V130">
        <f>_xlfn.XLOOKUP(Table1[[#This Row],[orderID]],Table3[orderID],Table3[unitPrice])</f>
        <v>10</v>
      </c>
    </row>
    <row r="131" spans="1:22" x14ac:dyDescent="0.45">
      <c r="A131" s="3">
        <v>10377</v>
      </c>
      <c r="B131" s="6" t="s">
        <v>226</v>
      </c>
      <c r="C131" s="3">
        <v>1</v>
      </c>
      <c r="D131" s="6" t="str">
        <f>_xlfn.XLOOKUP(Table1[[#This Row],[EmployeeID]],Table4[employeeID],Table4[employeeName])</f>
        <v>Nancy Davolio</v>
      </c>
      <c r="E131" s="1">
        <v>41617</v>
      </c>
      <c r="F131" s="1">
        <v>41645</v>
      </c>
      <c r="G131" s="1">
        <v>41621</v>
      </c>
      <c r="H131" s="3">
        <f>IF(Table1[[#This Row],[ShippedDate]]="","",IF(Table1[[#This Row],[OrderDate]]="","",Table1[[#This Row],[ShippedDate]]-Table1[[#This Row],[OrderDate]]))</f>
        <v>4</v>
      </c>
      <c r="I131" s="3">
        <v>3</v>
      </c>
      <c r="J131" s="2">
        <v>22.21</v>
      </c>
      <c r="K131" s="2">
        <f>SUMIF(order_details!A:A,Table1[[#This Row],[orderID]],order_details!F:F)</f>
        <v>863.59999999999991</v>
      </c>
      <c r="L131" s="9">
        <f>_xlfn.XLOOKUP(Table1[[#This Row],[orderID]],Table3[orderID],Table3[discount])</f>
        <v>0.15</v>
      </c>
      <c r="M131" s="2">
        <f>SUM(Table1[[#This Row],[Sales]],Table1[[#This Row],[freight]])</f>
        <v>885.81</v>
      </c>
      <c r="N131" s="3">
        <f>_xlfn.XLOOKUP(Table1[[#This Row],[orderID]],Table3[orderID],Table3[quantity])</f>
        <v>20</v>
      </c>
      <c r="O131" s="6" t="str">
        <f>_xlfn.XLOOKUP(Table1[[#This Row],[CustomerID]],customers!A:A,customers!B:B)</f>
        <v>Seven Seas Imports</v>
      </c>
      <c r="P131" s="6" t="str">
        <f>_xlfn.XLOOKUP(Table1[[#This Row],[shipperID]],Table6[shipperID],Table6[companyName])</f>
        <v>Federal Shipping</v>
      </c>
      <c r="Q131">
        <f>YEAR(Table1[[#This Row],[OrderDate]])</f>
        <v>2013</v>
      </c>
      <c r="R131">
        <f>MONTH(Table1[[#This Row],[OrderDate]])</f>
        <v>12</v>
      </c>
      <c r="S131" t="str">
        <f>"Q"&amp;ROUNDUP(Table1[[#This Row],[month]]/3,0)</f>
        <v>Q4</v>
      </c>
      <c r="T131" t="str">
        <f>CONCATENATE(Table1[[#This Row],[year]],"-",Table1[[#This Row],[Quarter]])</f>
        <v>2013-Q4</v>
      </c>
      <c r="U131" s="6" t="str">
        <f>IF(H130="","Pending",IF(Table1[[#This Row],[Days to ship]]&lt;Table1[[#This Row],[RequiredDate]],"On Time","Late"))</f>
        <v>On Time</v>
      </c>
      <c r="V131">
        <f>_xlfn.XLOOKUP(Table1[[#This Row],[orderID]],Table3[orderID],Table3[unitPrice])</f>
        <v>36.4</v>
      </c>
    </row>
    <row r="132" spans="1:22" x14ac:dyDescent="0.45">
      <c r="A132" s="3">
        <v>10378</v>
      </c>
      <c r="B132" s="6" t="s">
        <v>179</v>
      </c>
      <c r="C132" s="3">
        <v>5</v>
      </c>
      <c r="D132" s="6" t="str">
        <f>_xlfn.XLOOKUP(Table1[[#This Row],[EmployeeID]],Table4[employeeID],Table4[employeeName])</f>
        <v>Steven Buchanan</v>
      </c>
      <c r="E132" s="1">
        <v>41618</v>
      </c>
      <c r="F132" s="1">
        <v>41646</v>
      </c>
      <c r="G132" s="1">
        <v>41627</v>
      </c>
      <c r="H132" s="3">
        <f>IF(Table1[[#This Row],[ShippedDate]]="","",IF(Table1[[#This Row],[OrderDate]]="","",Table1[[#This Row],[ShippedDate]]-Table1[[#This Row],[OrderDate]]))</f>
        <v>9</v>
      </c>
      <c r="I132" s="3">
        <v>3</v>
      </c>
      <c r="J132" s="2">
        <v>5.44</v>
      </c>
      <c r="K132" s="2">
        <f>SUMIF(order_details!A:A,Table1[[#This Row],[orderID]],order_details!F:F)</f>
        <v>103.19999999999999</v>
      </c>
      <c r="L132" s="9">
        <f>_xlfn.XLOOKUP(Table1[[#This Row],[orderID]],Table3[orderID],Table3[discount])</f>
        <v>0</v>
      </c>
      <c r="M132" s="2">
        <f>SUM(Table1[[#This Row],[Sales]],Table1[[#This Row],[freight]])</f>
        <v>108.63999999999999</v>
      </c>
      <c r="N132" s="3">
        <f>_xlfn.XLOOKUP(Table1[[#This Row],[orderID]],Table3[orderID],Table3[quantity])</f>
        <v>6</v>
      </c>
      <c r="O132" s="6" t="str">
        <f>_xlfn.XLOOKUP(Table1[[#This Row],[CustomerID]],customers!A:A,customers!B:B)</f>
        <v>Folk och fä HB</v>
      </c>
      <c r="P132" s="6" t="str">
        <f>_xlfn.XLOOKUP(Table1[[#This Row],[shipperID]],Table6[shipperID],Table6[companyName])</f>
        <v>Federal Shipping</v>
      </c>
      <c r="Q132">
        <f>YEAR(Table1[[#This Row],[OrderDate]])</f>
        <v>2013</v>
      </c>
      <c r="R132">
        <f>MONTH(Table1[[#This Row],[OrderDate]])</f>
        <v>12</v>
      </c>
      <c r="S132" t="str">
        <f>"Q"&amp;ROUNDUP(Table1[[#This Row],[month]]/3,0)</f>
        <v>Q4</v>
      </c>
      <c r="T132" t="str">
        <f>CONCATENATE(Table1[[#This Row],[year]],"-",Table1[[#This Row],[Quarter]])</f>
        <v>2013-Q4</v>
      </c>
      <c r="U132" s="6" t="str">
        <f>IF(H131="","Pending",IF(Table1[[#This Row],[Days to ship]]&lt;Table1[[#This Row],[RequiredDate]],"On Time","Late"))</f>
        <v>On Time</v>
      </c>
      <c r="V132">
        <f>_xlfn.XLOOKUP(Table1[[#This Row],[orderID]],Table3[orderID],Table3[unitPrice])</f>
        <v>17.2</v>
      </c>
    </row>
    <row r="133" spans="1:22" x14ac:dyDescent="0.45">
      <c r="A133" s="3">
        <v>10379</v>
      </c>
      <c r="B133" s="6" t="s">
        <v>209</v>
      </c>
      <c r="C133" s="3">
        <v>2</v>
      </c>
      <c r="D133" s="6" t="str">
        <f>_xlfn.XLOOKUP(Table1[[#This Row],[EmployeeID]],Table4[employeeID],Table4[employeeName])</f>
        <v>Andrew Fuller</v>
      </c>
      <c r="E133" s="1">
        <v>41619</v>
      </c>
      <c r="F133" s="1">
        <v>41647</v>
      </c>
      <c r="G133" s="1">
        <v>41621</v>
      </c>
      <c r="H133" s="3">
        <f>IF(Table1[[#This Row],[ShippedDate]]="","",IF(Table1[[#This Row],[OrderDate]]="","",Table1[[#This Row],[ShippedDate]]-Table1[[#This Row],[OrderDate]]))</f>
        <v>2</v>
      </c>
      <c r="I133" s="3">
        <v>1</v>
      </c>
      <c r="J133" s="2">
        <v>45.03</v>
      </c>
      <c r="K133" s="2">
        <f>SUMIF(order_details!A:A,Table1[[#This Row],[orderID]],order_details!F:F)</f>
        <v>863.2800000000002</v>
      </c>
      <c r="L133" s="9">
        <f>_xlfn.XLOOKUP(Table1[[#This Row],[orderID]],Table3[orderID],Table3[discount])</f>
        <v>0.1</v>
      </c>
      <c r="M133" s="2">
        <f>SUM(Table1[[#This Row],[Sales]],Table1[[#This Row],[freight]])</f>
        <v>908.31000000000017</v>
      </c>
      <c r="N133" s="3">
        <f>_xlfn.XLOOKUP(Table1[[#This Row],[orderID]],Table3[orderID],Table3[quantity])</f>
        <v>8</v>
      </c>
      <c r="O133" s="6" t="str">
        <f>_xlfn.XLOOKUP(Table1[[#This Row],[CustomerID]],customers!A:A,customers!B:B)</f>
        <v>Que Delícia</v>
      </c>
      <c r="P133" s="6" t="str">
        <f>_xlfn.XLOOKUP(Table1[[#This Row],[shipperID]],Table6[shipperID],Table6[companyName])</f>
        <v>Speedy Express</v>
      </c>
      <c r="Q133">
        <f>YEAR(Table1[[#This Row],[OrderDate]])</f>
        <v>2013</v>
      </c>
      <c r="R133">
        <f>MONTH(Table1[[#This Row],[OrderDate]])</f>
        <v>12</v>
      </c>
      <c r="S133" t="str">
        <f>"Q"&amp;ROUNDUP(Table1[[#This Row],[month]]/3,0)</f>
        <v>Q4</v>
      </c>
      <c r="T133" t="str">
        <f>CONCATENATE(Table1[[#This Row],[year]],"-",Table1[[#This Row],[Quarter]])</f>
        <v>2013-Q4</v>
      </c>
      <c r="U133" s="6" t="str">
        <f>IF(H132="","Pending",IF(Table1[[#This Row],[Days to ship]]&lt;Table1[[#This Row],[RequiredDate]],"On Time","Late"))</f>
        <v>On Time</v>
      </c>
      <c r="V133">
        <f>_xlfn.XLOOKUP(Table1[[#This Row],[orderID]],Table3[orderID],Table3[unitPrice])</f>
        <v>7.7</v>
      </c>
    </row>
    <row r="134" spans="1:22" x14ac:dyDescent="0.45">
      <c r="A134" s="3">
        <v>10380</v>
      </c>
      <c r="B134" s="6" t="s">
        <v>166</v>
      </c>
      <c r="C134" s="3">
        <v>8</v>
      </c>
      <c r="D134" s="6" t="str">
        <f>_xlfn.XLOOKUP(Table1[[#This Row],[EmployeeID]],Table4[employeeID],Table4[employeeName])</f>
        <v>Laura Callahan</v>
      </c>
      <c r="E134" s="1">
        <v>41620</v>
      </c>
      <c r="F134" s="1">
        <v>41648</v>
      </c>
      <c r="G134" s="1">
        <v>41655</v>
      </c>
      <c r="H134" s="3">
        <f>IF(Table1[[#This Row],[ShippedDate]]="","",IF(Table1[[#This Row],[OrderDate]]="","",Table1[[#This Row],[ShippedDate]]-Table1[[#This Row],[OrderDate]]))</f>
        <v>35</v>
      </c>
      <c r="I134" s="3">
        <v>3</v>
      </c>
      <c r="J134" s="2">
        <v>35.03</v>
      </c>
      <c r="K134" s="2">
        <f>SUMIF(order_details!A:A,Table1[[#This Row],[orderID]],order_details!F:F)</f>
        <v>1313.8200000000002</v>
      </c>
      <c r="L134" s="9">
        <f>_xlfn.XLOOKUP(Table1[[#This Row],[orderID]],Table3[orderID],Table3[discount])</f>
        <v>0.1</v>
      </c>
      <c r="M134" s="2">
        <f>SUM(Table1[[#This Row],[Sales]],Table1[[#This Row],[freight]])</f>
        <v>1348.8500000000001</v>
      </c>
      <c r="N134" s="3">
        <f>_xlfn.XLOOKUP(Table1[[#This Row],[orderID]],Table3[orderID],Table3[quantity])</f>
        <v>18</v>
      </c>
      <c r="O134" s="6" t="str">
        <f>_xlfn.XLOOKUP(Table1[[#This Row],[CustomerID]],customers!A:A,customers!B:B)</f>
        <v>Hungry Owl All-Night Grocers</v>
      </c>
      <c r="P134" s="6" t="str">
        <f>_xlfn.XLOOKUP(Table1[[#This Row],[shipperID]],Table6[shipperID],Table6[companyName])</f>
        <v>Federal Shipping</v>
      </c>
      <c r="Q134">
        <f>YEAR(Table1[[#This Row],[OrderDate]])</f>
        <v>2013</v>
      </c>
      <c r="R134">
        <f>MONTH(Table1[[#This Row],[OrderDate]])</f>
        <v>12</v>
      </c>
      <c r="S134" t="str">
        <f>"Q"&amp;ROUNDUP(Table1[[#This Row],[month]]/3,0)</f>
        <v>Q4</v>
      </c>
      <c r="T134" t="str">
        <f>CONCATENATE(Table1[[#This Row],[year]],"-",Table1[[#This Row],[Quarter]])</f>
        <v>2013-Q4</v>
      </c>
      <c r="U134" s="6" t="str">
        <f>IF(H133="","Pending",IF(Table1[[#This Row],[Days to ship]]&lt;Table1[[#This Row],[RequiredDate]],"On Time","Late"))</f>
        <v>On Time</v>
      </c>
      <c r="V134">
        <f>_xlfn.XLOOKUP(Table1[[#This Row],[orderID]],Table3[orderID],Table3[unitPrice])</f>
        <v>20.7</v>
      </c>
    </row>
    <row r="135" spans="1:22" x14ac:dyDescent="0.45">
      <c r="A135" s="3">
        <v>10381</v>
      </c>
      <c r="B135" s="6" t="s">
        <v>159</v>
      </c>
      <c r="C135" s="3">
        <v>3</v>
      </c>
      <c r="D135" s="6" t="str">
        <f>_xlfn.XLOOKUP(Table1[[#This Row],[EmployeeID]],Table4[employeeID],Table4[employeeName])</f>
        <v>Janet Leverling</v>
      </c>
      <c r="E135" s="1">
        <v>41620</v>
      </c>
      <c r="F135" s="1">
        <v>41648</v>
      </c>
      <c r="G135" s="1">
        <v>41621</v>
      </c>
      <c r="H135" s="3">
        <f>IF(Table1[[#This Row],[ShippedDate]]="","",IF(Table1[[#This Row],[OrderDate]]="","",Table1[[#This Row],[ShippedDate]]-Table1[[#This Row],[OrderDate]]))</f>
        <v>1</v>
      </c>
      <c r="I135" s="3">
        <v>3</v>
      </c>
      <c r="J135" s="2">
        <v>7.99</v>
      </c>
      <c r="K135" s="2">
        <f>SUMIF(order_details!A:A,Table1[[#This Row],[orderID]],order_details!F:F)</f>
        <v>112</v>
      </c>
      <c r="L135" s="9">
        <f>_xlfn.XLOOKUP(Table1[[#This Row],[orderID]],Table3[orderID],Table3[discount])</f>
        <v>0</v>
      </c>
      <c r="M135" s="2">
        <f>SUM(Table1[[#This Row],[Sales]],Table1[[#This Row],[freight]])</f>
        <v>119.99</v>
      </c>
      <c r="N135" s="3">
        <f>_xlfn.XLOOKUP(Table1[[#This Row],[orderID]],Table3[orderID],Table3[quantity])</f>
        <v>14</v>
      </c>
      <c r="O135" s="6" t="str">
        <f>_xlfn.XLOOKUP(Table1[[#This Row],[CustomerID]],customers!A:A,customers!B:B)</f>
        <v>LILA-Supermercado</v>
      </c>
      <c r="P135" s="6" t="str">
        <f>_xlfn.XLOOKUP(Table1[[#This Row],[shipperID]],Table6[shipperID],Table6[companyName])</f>
        <v>Federal Shipping</v>
      </c>
      <c r="Q135">
        <f>YEAR(Table1[[#This Row],[OrderDate]])</f>
        <v>2013</v>
      </c>
      <c r="R135">
        <f>MONTH(Table1[[#This Row],[OrderDate]])</f>
        <v>12</v>
      </c>
      <c r="S135" t="str">
        <f>"Q"&amp;ROUNDUP(Table1[[#This Row],[month]]/3,0)</f>
        <v>Q4</v>
      </c>
      <c r="T135" t="str">
        <f>CONCATENATE(Table1[[#This Row],[year]],"-",Table1[[#This Row],[Quarter]])</f>
        <v>2013-Q4</v>
      </c>
      <c r="U135" s="6" t="str">
        <f>IF(H134="","Pending",IF(Table1[[#This Row],[Days to ship]]&lt;Table1[[#This Row],[RequiredDate]],"On Time","Late"))</f>
        <v>On Time</v>
      </c>
      <c r="V135">
        <f>_xlfn.XLOOKUP(Table1[[#This Row],[orderID]],Table3[orderID],Table3[unitPrice])</f>
        <v>8</v>
      </c>
    </row>
    <row r="136" spans="1:22" x14ac:dyDescent="0.45">
      <c r="A136" s="3">
        <v>10382</v>
      </c>
      <c r="B136" s="6" t="s">
        <v>158</v>
      </c>
      <c r="C136" s="3">
        <v>4</v>
      </c>
      <c r="D136" s="6" t="str">
        <f>_xlfn.XLOOKUP(Table1[[#This Row],[EmployeeID]],Table4[employeeID],Table4[employeeName])</f>
        <v>Margaret Peacock</v>
      </c>
      <c r="E136" s="1">
        <v>41621</v>
      </c>
      <c r="F136" s="1">
        <v>41649</v>
      </c>
      <c r="G136" s="1">
        <v>41624</v>
      </c>
      <c r="H136" s="3">
        <f>IF(Table1[[#This Row],[ShippedDate]]="","",IF(Table1[[#This Row],[OrderDate]]="","",Table1[[#This Row],[ShippedDate]]-Table1[[#This Row],[OrderDate]]))</f>
        <v>3</v>
      </c>
      <c r="I136" s="3">
        <v>1</v>
      </c>
      <c r="J136" s="2">
        <v>94.77</v>
      </c>
      <c r="K136" s="2">
        <f>SUMIF(order_details!A:A,Table1[[#This Row],[orderID]],order_details!F:F)</f>
        <v>2900</v>
      </c>
      <c r="L136" s="9">
        <f>_xlfn.XLOOKUP(Table1[[#This Row],[orderID]],Table3[orderID],Table3[discount])</f>
        <v>0</v>
      </c>
      <c r="M136" s="2">
        <f>SUM(Table1[[#This Row],[Sales]],Table1[[#This Row],[freight]])</f>
        <v>2994.77</v>
      </c>
      <c r="N136" s="3">
        <f>_xlfn.XLOOKUP(Table1[[#This Row],[orderID]],Table3[orderID],Table3[quantity])</f>
        <v>32</v>
      </c>
      <c r="O136" s="6" t="str">
        <f>_xlfn.XLOOKUP(Table1[[#This Row],[CustomerID]],customers!A:A,customers!B:B)</f>
        <v>Ernst Handel</v>
      </c>
      <c r="P136" s="6" t="str">
        <f>_xlfn.XLOOKUP(Table1[[#This Row],[shipperID]],Table6[shipperID],Table6[companyName])</f>
        <v>Speedy Express</v>
      </c>
      <c r="Q136">
        <f>YEAR(Table1[[#This Row],[OrderDate]])</f>
        <v>2013</v>
      </c>
      <c r="R136">
        <f>MONTH(Table1[[#This Row],[OrderDate]])</f>
        <v>12</v>
      </c>
      <c r="S136" t="str">
        <f>"Q"&amp;ROUNDUP(Table1[[#This Row],[month]]/3,0)</f>
        <v>Q4</v>
      </c>
      <c r="T136" t="str">
        <f>CONCATENATE(Table1[[#This Row],[year]],"-",Table1[[#This Row],[Quarter]])</f>
        <v>2013-Q4</v>
      </c>
      <c r="U136" s="6" t="str">
        <f>IF(H135="","Pending",IF(Table1[[#This Row],[Days to ship]]&lt;Table1[[#This Row],[RequiredDate]],"On Time","Late"))</f>
        <v>On Time</v>
      </c>
      <c r="V136">
        <f>_xlfn.XLOOKUP(Table1[[#This Row],[orderID]],Table3[orderID],Table3[unitPrice])</f>
        <v>17</v>
      </c>
    </row>
    <row r="137" spans="1:22" x14ac:dyDescent="0.45">
      <c r="A137" s="3">
        <v>10383</v>
      </c>
      <c r="B137" s="6" t="s">
        <v>198</v>
      </c>
      <c r="C137" s="3">
        <v>8</v>
      </c>
      <c r="D137" s="6" t="str">
        <f>_xlfn.XLOOKUP(Table1[[#This Row],[EmployeeID]],Table4[employeeID],Table4[employeeName])</f>
        <v>Laura Callahan</v>
      </c>
      <c r="E137" s="1">
        <v>41624</v>
      </c>
      <c r="F137" s="1">
        <v>41652</v>
      </c>
      <c r="G137" s="1">
        <v>41626</v>
      </c>
      <c r="H137" s="3">
        <f>IF(Table1[[#This Row],[ShippedDate]]="","",IF(Table1[[#This Row],[OrderDate]]="","",Table1[[#This Row],[ShippedDate]]-Table1[[#This Row],[OrderDate]]))</f>
        <v>2</v>
      </c>
      <c r="I137" s="3">
        <v>3</v>
      </c>
      <c r="J137" s="2">
        <v>34.24</v>
      </c>
      <c r="K137" s="2">
        <f>SUMIF(order_details!A:A,Table1[[#This Row],[orderID]],order_details!F:F)</f>
        <v>899</v>
      </c>
      <c r="L137" s="9">
        <f>_xlfn.XLOOKUP(Table1[[#This Row],[orderID]],Table3[orderID],Table3[discount])</f>
        <v>0</v>
      </c>
      <c r="M137" s="2">
        <f>SUM(Table1[[#This Row],[Sales]],Table1[[#This Row],[freight]])</f>
        <v>933.24</v>
      </c>
      <c r="N137" s="3">
        <f>_xlfn.XLOOKUP(Table1[[#This Row],[orderID]],Table3[orderID],Table3[quantity])</f>
        <v>20</v>
      </c>
      <c r="O137" s="6" t="str">
        <f>_xlfn.XLOOKUP(Table1[[#This Row],[CustomerID]],customers!A:A,customers!B:B)</f>
        <v>Around the Horn</v>
      </c>
      <c r="P137" s="6" t="str">
        <f>_xlfn.XLOOKUP(Table1[[#This Row],[shipperID]],Table6[shipperID],Table6[companyName])</f>
        <v>Federal Shipping</v>
      </c>
      <c r="Q137">
        <f>YEAR(Table1[[#This Row],[OrderDate]])</f>
        <v>2013</v>
      </c>
      <c r="R137">
        <f>MONTH(Table1[[#This Row],[OrderDate]])</f>
        <v>12</v>
      </c>
      <c r="S137" t="str">
        <f>"Q"&amp;ROUNDUP(Table1[[#This Row],[month]]/3,0)</f>
        <v>Q4</v>
      </c>
      <c r="T137" t="str">
        <f>CONCATENATE(Table1[[#This Row],[year]],"-",Table1[[#This Row],[Quarter]])</f>
        <v>2013-Q4</v>
      </c>
      <c r="U137" s="6" t="str">
        <f>IF(H136="","Pending",IF(Table1[[#This Row],[Days to ship]]&lt;Table1[[#This Row],[RequiredDate]],"On Time","Late"))</f>
        <v>On Time</v>
      </c>
      <c r="V137">
        <f>_xlfn.XLOOKUP(Table1[[#This Row],[orderID]],Table3[orderID],Table3[unitPrice])</f>
        <v>4.8</v>
      </c>
    </row>
    <row r="138" spans="1:22" x14ac:dyDescent="0.45">
      <c r="A138" s="3">
        <v>10384</v>
      </c>
      <c r="B138" s="6" t="s">
        <v>223</v>
      </c>
      <c r="C138" s="3">
        <v>3</v>
      </c>
      <c r="D138" s="6" t="str">
        <f>_xlfn.XLOOKUP(Table1[[#This Row],[EmployeeID]],Table4[employeeID],Table4[employeeName])</f>
        <v>Janet Leverling</v>
      </c>
      <c r="E138" s="1">
        <v>41624</v>
      </c>
      <c r="F138" s="1">
        <v>41652</v>
      </c>
      <c r="G138" s="1">
        <v>41628</v>
      </c>
      <c r="H138" s="3">
        <f>IF(Table1[[#This Row],[ShippedDate]]="","",IF(Table1[[#This Row],[OrderDate]]="","",Table1[[#This Row],[ShippedDate]]-Table1[[#This Row],[OrderDate]]))</f>
        <v>4</v>
      </c>
      <c r="I138" s="3">
        <v>3</v>
      </c>
      <c r="J138" s="2">
        <v>168.64</v>
      </c>
      <c r="K138" s="2">
        <f>SUMIF(order_details!A:A,Table1[[#This Row],[orderID]],order_details!F:F)</f>
        <v>2222.3999999999996</v>
      </c>
      <c r="L138" s="9">
        <f>_xlfn.XLOOKUP(Table1[[#This Row],[orderID]],Table3[orderID],Table3[discount])</f>
        <v>0</v>
      </c>
      <c r="M138" s="2">
        <f>SUM(Table1[[#This Row],[Sales]],Table1[[#This Row],[freight]])</f>
        <v>2391.0399999999995</v>
      </c>
      <c r="N138" s="3">
        <f>_xlfn.XLOOKUP(Table1[[#This Row],[orderID]],Table3[orderID],Table3[quantity])</f>
        <v>28</v>
      </c>
      <c r="O138" s="6" t="str">
        <f>_xlfn.XLOOKUP(Table1[[#This Row],[CustomerID]],customers!A:A,customers!B:B)</f>
        <v>Berglunds snabbköp</v>
      </c>
      <c r="P138" s="6" t="str">
        <f>_xlfn.XLOOKUP(Table1[[#This Row],[shipperID]],Table6[shipperID],Table6[companyName])</f>
        <v>Federal Shipping</v>
      </c>
      <c r="Q138">
        <f>YEAR(Table1[[#This Row],[OrderDate]])</f>
        <v>2013</v>
      </c>
      <c r="R138">
        <f>MONTH(Table1[[#This Row],[OrderDate]])</f>
        <v>12</v>
      </c>
      <c r="S138" t="str">
        <f>"Q"&amp;ROUNDUP(Table1[[#This Row],[month]]/3,0)</f>
        <v>Q4</v>
      </c>
      <c r="T138" t="str">
        <f>CONCATENATE(Table1[[#This Row],[year]],"-",Table1[[#This Row],[Quarter]])</f>
        <v>2013-Q4</v>
      </c>
      <c r="U138" s="6" t="str">
        <f>IF(H137="","Pending",IF(Table1[[#This Row],[Days to ship]]&lt;Table1[[#This Row],[RequiredDate]],"On Time","Late"))</f>
        <v>On Time</v>
      </c>
      <c r="V138">
        <f>_xlfn.XLOOKUP(Table1[[#This Row],[orderID]],Table3[orderID],Table3[unitPrice])</f>
        <v>64.8</v>
      </c>
    </row>
    <row r="139" spans="1:22" x14ac:dyDescent="0.45">
      <c r="A139" s="3">
        <v>10385</v>
      </c>
      <c r="B139" s="6" t="s">
        <v>211</v>
      </c>
      <c r="C139" s="3">
        <v>1</v>
      </c>
      <c r="D139" s="6" t="str">
        <f>_xlfn.XLOOKUP(Table1[[#This Row],[EmployeeID]],Table4[employeeID],Table4[employeeName])</f>
        <v>Nancy Davolio</v>
      </c>
      <c r="E139" s="1">
        <v>41625</v>
      </c>
      <c r="F139" s="1">
        <v>41653</v>
      </c>
      <c r="G139" s="1">
        <v>41631</v>
      </c>
      <c r="H139" s="3">
        <f>IF(Table1[[#This Row],[ShippedDate]]="","",IF(Table1[[#This Row],[OrderDate]]="","",Table1[[#This Row],[ShippedDate]]-Table1[[#This Row],[OrderDate]]))</f>
        <v>6</v>
      </c>
      <c r="I139" s="3">
        <v>2</v>
      </c>
      <c r="J139" s="2">
        <v>30.96</v>
      </c>
      <c r="K139" s="2">
        <f>SUMIF(order_details!A:A,Table1[[#This Row],[orderID]],order_details!F:F)</f>
        <v>691.2</v>
      </c>
      <c r="L139" s="9">
        <f>_xlfn.XLOOKUP(Table1[[#This Row],[orderID]],Table3[orderID],Table3[discount])</f>
        <v>0.2</v>
      </c>
      <c r="M139" s="2">
        <f>SUM(Table1[[#This Row],[Sales]],Table1[[#This Row],[freight]])</f>
        <v>722.16000000000008</v>
      </c>
      <c r="N139" s="3">
        <f>_xlfn.XLOOKUP(Table1[[#This Row],[orderID]],Table3[orderID],Table3[quantity])</f>
        <v>10</v>
      </c>
      <c r="O139" s="6" t="str">
        <f>_xlfn.XLOOKUP(Table1[[#This Row],[CustomerID]],customers!A:A,customers!B:B)</f>
        <v>Split Rail Beer &amp; Ale</v>
      </c>
      <c r="P139" s="6" t="str">
        <f>_xlfn.XLOOKUP(Table1[[#This Row],[shipperID]],Table6[shipperID],Table6[companyName])</f>
        <v>United Package</v>
      </c>
      <c r="Q139">
        <f>YEAR(Table1[[#This Row],[OrderDate]])</f>
        <v>2013</v>
      </c>
      <c r="R139">
        <f>MONTH(Table1[[#This Row],[OrderDate]])</f>
        <v>12</v>
      </c>
      <c r="S139" t="str">
        <f>"Q"&amp;ROUNDUP(Table1[[#This Row],[month]]/3,0)</f>
        <v>Q4</v>
      </c>
      <c r="T139" t="str">
        <f>CONCATENATE(Table1[[#This Row],[year]],"-",Table1[[#This Row],[Quarter]])</f>
        <v>2013-Q4</v>
      </c>
      <c r="U139" s="6" t="str">
        <f>IF(H138="","Pending",IF(Table1[[#This Row],[Days to ship]]&lt;Table1[[#This Row],[RequiredDate]],"On Time","Late"))</f>
        <v>On Time</v>
      </c>
      <c r="V139">
        <f>_xlfn.XLOOKUP(Table1[[#This Row],[orderID]],Table3[orderID],Table3[unitPrice])</f>
        <v>24</v>
      </c>
    </row>
    <row r="140" spans="1:22" x14ac:dyDescent="0.45">
      <c r="A140" s="3">
        <v>10386</v>
      </c>
      <c r="B140" s="6" t="s">
        <v>237</v>
      </c>
      <c r="C140" s="3">
        <v>9</v>
      </c>
      <c r="D140" s="6" t="str">
        <f>_xlfn.XLOOKUP(Table1[[#This Row],[EmployeeID]],Table4[employeeID],Table4[employeeName])</f>
        <v>Anne Dodsworth</v>
      </c>
      <c r="E140" s="1">
        <v>41626</v>
      </c>
      <c r="F140" s="1">
        <v>41640</v>
      </c>
      <c r="G140" s="1">
        <v>41633</v>
      </c>
      <c r="H140" s="3">
        <f>IF(Table1[[#This Row],[ShippedDate]]="","",IF(Table1[[#This Row],[OrderDate]]="","",Table1[[#This Row],[ShippedDate]]-Table1[[#This Row],[OrderDate]]))</f>
        <v>7</v>
      </c>
      <c r="I140" s="3">
        <v>3</v>
      </c>
      <c r="J140" s="2">
        <v>13.99</v>
      </c>
      <c r="K140" s="2">
        <f>SUMIF(order_details!A:A,Table1[[#This Row],[orderID]],order_details!F:F)</f>
        <v>166</v>
      </c>
      <c r="L140" s="9">
        <f>_xlfn.XLOOKUP(Table1[[#This Row],[orderID]],Table3[orderID],Table3[discount])</f>
        <v>0</v>
      </c>
      <c r="M140" s="2">
        <f>SUM(Table1[[#This Row],[Sales]],Table1[[#This Row],[freight]])</f>
        <v>179.99</v>
      </c>
      <c r="N140" s="3">
        <f>_xlfn.XLOOKUP(Table1[[#This Row],[orderID]],Table3[orderID],Table3[quantity])</f>
        <v>15</v>
      </c>
      <c r="O140" s="6" t="str">
        <f>_xlfn.XLOOKUP(Table1[[#This Row],[CustomerID]],customers!A:A,customers!B:B)</f>
        <v>Familia Arquibaldo</v>
      </c>
      <c r="P140" s="6" t="str">
        <f>_xlfn.XLOOKUP(Table1[[#This Row],[shipperID]],Table6[shipperID],Table6[companyName])</f>
        <v>Federal Shipping</v>
      </c>
      <c r="Q140">
        <f>YEAR(Table1[[#This Row],[OrderDate]])</f>
        <v>2013</v>
      </c>
      <c r="R140">
        <f>MONTH(Table1[[#This Row],[OrderDate]])</f>
        <v>12</v>
      </c>
      <c r="S140" t="str">
        <f>"Q"&amp;ROUNDUP(Table1[[#This Row],[month]]/3,0)</f>
        <v>Q4</v>
      </c>
      <c r="T140" t="str">
        <f>CONCATENATE(Table1[[#This Row],[year]],"-",Table1[[#This Row],[Quarter]])</f>
        <v>2013-Q4</v>
      </c>
      <c r="U140" s="6" t="str">
        <f>IF(H139="","Pending",IF(Table1[[#This Row],[Days to ship]]&lt;Table1[[#This Row],[RequiredDate]],"On Time","Late"))</f>
        <v>On Time</v>
      </c>
      <c r="V140">
        <f>_xlfn.XLOOKUP(Table1[[#This Row],[orderID]],Table3[orderID],Table3[unitPrice])</f>
        <v>3.6</v>
      </c>
    </row>
    <row r="141" spans="1:22" x14ac:dyDescent="0.45">
      <c r="A141" s="3">
        <v>10387</v>
      </c>
      <c r="B141" s="6" t="s">
        <v>199</v>
      </c>
      <c r="C141" s="3">
        <v>1</v>
      </c>
      <c r="D141" s="6" t="str">
        <f>_xlfn.XLOOKUP(Table1[[#This Row],[EmployeeID]],Table4[employeeID],Table4[employeeName])</f>
        <v>Nancy Davolio</v>
      </c>
      <c r="E141" s="1">
        <v>41626</v>
      </c>
      <c r="F141" s="1">
        <v>41654</v>
      </c>
      <c r="G141" s="1">
        <v>41628</v>
      </c>
      <c r="H141" s="3">
        <f>IF(Table1[[#This Row],[ShippedDate]]="","",IF(Table1[[#This Row],[OrderDate]]="","",Table1[[#This Row],[ShippedDate]]-Table1[[#This Row],[OrderDate]]))</f>
        <v>2</v>
      </c>
      <c r="I141" s="3">
        <v>2</v>
      </c>
      <c r="J141" s="2">
        <v>93.63</v>
      </c>
      <c r="K141" s="2">
        <f>SUMIF(order_details!A:A,Table1[[#This Row],[orderID]],order_details!F:F)</f>
        <v>1058.4000000000001</v>
      </c>
      <c r="L141" s="9">
        <f>_xlfn.XLOOKUP(Table1[[#This Row],[orderID]],Table3[orderID],Table3[discount])</f>
        <v>0</v>
      </c>
      <c r="M141" s="2">
        <f>SUM(Table1[[#This Row],[Sales]],Table1[[#This Row],[freight]])</f>
        <v>1152.0300000000002</v>
      </c>
      <c r="N141" s="3">
        <f>_xlfn.XLOOKUP(Table1[[#This Row],[orderID]],Table3[orderID],Table3[quantity])</f>
        <v>15</v>
      </c>
      <c r="O141" s="6" t="str">
        <f>_xlfn.XLOOKUP(Table1[[#This Row],[CustomerID]],customers!A:A,customers!B:B)</f>
        <v>Santé Gourmet</v>
      </c>
      <c r="P141" s="6" t="str">
        <f>_xlfn.XLOOKUP(Table1[[#This Row],[shipperID]],Table6[shipperID],Table6[companyName])</f>
        <v>United Package</v>
      </c>
      <c r="Q141">
        <f>YEAR(Table1[[#This Row],[OrderDate]])</f>
        <v>2013</v>
      </c>
      <c r="R141">
        <f>MONTH(Table1[[#This Row],[OrderDate]])</f>
        <v>12</v>
      </c>
      <c r="S141" t="str">
        <f>"Q"&amp;ROUNDUP(Table1[[#This Row],[month]]/3,0)</f>
        <v>Q4</v>
      </c>
      <c r="T141" t="str">
        <f>CONCATENATE(Table1[[#This Row],[year]],"-",Table1[[#This Row],[Quarter]])</f>
        <v>2013-Q4</v>
      </c>
      <c r="U141" s="6" t="str">
        <f>IF(H140="","Pending",IF(Table1[[#This Row],[Days to ship]]&lt;Table1[[#This Row],[RequiredDate]],"On Time","Late"))</f>
        <v>On Time</v>
      </c>
      <c r="V141">
        <f>_xlfn.XLOOKUP(Table1[[#This Row],[orderID]],Table3[orderID],Table3[unitPrice])</f>
        <v>3.6</v>
      </c>
    </row>
    <row r="142" spans="1:22" x14ac:dyDescent="0.45">
      <c r="A142" s="3">
        <v>10388</v>
      </c>
      <c r="B142" s="6" t="s">
        <v>226</v>
      </c>
      <c r="C142" s="3">
        <v>2</v>
      </c>
      <c r="D142" s="6" t="str">
        <f>_xlfn.XLOOKUP(Table1[[#This Row],[EmployeeID]],Table4[employeeID],Table4[employeeName])</f>
        <v>Andrew Fuller</v>
      </c>
      <c r="E142" s="1">
        <v>41627</v>
      </c>
      <c r="F142" s="1">
        <v>41655</v>
      </c>
      <c r="G142" s="1">
        <v>41628</v>
      </c>
      <c r="H142" s="3">
        <f>IF(Table1[[#This Row],[ShippedDate]]="","",IF(Table1[[#This Row],[OrderDate]]="","",Table1[[#This Row],[ShippedDate]]-Table1[[#This Row],[OrderDate]]))</f>
        <v>1</v>
      </c>
      <c r="I142" s="3">
        <v>1</v>
      </c>
      <c r="J142" s="2">
        <v>34.86</v>
      </c>
      <c r="K142" s="2">
        <f>SUMIF(order_details!A:A,Table1[[#This Row],[orderID]],order_details!F:F)</f>
        <v>1228.8</v>
      </c>
      <c r="L142" s="9">
        <f>_xlfn.XLOOKUP(Table1[[#This Row],[orderID]],Table3[orderID],Table3[discount])</f>
        <v>0.2</v>
      </c>
      <c r="M142" s="2">
        <f>SUM(Table1[[#This Row],[Sales]],Table1[[#This Row],[freight]])</f>
        <v>1263.6599999999999</v>
      </c>
      <c r="N142" s="3">
        <f>_xlfn.XLOOKUP(Table1[[#This Row],[orderID]],Table3[orderID],Table3[quantity])</f>
        <v>15</v>
      </c>
      <c r="O142" s="6" t="str">
        <f>_xlfn.XLOOKUP(Table1[[#This Row],[CustomerID]],customers!A:A,customers!B:B)</f>
        <v>Seven Seas Imports</v>
      </c>
      <c r="P142" s="6" t="str">
        <f>_xlfn.XLOOKUP(Table1[[#This Row],[shipperID]],Table6[shipperID],Table6[companyName])</f>
        <v>Speedy Express</v>
      </c>
      <c r="Q142">
        <f>YEAR(Table1[[#This Row],[OrderDate]])</f>
        <v>2013</v>
      </c>
      <c r="R142">
        <f>MONTH(Table1[[#This Row],[OrderDate]])</f>
        <v>12</v>
      </c>
      <c r="S142" t="str">
        <f>"Q"&amp;ROUNDUP(Table1[[#This Row],[month]]/3,0)</f>
        <v>Q4</v>
      </c>
      <c r="T142" t="str">
        <f>CONCATENATE(Table1[[#This Row],[year]],"-",Table1[[#This Row],[Quarter]])</f>
        <v>2013-Q4</v>
      </c>
      <c r="U142" s="6" t="str">
        <f>IF(H141="","Pending",IF(Table1[[#This Row],[Days to ship]]&lt;Table1[[#This Row],[RequiredDate]],"On Time","Late"))</f>
        <v>On Time</v>
      </c>
      <c r="V142">
        <f>_xlfn.XLOOKUP(Table1[[#This Row],[orderID]],Table3[orderID],Table3[unitPrice])</f>
        <v>7.6</v>
      </c>
    </row>
    <row r="143" spans="1:22" x14ac:dyDescent="0.45">
      <c r="A143" s="3">
        <v>10389</v>
      </c>
      <c r="B143" s="6" t="s">
        <v>181</v>
      </c>
      <c r="C143" s="3">
        <v>4</v>
      </c>
      <c r="D143" s="6" t="str">
        <f>_xlfn.XLOOKUP(Table1[[#This Row],[EmployeeID]],Table4[employeeID],Table4[employeeName])</f>
        <v>Margaret Peacock</v>
      </c>
      <c r="E143" s="1">
        <v>41628</v>
      </c>
      <c r="F143" s="1">
        <v>41656</v>
      </c>
      <c r="G143" s="1">
        <v>41632</v>
      </c>
      <c r="H143" s="3">
        <f>IF(Table1[[#This Row],[ShippedDate]]="","",IF(Table1[[#This Row],[OrderDate]]="","",Table1[[#This Row],[ShippedDate]]-Table1[[#This Row],[OrderDate]]))</f>
        <v>4</v>
      </c>
      <c r="I143" s="3">
        <v>2</v>
      </c>
      <c r="J143" s="2">
        <v>47.42</v>
      </c>
      <c r="K143" s="2">
        <f>SUMIF(order_details!A:A,Table1[[#This Row],[orderID]],order_details!F:F)</f>
        <v>1832.8</v>
      </c>
      <c r="L143" s="9">
        <f>_xlfn.XLOOKUP(Table1[[#This Row],[orderID]],Table3[orderID],Table3[discount])</f>
        <v>0</v>
      </c>
      <c r="M143" s="2">
        <f>SUM(Table1[[#This Row],[Sales]],Table1[[#This Row],[freight]])</f>
        <v>1880.22</v>
      </c>
      <c r="N143" s="3">
        <f>_xlfn.XLOOKUP(Table1[[#This Row],[orderID]],Table3[orderID],Table3[quantity])</f>
        <v>16</v>
      </c>
      <c r="O143" s="6" t="str">
        <f>_xlfn.XLOOKUP(Table1[[#This Row],[CustomerID]],customers!A:A,customers!B:B)</f>
        <v>Bottom-Dollar Markets</v>
      </c>
      <c r="P143" s="6" t="str">
        <f>_xlfn.XLOOKUP(Table1[[#This Row],[shipperID]],Table6[shipperID],Table6[companyName])</f>
        <v>United Package</v>
      </c>
      <c r="Q143">
        <f>YEAR(Table1[[#This Row],[OrderDate]])</f>
        <v>2013</v>
      </c>
      <c r="R143">
        <f>MONTH(Table1[[#This Row],[OrderDate]])</f>
        <v>12</v>
      </c>
      <c r="S143" t="str">
        <f>"Q"&amp;ROUNDUP(Table1[[#This Row],[month]]/3,0)</f>
        <v>Q4</v>
      </c>
      <c r="T143" t="str">
        <f>CONCATENATE(Table1[[#This Row],[year]],"-",Table1[[#This Row],[Quarter]])</f>
        <v>2013-Q4</v>
      </c>
      <c r="U143" s="6" t="str">
        <f>IF(H142="","Pending",IF(Table1[[#This Row],[Days to ship]]&lt;Table1[[#This Row],[RequiredDate]],"On Time","Late"))</f>
        <v>On Time</v>
      </c>
      <c r="V143">
        <f>_xlfn.XLOOKUP(Table1[[#This Row],[orderID]],Table3[orderID],Table3[unitPrice])</f>
        <v>24.8</v>
      </c>
    </row>
    <row r="144" spans="1:22" x14ac:dyDescent="0.45">
      <c r="A144" s="3">
        <v>10390</v>
      </c>
      <c r="B144" s="6" t="s">
        <v>158</v>
      </c>
      <c r="C144" s="3">
        <v>6</v>
      </c>
      <c r="D144" s="6" t="str">
        <f>_xlfn.XLOOKUP(Table1[[#This Row],[EmployeeID]],Table4[employeeID],Table4[employeeName])</f>
        <v>Michael Suyama</v>
      </c>
      <c r="E144" s="1">
        <v>41631</v>
      </c>
      <c r="F144" s="1">
        <v>41659</v>
      </c>
      <c r="G144" s="1">
        <v>41634</v>
      </c>
      <c r="H144" s="3">
        <f>IF(Table1[[#This Row],[ShippedDate]]="","",IF(Table1[[#This Row],[OrderDate]]="","",Table1[[#This Row],[ShippedDate]]-Table1[[#This Row],[OrderDate]]))</f>
        <v>3</v>
      </c>
      <c r="I144" s="3">
        <v>1</v>
      </c>
      <c r="J144" s="2">
        <v>126.38</v>
      </c>
      <c r="K144" s="2">
        <f>SUMIF(order_details!A:A,Table1[[#This Row],[orderID]],order_details!F:F)</f>
        <v>2090.88</v>
      </c>
      <c r="L144" s="9">
        <f>_xlfn.XLOOKUP(Table1[[#This Row],[orderID]],Table3[orderID],Table3[discount])</f>
        <v>0.1</v>
      </c>
      <c r="M144" s="2">
        <f>SUM(Table1[[#This Row],[Sales]],Table1[[#This Row],[freight]])</f>
        <v>2217.2600000000002</v>
      </c>
      <c r="N144" s="3">
        <f>_xlfn.XLOOKUP(Table1[[#This Row],[orderID]],Table3[orderID],Table3[quantity])</f>
        <v>60</v>
      </c>
      <c r="O144" s="6" t="str">
        <f>_xlfn.XLOOKUP(Table1[[#This Row],[CustomerID]],customers!A:A,customers!B:B)</f>
        <v>Ernst Handel</v>
      </c>
      <c r="P144" s="6" t="str">
        <f>_xlfn.XLOOKUP(Table1[[#This Row],[shipperID]],Table6[shipperID],Table6[companyName])</f>
        <v>Speedy Express</v>
      </c>
      <c r="Q144">
        <f>YEAR(Table1[[#This Row],[OrderDate]])</f>
        <v>2013</v>
      </c>
      <c r="R144">
        <f>MONTH(Table1[[#This Row],[OrderDate]])</f>
        <v>12</v>
      </c>
      <c r="S144" t="str">
        <f>"Q"&amp;ROUNDUP(Table1[[#This Row],[month]]/3,0)</f>
        <v>Q4</v>
      </c>
      <c r="T144" t="str">
        <f>CONCATENATE(Table1[[#This Row],[year]],"-",Table1[[#This Row],[Quarter]])</f>
        <v>2013-Q4</v>
      </c>
      <c r="U144" s="6" t="str">
        <f>IF(H143="","Pending",IF(Table1[[#This Row],[Days to ship]]&lt;Table1[[#This Row],[RequiredDate]],"On Time","Late"))</f>
        <v>On Time</v>
      </c>
      <c r="V144">
        <f>_xlfn.XLOOKUP(Table1[[#This Row],[orderID]],Table3[orderID],Table3[unitPrice])</f>
        <v>10</v>
      </c>
    </row>
    <row r="145" spans="1:22" x14ac:dyDescent="0.45">
      <c r="A145" s="3">
        <v>10391</v>
      </c>
      <c r="B145" s="6" t="s">
        <v>163</v>
      </c>
      <c r="C145" s="3">
        <v>3</v>
      </c>
      <c r="D145" s="6" t="str">
        <f>_xlfn.XLOOKUP(Table1[[#This Row],[EmployeeID]],Table4[employeeID],Table4[employeeName])</f>
        <v>Janet Leverling</v>
      </c>
      <c r="E145" s="1">
        <v>41631</v>
      </c>
      <c r="F145" s="1">
        <v>41659</v>
      </c>
      <c r="G145" s="1">
        <v>41639</v>
      </c>
      <c r="H145" s="3">
        <f>IF(Table1[[#This Row],[ShippedDate]]="","",IF(Table1[[#This Row],[OrderDate]]="","",Table1[[#This Row],[ShippedDate]]-Table1[[#This Row],[OrderDate]]))</f>
        <v>8</v>
      </c>
      <c r="I145" s="3">
        <v>3</v>
      </c>
      <c r="J145" s="2">
        <v>5.45</v>
      </c>
      <c r="K145" s="2">
        <f>SUMIF(order_details!A:A,Table1[[#This Row],[orderID]],order_details!F:F)</f>
        <v>86.399999999999991</v>
      </c>
      <c r="L145" s="9">
        <f>_xlfn.XLOOKUP(Table1[[#This Row],[orderID]],Table3[orderID],Table3[discount])</f>
        <v>0</v>
      </c>
      <c r="M145" s="2">
        <f>SUM(Table1[[#This Row],[Sales]],Table1[[#This Row],[freight]])</f>
        <v>91.85</v>
      </c>
      <c r="N145" s="3">
        <f>_xlfn.XLOOKUP(Table1[[#This Row],[orderID]],Table3[orderID],Table3[quantity])</f>
        <v>18</v>
      </c>
      <c r="O145" s="6" t="str">
        <f>_xlfn.XLOOKUP(Table1[[#This Row],[CustomerID]],customers!A:A,customers!B:B)</f>
        <v>Drachenblut Delikatessen</v>
      </c>
      <c r="P145" s="6" t="str">
        <f>_xlfn.XLOOKUP(Table1[[#This Row],[shipperID]],Table6[shipperID],Table6[companyName])</f>
        <v>Federal Shipping</v>
      </c>
      <c r="Q145">
        <f>YEAR(Table1[[#This Row],[OrderDate]])</f>
        <v>2013</v>
      </c>
      <c r="R145">
        <f>MONTH(Table1[[#This Row],[OrderDate]])</f>
        <v>12</v>
      </c>
      <c r="S145" t="str">
        <f>"Q"&amp;ROUNDUP(Table1[[#This Row],[month]]/3,0)</f>
        <v>Q4</v>
      </c>
      <c r="T145" t="str">
        <f>CONCATENATE(Table1[[#This Row],[year]],"-",Table1[[#This Row],[Quarter]])</f>
        <v>2013-Q4</v>
      </c>
      <c r="U145" s="6" t="str">
        <f>IF(H144="","Pending",IF(Table1[[#This Row],[Days to ship]]&lt;Table1[[#This Row],[RequiredDate]],"On Time","Late"))</f>
        <v>On Time</v>
      </c>
      <c r="V145">
        <f>_xlfn.XLOOKUP(Table1[[#This Row],[orderID]],Table3[orderID],Table3[unitPrice])</f>
        <v>4.8</v>
      </c>
    </row>
    <row r="146" spans="1:22" x14ac:dyDescent="0.45">
      <c r="A146" s="3">
        <v>10392</v>
      </c>
      <c r="B146" s="6" t="s">
        <v>176</v>
      </c>
      <c r="C146" s="3">
        <v>2</v>
      </c>
      <c r="D146" s="6" t="str">
        <f>_xlfn.XLOOKUP(Table1[[#This Row],[EmployeeID]],Table4[employeeID],Table4[employeeName])</f>
        <v>Andrew Fuller</v>
      </c>
      <c r="E146" s="1">
        <v>41632</v>
      </c>
      <c r="F146" s="1">
        <v>41660</v>
      </c>
      <c r="G146" s="1">
        <v>41640</v>
      </c>
      <c r="H146" s="3">
        <f>IF(Table1[[#This Row],[ShippedDate]]="","",IF(Table1[[#This Row],[OrderDate]]="","",Table1[[#This Row],[ShippedDate]]-Table1[[#This Row],[OrderDate]]))</f>
        <v>8</v>
      </c>
      <c r="I146" s="3">
        <v>3</v>
      </c>
      <c r="J146" s="2">
        <v>122.46</v>
      </c>
      <c r="K146" s="2">
        <f>SUMIF(order_details!A:A,Table1[[#This Row],[orderID]],order_details!F:F)</f>
        <v>1440</v>
      </c>
      <c r="L146" s="9">
        <f>_xlfn.XLOOKUP(Table1[[#This Row],[orderID]],Table3[orderID],Table3[discount])</f>
        <v>0</v>
      </c>
      <c r="M146" s="2">
        <f>SUM(Table1[[#This Row],[Sales]],Table1[[#This Row],[freight]])</f>
        <v>1562.46</v>
      </c>
      <c r="N146" s="3">
        <f>_xlfn.XLOOKUP(Table1[[#This Row],[orderID]],Table3[orderID],Table3[quantity])</f>
        <v>50</v>
      </c>
      <c r="O146" s="6" t="str">
        <f>_xlfn.XLOOKUP(Table1[[#This Row],[CustomerID]],customers!A:A,customers!B:B)</f>
        <v>Piccolo und mehr</v>
      </c>
      <c r="P146" s="6" t="str">
        <f>_xlfn.XLOOKUP(Table1[[#This Row],[shipperID]],Table6[shipperID],Table6[companyName])</f>
        <v>Federal Shipping</v>
      </c>
      <c r="Q146">
        <f>YEAR(Table1[[#This Row],[OrderDate]])</f>
        <v>2013</v>
      </c>
      <c r="R146">
        <f>MONTH(Table1[[#This Row],[OrderDate]])</f>
        <v>12</v>
      </c>
      <c r="S146" t="str">
        <f>"Q"&amp;ROUNDUP(Table1[[#This Row],[month]]/3,0)</f>
        <v>Q4</v>
      </c>
      <c r="T146" t="str">
        <f>CONCATENATE(Table1[[#This Row],[year]],"-",Table1[[#This Row],[Quarter]])</f>
        <v>2013-Q4</v>
      </c>
      <c r="U146" s="6" t="str">
        <f>IF(H145="","Pending",IF(Table1[[#This Row],[Days to ship]]&lt;Table1[[#This Row],[RequiredDate]],"On Time","Late"))</f>
        <v>On Time</v>
      </c>
      <c r="V146">
        <f>_xlfn.XLOOKUP(Table1[[#This Row],[orderID]],Table3[orderID],Table3[unitPrice])</f>
        <v>28.8</v>
      </c>
    </row>
    <row r="147" spans="1:22" x14ac:dyDescent="0.45">
      <c r="A147" s="3">
        <v>10393</v>
      </c>
      <c r="B147" s="6" t="s">
        <v>165</v>
      </c>
      <c r="C147" s="3">
        <v>1</v>
      </c>
      <c r="D147" s="6" t="str">
        <f>_xlfn.XLOOKUP(Table1[[#This Row],[EmployeeID]],Table4[employeeID],Table4[employeeName])</f>
        <v>Nancy Davolio</v>
      </c>
      <c r="E147" s="1">
        <v>41633</v>
      </c>
      <c r="F147" s="1">
        <v>41661</v>
      </c>
      <c r="G147" s="1">
        <v>41642</v>
      </c>
      <c r="H147" s="3">
        <f>IF(Table1[[#This Row],[ShippedDate]]="","",IF(Table1[[#This Row],[OrderDate]]="","",Table1[[#This Row],[ShippedDate]]-Table1[[#This Row],[OrderDate]]))</f>
        <v>9</v>
      </c>
      <c r="I147" s="3">
        <v>3</v>
      </c>
      <c r="J147" s="2">
        <v>126.56</v>
      </c>
      <c r="K147" s="2">
        <f>SUMIF(order_details!A:A,Table1[[#This Row],[orderID]],order_details!F:F)</f>
        <v>2556.9499999999998</v>
      </c>
      <c r="L147" s="9">
        <f>_xlfn.XLOOKUP(Table1[[#This Row],[orderID]],Table3[orderID],Table3[discount])</f>
        <v>0.25</v>
      </c>
      <c r="M147" s="2">
        <f>SUM(Table1[[#This Row],[Sales]],Table1[[#This Row],[freight]])</f>
        <v>2683.5099999999998</v>
      </c>
      <c r="N147" s="3">
        <f>_xlfn.XLOOKUP(Table1[[#This Row],[orderID]],Table3[orderID],Table3[quantity])</f>
        <v>25</v>
      </c>
      <c r="O147" s="6" t="str">
        <f>_xlfn.XLOOKUP(Table1[[#This Row],[CustomerID]],customers!A:A,customers!B:B)</f>
        <v>Save-a-lot Markets</v>
      </c>
      <c r="P147" s="6" t="str">
        <f>_xlfn.XLOOKUP(Table1[[#This Row],[shipperID]],Table6[shipperID],Table6[companyName])</f>
        <v>Federal Shipping</v>
      </c>
      <c r="Q147">
        <f>YEAR(Table1[[#This Row],[OrderDate]])</f>
        <v>2013</v>
      </c>
      <c r="R147">
        <f>MONTH(Table1[[#This Row],[OrderDate]])</f>
        <v>12</v>
      </c>
      <c r="S147" t="str">
        <f>"Q"&amp;ROUNDUP(Table1[[#This Row],[month]]/3,0)</f>
        <v>Q4</v>
      </c>
      <c r="T147" t="str">
        <f>CONCATENATE(Table1[[#This Row],[year]],"-",Table1[[#This Row],[Quarter]])</f>
        <v>2013-Q4</v>
      </c>
      <c r="U147" s="6" t="str">
        <f>IF(H146="","Pending",IF(Table1[[#This Row],[Days to ship]]&lt;Table1[[#This Row],[RequiredDate]],"On Time","Late"))</f>
        <v>On Time</v>
      </c>
      <c r="V147">
        <f>_xlfn.XLOOKUP(Table1[[#This Row],[orderID]],Table3[orderID],Table3[unitPrice])</f>
        <v>15.2</v>
      </c>
    </row>
    <row r="148" spans="1:22" x14ac:dyDescent="0.45">
      <c r="A148" s="3">
        <v>10394</v>
      </c>
      <c r="B148" s="6" t="s">
        <v>239</v>
      </c>
      <c r="C148" s="3">
        <v>1</v>
      </c>
      <c r="D148" s="6" t="str">
        <f>_xlfn.XLOOKUP(Table1[[#This Row],[EmployeeID]],Table4[employeeID],Table4[employeeName])</f>
        <v>Nancy Davolio</v>
      </c>
      <c r="E148" s="1">
        <v>41633</v>
      </c>
      <c r="F148" s="1">
        <v>41661</v>
      </c>
      <c r="G148" s="1">
        <v>41642</v>
      </c>
      <c r="H148" s="3">
        <f>IF(Table1[[#This Row],[ShippedDate]]="","",IF(Table1[[#This Row],[OrderDate]]="","",Table1[[#This Row],[ShippedDate]]-Table1[[#This Row],[OrderDate]]))</f>
        <v>9</v>
      </c>
      <c r="I148" s="3">
        <v>3</v>
      </c>
      <c r="J148" s="2">
        <v>30.34</v>
      </c>
      <c r="K148" s="2">
        <f>SUMIF(order_details!A:A,Table1[[#This Row],[orderID]],order_details!F:F)</f>
        <v>442</v>
      </c>
      <c r="L148" s="9">
        <f>_xlfn.XLOOKUP(Table1[[#This Row],[orderID]],Table3[orderID],Table3[discount])</f>
        <v>0</v>
      </c>
      <c r="M148" s="2">
        <f>SUM(Table1[[#This Row],[Sales]],Table1[[#This Row],[freight]])</f>
        <v>472.34</v>
      </c>
      <c r="N148" s="3">
        <f>_xlfn.XLOOKUP(Table1[[#This Row],[orderID]],Table3[orderID],Table3[quantity])</f>
        <v>10</v>
      </c>
      <c r="O148" s="6" t="str">
        <f>_xlfn.XLOOKUP(Table1[[#This Row],[CustomerID]],customers!A:A,customers!B:B)</f>
        <v>Hungry Coyote Import Store</v>
      </c>
      <c r="P148" s="6" t="str">
        <f>_xlfn.XLOOKUP(Table1[[#This Row],[shipperID]],Table6[shipperID],Table6[companyName])</f>
        <v>Federal Shipping</v>
      </c>
      <c r="Q148">
        <f>YEAR(Table1[[#This Row],[OrderDate]])</f>
        <v>2013</v>
      </c>
      <c r="R148">
        <f>MONTH(Table1[[#This Row],[OrderDate]])</f>
        <v>12</v>
      </c>
      <c r="S148" t="str">
        <f>"Q"&amp;ROUNDUP(Table1[[#This Row],[month]]/3,0)</f>
        <v>Q4</v>
      </c>
      <c r="T148" t="str">
        <f>CONCATENATE(Table1[[#This Row],[year]],"-",Table1[[#This Row],[Quarter]])</f>
        <v>2013-Q4</v>
      </c>
      <c r="U148" s="6" t="str">
        <f>IF(H147="","Pending",IF(Table1[[#This Row],[Days to ship]]&lt;Table1[[#This Row],[RequiredDate]],"On Time","Late"))</f>
        <v>On Time</v>
      </c>
      <c r="V148">
        <f>_xlfn.XLOOKUP(Table1[[#This Row],[orderID]],Table3[orderID],Table3[unitPrice])</f>
        <v>4.8</v>
      </c>
    </row>
    <row r="149" spans="1:22" x14ac:dyDescent="0.45">
      <c r="A149" s="3">
        <v>10395</v>
      </c>
      <c r="B149" s="6" t="s">
        <v>174</v>
      </c>
      <c r="C149" s="3">
        <v>6</v>
      </c>
      <c r="D149" s="6" t="str">
        <f>_xlfn.XLOOKUP(Table1[[#This Row],[EmployeeID]],Table4[employeeID],Table4[employeeName])</f>
        <v>Michael Suyama</v>
      </c>
      <c r="E149" s="1">
        <v>41634</v>
      </c>
      <c r="F149" s="1">
        <v>41662</v>
      </c>
      <c r="G149" s="1">
        <v>41642</v>
      </c>
      <c r="H149" s="3">
        <f>IF(Table1[[#This Row],[ShippedDate]]="","",IF(Table1[[#This Row],[OrderDate]]="","",Table1[[#This Row],[ShippedDate]]-Table1[[#This Row],[OrderDate]]))</f>
        <v>8</v>
      </c>
      <c r="I149" s="3">
        <v>1</v>
      </c>
      <c r="J149" s="2">
        <v>184.41</v>
      </c>
      <c r="K149" s="2">
        <f>SUMIF(order_details!A:A,Table1[[#This Row],[orderID]],order_details!F:F)</f>
        <v>2122.92</v>
      </c>
      <c r="L149" s="9">
        <f>_xlfn.XLOOKUP(Table1[[#This Row],[orderID]],Table3[orderID],Table3[discount])</f>
        <v>0.1</v>
      </c>
      <c r="M149" s="2">
        <f>SUM(Table1[[#This Row],[Sales]],Table1[[#This Row],[freight]])</f>
        <v>2307.33</v>
      </c>
      <c r="N149" s="3">
        <f>_xlfn.XLOOKUP(Table1[[#This Row],[orderID]],Table3[orderID],Table3[quantity])</f>
        <v>28</v>
      </c>
      <c r="O149" s="6" t="str">
        <f>_xlfn.XLOOKUP(Table1[[#This Row],[CustomerID]],customers!A:A,customers!B:B)</f>
        <v>HILARION-Abastos</v>
      </c>
      <c r="P149" s="6" t="str">
        <f>_xlfn.XLOOKUP(Table1[[#This Row],[shipperID]],Table6[shipperID],Table6[companyName])</f>
        <v>Speedy Express</v>
      </c>
      <c r="Q149">
        <f>YEAR(Table1[[#This Row],[OrderDate]])</f>
        <v>2013</v>
      </c>
      <c r="R149">
        <f>MONTH(Table1[[#This Row],[OrderDate]])</f>
        <v>12</v>
      </c>
      <c r="S149" t="str">
        <f>"Q"&amp;ROUNDUP(Table1[[#This Row],[month]]/3,0)</f>
        <v>Q4</v>
      </c>
      <c r="T149" t="str">
        <f>CONCATENATE(Table1[[#This Row],[year]],"-",Table1[[#This Row],[Quarter]])</f>
        <v>2013-Q4</v>
      </c>
      <c r="U149" s="6" t="str">
        <f>IF(H148="","Pending",IF(Table1[[#This Row],[Days to ship]]&lt;Table1[[#This Row],[RequiredDate]],"On Time","Late"))</f>
        <v>On Time</v>
      </c>
      <c r="V149">
        <f>_xlfn.XLOOKUP(Table1[[#This Row],[orderID]],Table3[orderID],Table3[unitPrice])</f>
        <v>9.6</v>
      </c>
    </row>
    <row r="150" spans="1:22" x14ac:dyDescent="0.45">
      <c r="A150" s="3">
        <v>10396</v>
      </c>
      <c r="B150" s="6" t="s">
        <v>201</v>
      </c>
      <c r="C150" s="3">
        <v>1</v>
      </c>
      <c r="D150" s="6" t="str">
        <f>_xlfn.XLOOKUP(Table1[[#This Row],[EmployeeID]],Table4[employeeID],Table4[employeeName])</f>
        <v>Nancy Davolio</v>
      </c>
      <c r="E150" s="1">
        <v>41635</v>
      </c>
      <c r="F150" s="1">
        <v>41649</v>
      </c>
      <c r="G150" s="1">
        <v>41645</v>
      </c>
      <c r="H150" s="3">
        <f>IF(Table1[[#This Row],[ShippedDate]]="","",IF(Table1[[#This Row],[OrderDate]]="","",Table1[[#This Row],[ShippedDate]]-Table1[[#This Row],[OrderDate]]))</f>
        <v>10</v>
      </c>
      <c r="I150" s="3">
        <v>3</v>
      </c>
      <c r="J150" s="2">
        <v>135.35</v>
      </c>
      <c r="K150" s="2">
        <f>SUMIF(order_details!A:A,Table1[[#This Row],[orderID]],order_details!F:F)</f>
        <v>1903.8000000000002</v>
      </c>
      <c r="L150" s="9">
        <f>_xlfn.XLOOKUP(Table1[[#This Row],[orderID]],Table3[orderID],Table3[discount])</f>
        <v>0</v>
      </c>
      <c r="M150" s="2">
        <f>SUM(Table1[[#This Row],[Sales]],Table1[[#This Row],[freight]])</f>
        <v>2039.15</v>
      </c>
      <c r="N150" s="3">
        <f>_xlfn.XLOOKUP(Table1[[#This Row],[orderID]],Table3[orderID],Table3[quantity])</f>
        <v>40</v>
      </c>
      <c r="O150" s="6" t="str">
        <f>_xlfn.XLOOKUP(Table1[[#This Row],[CustomerID]],customers!A:A,customers!B:B)</f>
        <v>Frankenversand</v>
      </c>
      <c r="P150" s="6" t="str">
        <f>_xlfn.XLOOKUP(Table1[[#This Row],[shipperID]],Table6[shipperID],Table6[companyName])</f>
        <v>Federal Shipping</v>
      </c>
      <c r="Q150">
        <f>YEAR(Table1[[#This Row],[OrderDate]])</f>
        <v>2013</v>
      </c>
      <c r="R150">
        <f>MONTH(Table1[[#This Row],[OrderDate]])</f>
        <v>12</v>
      </c>
      <c r="S150" t="str">
        <f>"Q"&amp;ROUNDUP(Table1[[#This Row],[month]]/3,0)</f>
        <v>Q4</v>
      </c>
      <c r="T150" t="str">
        <f>CONCATENATE(Table1[[#This Row],[year]],"-",Table1[[#This Row],[Quarter]])</f>
        <v>2013-Q4</v>
      </c>
      <c r="U150" s="6" t="str">
        <f>IF(H149="","Pending",IF(Table1[[#This Row],[Days to ship]]&lt;Table1[[#This Row],[RequiredDate]],"On Time","Late"))</f>
        <v>On Time</v>
      </c>
      <c r="V150">
        <f>_xlfn.XLOOKUP(Table1[[#This Row],[orderID]],Table3[orderID],Table3[unitPrice])</f>
        <v>7.2</v>
      </c>
    </row>
    <row r="151" spans="1:22" x14ac:dyDescent="0.45">
      <c r="A151" s="3">
        <v>10397</v>
      </c>
      <c r="B151" s="6" t="s">
        <v>203</v>
      </c>
      <c r="C151" s="3">
        <v>5</v>
      </c>
      <c r="D151" s="6" t="str">
        <f>_xlfn.XLOOKUP(Table1[[#This Row],[EmployeeID]],Table4[employeeID],Table4[employeeName])</f>
        <v>Steven Buchanan</v>
      </c>
      <c r="E151" s="1">
        <v>41635</v>
      </c>
      <c r="F151" s="1">
        <v>41663</v>
      </c>
      <c r="G151" s="1">
        <v>41641</v>
      </c>
      <c r="H151" s="3">
        <f>IF(Table1[[#This Row],[ShippedDate]]="","",IF(Table1[[#This Row],[OrderDate]]="","",Table1[[#This Row],[ShippedDate]]-Table1[[#This Row],[OrderDate]]))</f>
        <v>6</v>
      </c>
      <c r="I151" s="3">
        <v>1</v>
      </c>
      <c r="J151" s="2">
        <v>60.26</v>
      </c>
      <c r="K151" s="2">
        <f>SUMIF(order_details!A:A,Table1[[#This Row],[orderID]],order_details!F:F)</f>
        <v>716.71999999999991</v>
      </c>
      <c r="L151" s="9">
        <f>_xlfn.XLOOKUP(Table1[[#This Row],[orderID]],Table3[orderID],Table3[discount])</f>
        <v>0.15</v>
      </c>
      <c r="M151" s="2">
        <f>SUM(Table1[[#This Row],[Sales]],Table1[[#This Row],[freight]])</f>
        <v>776.9799999999999</v>
      </c>
      <c r="N151" s="3">
        <f>_xlfn.XLOOKUP(Table1[[#This Row],[orderID]],Table3[orderID],Table3[quantity])</f>
        <v>10</v>
      </c>
      <c r="O151" s="6" t="str">
        <f>_xlfn.XLOOKUP(Table1[[#This Row],[CustomerID]],customers!A:A,customers!B:B)</f>
        <v>Princesa Isabel Vinhos</v>
      </c>
      <c r="P151" s="6" t="str">
        <f>_xlfn.XLOOKUP(Table1[[#This Row],[shipperID]],Table6[shipperID],Table6[companyName])</f>
        <v>Speedy Express</v>
      </c>
      <c r="Q151">
        <f>YEAR(Table1[[#This Row],[OrderDate]])</f>
        <v>2013</v>
      </c>
      <c r="R151">
        <f>MONTH(Table1[[#This Row],[OrderDate]])</f>
        <v>12</v>
      </c>
      <c r="S151" t="str">
        <f>"Q"&amp;ROUNDUP(Table1[[#This Row],[month]]/3,0)</f>
        <v>Q4</v>
      </c>
      <c r="T151" t="str">
        <f>CONCATENATE(Table1[[#This Row],[year]],"-",Table1[[#This Row],[Quarter]])</f>
        <v>2013-Q4</v>
      </c>
      <c r="U151" s="6" t="str">
        <f>IF(H150="","Pending",IF(Table1[[#This Row],[Days to ship]]&lt;Table1[[#This Row],[RequiredDate]],"On Time","Late"))</f>
        <v>On Time</v>
      </c>
      <c r="V151">
        <f>_xlfn.XLOOKUP(Table1[[#This Row],[orderID]],Table3[orderID],Table3[unitPrice])</f>
        <v>8</v>
      </c>
    </row>
    <row r="152" spans="1:22" x14ac:dyDescent="0.45">
      <c r="A152" s="3">
        <v>10398</v>
      </c>
      <c r="B152" s="6" t="s">
        <v>165</v>
      </c>
      <c r="C152" s="3">
        <v>2</v>
      </c>
      <c r="D152" s="6" t="str">
        <f>_xlfn.XLOOKUP(Table1[[#This Row],[EmployeeID]],Table4[employeeID],Table4[employeeName])</f>
        <v>Andrew Fuller</v>
      </c>
      <c r="E152" s="1">
        <v>41638</v>
      </c>
      <c r="F152" s="1">
        <v>41666</v>
      </c>
      <c r="G152" s="1">
        <v>41648</v>
      </c>
      <c r="H152" s="3">
        <f>IF(Table1[[#This Row],[ShippedDate]]="","",IF(Table1[[#This Row],[OrderDate]]="","",Table1[[#This Row],[ShippedDate]]-Table1[[#This Row],[OrderDate]]))</f>
        <v>10</v>
      </c>
      <c r="I152" s="3">
        <v>3</v>
      </c>
      <c r="J152" s="2">
        <v>89.16</v>
      </c>
      <c r="K152" s="2">
        <f>SUMIF(order_details!A:A,Table1[[#This Row],[orderID]],order_details!F:F)</f>
        <v>2505.6</v>
      </c>
      <c r="L152" s="9">
        <f>_xlfn.XLOOKUP(Table1[[#This Row],[orderID]],Table3[orderID],Table3[discount])</f>
        <v>0</v>
      </c>
      <c r="M152" s="2">
        <f>SUM(Table1[[#This Row],[Sales]],Table1[[#This Row],[freight]])</f>
        <v>2594.7599999999998</v>
      </c>
      <c r="N152" s="3">
        <f>_xlfn.XLOOKUP(Table1[[#This Row],[orderID]],Table3[orderID],Table3[quantity])</f>
        <v>30</v>
      </c>
      <c r="O152" s="6" t="str">
        <f>_xlfn.XLOOKUP(Table1[[#This Row],[CustomerID]],customers!A:A,customers!B:B)</f>
        <v>Save-a-lot Markets</v>
      </c>
      <c r="P152" s="6" t="str">
        <f>_xlfn.XLOOKUP(Table1[[#This Row],[shipperID]],Table6[shipperID],Table6[companyName])</f>
        <v>Federal Shipping</v>
      </c>
      <c r="Q152">
        <f>YEAR(Table1[[#This Row],[OrderDate]])</f>
        <v>2013</v>
      </c>
      <c r="R152">
        <f>MONTH(Table1[[#This Row],[OrderDate]])</f>
        <v>12</v>
      </c>
      <c r="S152" t="str">
        <f>"Q"&amp;ROUNDUP(Table1[[#This Row],[month]]/3,0)</f>
        <v>Q4</v>
      </c>
      <c r="T152" t="str">
        <f>CONCATENATE(Table1[[#This Row],[year]],"-",Table1[[#This Row],[Quarter]])</f>
        <v>2013-Q4</v>
      </c>
      <c r="U152" s="6" t="str">
        <f>IF(H151="","Pending",IF(Table1[[#This Row],[Days to ship]]&lt;Table1[[#This Row],[RequiredDate]],"On Time","Late"))</f>
        <v>On Time</v>
      </c>
      <c r="V152">
        <f>_xlfn.XLOOKUP(Table1[[#This Row],[orderID]],Table3[orderID],Table3[unitPrice])</f>
        <v>14.4</v>
      </c>
    </row>
    <row r="153" spans="1:22" x14ac:dyDescent="0.45">
      <c r="A153" s="3">
        <v>10399</v>
      </c>
      <c r="B153" s="6" t="s">
        <v>207</v>
      </c>
      <c r="C153" s="3">
        <v>8</v>
      </c>
      <c r="D153" s="6" t="str">
        <f>_xlfn.XLOOKUP(Table1[[#This Row],[EmployeeID]],Table4[employeeID],Table4[employeeName])</f>
        <v>Laura Callahan</v>
      </c>
      <c r="E153" s="1">
        <v>41639</v>
      </c>
      <c r="F153" s="1">
        <v>41653</v>
      </c>
      <c r="G153" s="1">
        <v>41647</v>
      </c>
      <c r="H153" s="3">
        <f>IF(Table1[[#This Row],[ShippedDate]]="","",IF(Table1[[#This Row],[OrderDate]]="","",Table1[[#This Row],[ShippedDate]]-Table1[[#This Row],[OrderDate]]))</f>
        <v>8</v>
      </c>
      <c r="I153" s="3">
        <v>3</v>
      </c>
      <c r="J153" s="2">
        <v>27.36</v>
      </c>
      <c r="K153" s="2">
        <f>SUMIF(order_details!A:A,Table1[[#This Row],[orderID]],order_details!F:F)</f>
        <v>1765.6</v>
      </c>
      <c r="L153" s="9">
        <f>_xlfn.XLOOKUP(Table1[[#This Row],[orderID]],Table3[orderID],Table3[discount])</f>
        <v>0</v>
      </c>
      <c r="M153" s="2">
        <f>SUM(Table1[[#This Row],[Sales]],Table1[[#This Row],[freight]])</f>
        <v>1792.9599999999998</v>
      </c>
      <c r="N153" s="3">
        <f>_xlfn.XLOOKUP(Table1[[#This Row],[orderID]],Table3[orderID],Table3[quantity])</f>
        <v>60</v>
      </c>
      <c r="O153" s="6" t="str">
        <f>_xlfn.XLOOKUP(Table1[[#This Row],[CustomerID]],customers!A:A,customers!B:B)</f>
        <v>Vaffeljernet</v>
      </c>
      <c r="P153" s="6" t="str">
        <f>_xlfn.XLOOKUP(Table1[[#This Row],[shipperID]],Table6[shipperID],Table6[companyName])</f>
        <v>Federal Shipping</v>
      </c>
      <c r="Q153">
        <f>YEAR(Table1[[#This Row],[OrderDate]])</f>
        <v>2013</v>
      </c>
      <c r="R153">
        <f>MONTH(Table1[[#This Row],[OrderDate]])</f>
        <v>12</v>
      </c>
      <c r="S153" t="str">
        <f>"Q"&amp;ROUNDUP(Table1[[#This Row],[month]]/3,0)</f>
        <v>Q4</v>
      </c>
      <c r="T153" t="str">
        <f>CONCATENATE(Table1[[#This Row],[year]],"-",Table1[[#This Row],[Quarter]])</f>
        <v>2013-Q4</v>
      </c>
      <c r="U153" s="6" t="str">
        <f>IF(H152="","Pending",IF(Table1[[#This Row],[Days to ship]]&lt;Table1[[#This Row],[RequiredDate]],"On Time","Late"))</f>
        <v>On Time</v>
      </c>
      <c r="V153">
        <f>_xlfn.XLOOKUP(Table1[[#This Row],[orderID]],Table3[orderID],Table3[unitPrice])</f>
        <v>10</v>
      </c>
    </row>
    <row r="154" spans="1:22" x14ac:dyDescent="0.45">
      <c r="A154" s="3">
        <v>10400</v>
      </c>
      <c r="B154" s="6" t="s">
        <v>173</v>
      </c>
      <c r="C154" s="3">
        <v>1</v>
      </c>
      <c r="D154" s="6" t="str">
        <f>_xlfn.XLOOKUP(Table1[[#This Row],[EmployeeID]],Table4[employeeID],Table4[employeeName])</f>
        <v>Nancy Davolio</v>
      </c>
      <c r="E154" s="1">
        <v>41640</v>
      </c>
      <c r="F154" s="1">
        <v>41668</v>
      </c>
      <c r="G154" s="1">
        <v>41655</v>
      </c>
      <c r="H154" s="3">
        <f>IF(Table1[[#This Row],[ShippedDate]]="","",IF(Table1[[#This Row],[OrderDate]]="","",Table1[[#This Row],[ShippedDate]]-Table1[[#This Row],[OrderDate]]))</f>
        <v>15</v>
      </c>
      <c r="I154" s="3">
        <v>3</v>
      </c>
      <c r="J154" s="2">
        <v>83.93</v>
      </c>
      <c r="K154" s="2">
        <f>SUMIF(order_details!A:A,Table1[[#This Row],[orderID]],order_details!F:F)</f>
        <v>3063</v>
      </c>
      <c r="L154" s="9">
        <f>_xlfn.XLOOKUP(Table1[[#This Row],[orderID]],Table3[orderID],Table3[discount])</f>
        <v>0</v>
      </c>
      <c r="M154" s="2">
        <f>SUM(Table1[[#This Row],[Sales]],Table1[[#This Row],[freight]])</f>
        <v>3146.93</v>
      </c>
      <c r="N154" s="3">
        <f>_xlfn.XLOOKUP(Table1[[#This Row],[orderID]],Table3[orderID],Table3[quantity])</f>
        <v>21</v>
      </c>
      <c r="O154" s="6" t="str">
        <f>_xlfn.XLOOKUP(Table1[[#This Row],[CustomerID]],customers!A:A,customers!B:B)</f>
        <v>Eastern Connection</v>
      </c>
      <c r="P154" s="6" t="str">
        <f>_xlfn.XLOOKUP(Table1[[#This Row],[shipperID]],Table6[shipperID],Table6[companyName])</f>
        <v>Federal Shipping</v>
      </c>
      <c r="Q154">
        <f>YEAR(Table1[[#This Row],[OrderDate]])</f>
        <v>2014</v>
      </c>
      <c r="R154">
        <f>MONTH(Table1[[#This Row],[OrderDate]])</f>
        <v>1</v>
      </c>
      <c r="S154" t="str">
        <f>"Q"&amp;ROUNDUP(Table1[[#This Row],[month]]/3,0)</f>
        <v>Q1</v>
      </c>
      <c r="T154" t="str">
        <f>CONCATENATE(Table1[[#This Row],[year]],"-",Table1[[#This Row],[Quarter]])</f>
        <v>2014-Q1</v>
      </c>
      <c r="U154" s="6" t="str">
        <f>IF(H153="","Pending",IF(Table1[[#This Row],[Days to ship]]&lt;Table1[[#This Row],[RequiredDate]],"On Time","Late"))</f>
        <v>On Time</v>
      </c>
      <c r="V154">
        <f>_xlfn.XLOOKUP(Table1[[#This Row],[orderID]],Table3[orderID],Table3[unitPrice])</f>
        <v>99</v>
      </c>
    </row>
    <row r="155" spans="1:22" x14ac:dyDescent="0.45">
      <c r="A155" s="3">
        <v>10401</v>
      </c>
      <c r="B155" s="6" t="s">
        <v>153</v>
      </c>
      <c r="C155" s="3">
        <v>1</v>
      </c>
      <c r="D155" s="6" t="str">
        <f>_xlfn.XLOOKUP(Table1[[#This Row],[EmployeeID]],Table4[employeeID],Table4[employeeName])</f>
        <v>Nancy Davolio</v>
      </c>
      <c r="E155" s="1">
        <v>41640</v>
      </c>
      <c r="F155" s="1">
        <v>41668</v>
      </c>
      <c r="G155" s="1">
        <v>41649</v>
      </c>
      <c r="H155" s="3">
        <f>IF(Table1[[#This Row],[ShippedDate]]="","",IF(Table1[[#This Row],[OrderDate]]="","",Table1[[#This Row],[ShippedDate]]-Table1[[#This Row],[OrderDate]]))</f>
        <v>9</v>
      </c>
      <c r="I155" s="3">
        <v>1</v>
      </c>
      <c r="J155" s="2">
        <v>12.51</v>
      </c>
      <c r="K155" s="2">
        <f>SUMIF(order_details!A:A,Table1[[#This Row],[orderID]],order_details!F:F)</f>
        <v>3868.6</v>
      </c>
      <c r="L155" s="9">
        <f>_xlfn.XLOOKUP(Table1[[#This Row],[orderID]],Table3[orderID],Table3[discount])</f>
        <v>0</v>
      </c>
      <c r="M155" s="2">
        <f>SUM(Table1[[#This Row],[Sales]],Table1[[#This Row],[freight]])</f>
        <v>3881.11</v>
      </c>
      <c r="N155" s="3">
        <f>_xlfn.XLOOKUP(Table1[[#This Row],[orderID]],Table3[orderID],Table3[quantity])</f>
        <v>18</v>
      </c>
      <c r="O155" s="6" t="str">
        <f>_xlfn.XLOOKUP(Table1[[#This Row],[CustomerID]],customers!A:A,customers!B:B)</f>
        <v>Rattlesnake Canyon Grocery</v>
      </c>
      <c r="P155" s="6" t="str">
        <f>_xlfn.XLOOKUP(Table1[[#This Row],[shipperID]],Table6[shipperID],Table6[companyName])</f>
        <v>Speedy Express</v>
      </c>
      <c r="Q155">
        <f>YEAR(Table1[[#This Row],[OrderDate]])</f>
        <v>2014</v>
      </c>
      <c r="R155">
        <f>MONTH(Table1[[#This Row],[OrderDate]])</f>
        <v>1</v>
      </c>
      <c r="S155" t="str">
        <f>"Q"&amp;ROUNDUP(Table1[[#This Row],[month]]/3,0)</f>
        <v>Q1</v>
      </c>
      <c r="T155" t="str">
        <f>CONCATENATE(Table1[[#This Row],[year]],"-",Table1[[#This Row],[Quarter]])</f>
        <v>2014-Q1</v>
      </c>
      <c r="U155" s="6" t="str">
        <f>IF(H154="","Pending",IF(Table1[[#This Row],[Days to ship]]&lt;Table1[[#This Row],[RequiredDate]],"On Time","Late"))</f>
        <v>On Time</v>
      </c>
      <c r="V155">
        <f>_xlfn.XLOOKUP(Table1[[#This Row],[orderID]],Table3[orderID],Table3[unitPrice])</f>
        <v>20.7</v>
      </c>
    </row>
    <row r="156" spans="1:22" x14ac:dyDescent="0.45">
      <c r="A156" s="3">
        <v>10402</v>
      </c>
      <c r="B156" s="6" t="s">
        <v>158</v>
      </c>
      <c r="C156" s="3">
        <v>8</v>
      </c>
      <c r="D156" s="6" t="str">
        <f>_xlfn.XLOOKUP(Table1[[#This Row],[EmployeeID]],Table4[employeeID],Table4[employeeName])</f>
        <v>Laura Callahan</v>
      </c>
      <c r="E156" s="1">
        <v>41641</v>
      </c>
      <c r="F156" s="1">
        <v>41683</v>
      </c>
      <c r="G156" s="1">
        <v>41649</v>
      </c>
      <c r="H156" s="3">
        <f>IF(Table1[[#This Row],[ShippedDate]]="","",IF(Table1[[#This Row],[OrderDate]]="","",Table1[[#This Row],[ShippedDate]]-Table1[[#This Row],[OrderDate]]))</f>
        <v>8</v>
      </c>
      <c r="I156" s="3">
        <v>2</v>
      </c>
      <c r="J156" s="2">
        <v>67.88</v>
      </c>
      <c r="K156" s="2">
        <f>SUMIF(order_details!A:A,Table1[[#This Row],[orderID]],order_details!F:F)</f>
        <v>2713.5</v>
      </c>
      <c r="L156" s="9">
        <f>_xlfn.XLOOKUP(Table1[[#This Row],[orderID]],Table3[orderID],Table3[discount])</f>
        <v>0</v>
      </c>
      <c r="M156" s="2">
        <f>SUM(Table1[[#This Row],[Sales]],Table1[[#This Row],[freight]])</f>
        <v>2781.38</v>
      </c>
      <c r="N156" s="3">
        <f>_xlfn.XLOOKUP(Table1[[#This Row],[orderID]],Table3[orderID],Table3[quantity])</f>
        <v>60</v>
      </c>
      <c r="O156" s="6" t="str">
        <f>_xlfn.XLOOKUP(Table1[[#This Row],[CustomerID]],customers!A:A,customers!B:B)</f>
        <v>Ernst Handel</v>
      </c>
      <c r="P156" s="6" t="str">
        <f>_xlfn.XLOOKUP(Table1[[#This Row],[shipperID]],Table6[shipperID],Table6[companyName])</f>
        <v>United Package</v>
      </c>
      <c r="Q156">
        <f>YEAR(Table1[[#This Row],[OrderDate]])</f>
        <v>2014</v>
      </c>
      <c r="R156">
        <f>MONTH(Table1[[#This Row],[OrderDate]])</f>
        <v>1</v>
      </c>
      <c r="S156" t="str">
        <f>"Q"&amp;ROUNDUP(Table1[[#This Row],[month]]/3,0)</f>
        <v>Q1</v>
      </c>
      <c r="T156" t="str">
        <f>CONCATENATE(Table1[[#This Row],[year]],"-",Table1[[#This Row],[Quarter]])</f>
        <v>2014-Q1</v>
      </c>
      <c r="U156" s="6" t="str">
        <f>IF(H155="","Pending",IF(Table1[[#This Row],[Days to ship]]&lt;Table1[[#This Row],[RequiredDate]],"On Time","Late"))</f>
        <v>On Time</v>
      </c>
      <c r="V156">
        <f>_xlfn.XLOOKUP(Table1[[#This Row],[orderID]],Table3[orderID],Table3[unitPrice])</f>
        <v>7.2</v>
      </c>
    </row>
    <row r="157" spans="1:22" x14ac:dyDescent="0.45">
      <c r="A157" s="3">
        <v>10403</v>
      </c>
      <c r="B157" s="6" t="s">
        <v>158</v>
      </c>
      <c r="C157" s="3">
        <v>4</v>
      </c>
      <c r="D157" s="6" t="str">
        <f>_xlfn.XLOOKUP(Table1[[#This Row],[EmployeeID]],Table4[employeeID],Table4[employeeName])</f>
        <v>Margaret Peacock</v>
      </c>
      <c r="E157" s="1">
        <v>41642</v>
      </c>
      <c r="F157" s="1">
        <v>41670</v>
      </c>
      <c r="G157" s="1">
        <v>41648</v>
      </c>
      <c r="H157" s="3">
        <f>IF(Table1[[#This Row],[ShippedDate]]="","",IF(Table1[[#This Row],[OrderDate]]="","",Table1[[#This Row],[ShippedDate]]-Table1[[#This Row],[OrderDate]]))</f>
        <v>6</v>
      </c>
      <c r="I157" s="3">
        <v>3</v>
      </c>
      <c r="J157" s="2">
        <v>73.790000000000006</v>
      </c>
      <c r="K157" s="2">
        <f>SUMIF(order_details!A:A,Table1[[#This Row],[orderID]],order_details!F:F)</f>
        <v>855.01499999999999</v>
      </c>
      <c r="L157" s="9">
        <f>_xlfn.XLOOKUP(Table1[[#This Row],[orderID]],Table3[orderID],Table3[discount])</f>
        <v>0.15</v>
      </c>
      <c r="M157" s="2">
        <f>SUM(Table1[[#This Row],[Sales]],Table1[[#This Row],[freight]])</f>
        <v>928.80499999999995</v>
      </c>
      <c r="N157" s="3">
        <f>_xlfn.XLOOKUP(Table1[[#This Row],[orderID]],Table3[orderID],Table3[quantity])</f>
        <v>21</v>
      </c>
      <c r="O157" s="6" t="str">
        <f>_xlfn.XLOOKUP(Table1[[#This Row],[CustomerID]],customers!A:A,customers!B:B)</f>
        <v>Ernst Handel</v>
      </c>
      <c r="P157" s="6" t="str">
        <f>_xlfn.XLOOKUP(Table1[[#This Row],[shipperID]],Table6[shipperID],Table6[companyName])</f>
        <v>Federal Shipping</v>
      </c>
      <c r="Q157">
        <f>YEAR(Table1[[#This Row],[OrderDate]])</f>
        <v>2014</v>
      </c>
      <c r="R157">
        <f>MONTH(Table1[[#This Row],[OrderDate]])</f>
        <v>1</v>
      </c>
      <c r="S157" t="str">
        <f>"Q"&amp;ROUNDUP(Table1[[#This Row],[month]]/3,0)</f>
        <v>Q1</v>
      </c>
      <c r="T157" t="str">
        <f>CONCATENATE(Table1[[#This Row],[year]],"-",Table1[[#This Row],[Quarter]])</f>
        <v>2014-Q1</v>
      </c>
      <c r="U157" s="6" t="str">
        <f>IF(H156="","Pending",IF(Table1[[#This Row],[Days to ship]]&lt;Table1[[#This Row],[RequiredDate]],"On Time","Late"))</f>
        <v>On Time</v>
      </c>
      <c r="V157">
        <f>_xlfn.XLOOKUP(Table1[[#This Row],[orderID]],Table3[orderID],Table3[unitPrice])</f>
        <v>13.9</v>
      </c>
    </row>
    <row r="158" spans="1:22" x14ac:dyDescent="0.45">
      <c r="A158" s="3">
        <v>10404</v>
      </c>
      <c r="B158" s="6" t="s">
        <v>217</v>
      </c>
      <c r="C158" s="3">
        <v>2</v>
      </c>
      <c r="D158" s="6" t="str">
        <f>_xlfn.XLOOKUP(Table1[[#This Row],[EmployeeID]],Table4[employeeID],Table4[employeeName])</f>
        <v>Andrew Fuller</v>
      </c>
      <c r="E158" s="1">
        <v>41642</v>
      </c>
      <c r="F158" s="1">
        <v>41670</v>
      </c>
      <c r="G158" s="1">
        <v>41647</v>
      </c>
      <c r="H158" s="3">
        <f>IF(Table1[[#This Row],[ShippedDate]]="","",IF(Table1[[#This Row],[OrderDate]]="","",Table1[[#This Row],[ShippedDate]]-Table1[[#This Row],[OrderDate]]))</f>
        <v>5</v>
      </c>
      <c r="I158" s="3">
        <v>1</v>
      </c>
      <c r="J158" s="2">
        <v>155.97</v>
      </c>
      <c r="K158" s="2">
        <f>SUMIF(order_details!A:A,Table1[[#This Row],[orderID]],order_details!F:F)</f>
        <v>1591.25</v>
      </c>
      <c r="L158" s="9">
        <f>_xlfn.XLOOKUP(Table1[[#This Row],[orderID]],Table3[orderID],Table3[discount])</f>
        <v>0.05</v>
      </c>
      <c r="M158" s="2">
        <f>SUM(Table1[[#This Row],[Sales]],Table1[[#This Row],[freight]])</f>
        <v>1747.22</v>
      </c>
      <c r="N158" s="3">
        <f>_xlfn.XLOOKUP(Table1[[#This Row],[orderID]],Table3[orderID],Table3[quantity])</f>
        <v>30</v>
      </c>
      <c r="O158" s="6" t="str">
        <f>_xlfn.XLOOKUP(Table1[[#This Row],[CustomerID]],customers!A:A,customers!B:B)</f>
        <v>Magazzini Alimentari Riuniti</v>
      </c>
      <c r="P158" s="6" t="str">
        <f>_xlfn.XLOOKUP(Table1[[#This Row],[shipperID]],Table6[shipperID],Table6[companyName])</f>
        <v>Speedy Express</v>
      </c>
      <c r="Q158">
        <f>YEAR(Table1[[#This Row],[OrderDate]])</f>
        <v>2014</v>
      </c>
      <c r="R158">
        <f>MONTH(Table1[[#This Row],[OrderDate]])</f>
        <v>1</v>
      </c>
      <c r="S158" t="str">
        <f>"Q"&amp;ROUNDUP(Table1[[#This Row],[month]]/3,0)</f>
        <v>Q1</v>
      </c>
      <c r="T158" t="str">
        <f>CONCATENATE(Table1[[#This Row],[year]],"-",Table1[[#This Row],[Quarter]])</f>
        <v>2014-Q1</v>
      </c>
      <c r="U158" s="6" t="str">
        <f>IF(H157="","Pending",IF(Table1[[#This Row],[Days to ship]]&lt;Table1[[#This Row],[RequiredDate]],"On Time","Late"))</f>
        <v>On Time</v>
      </c>
      <c r="V158">
        <f>_xlfn.XLOOKUP(Table1[[#This Row],[orderID]],Table3[orderID],Table3[unitPrice])</f>
        <v>24.9</v>
      </c>
    </row>
    <row r="159" spans="1:22" x14ac:dyDescent="0.45">
      <c r="A159" s="3">
        <v>10405</v>
      </c>
      <c r="B159" s="6" t="s">
        <v>187</v>
      </c>
      <c r="C159" s="3">
        <v>1</v>
      </c>
      <c r="D159" s="6" t="str">
        <f>_xlfn.XLOOKUP(Table1[[#This Row],[EmployeeID]],Table4[employeeID],Table4[employeeName])</f>
        <v>Nancy Davolio</v>
      </c>
      <c r="E159" s="1">
        <v>41645</v>
      </c>
      <c r="F159" s="1">
        <v>41673</v>
      </c>
      <c r="G159" s="1">
        <v>41661</v>
      </c>
      <c r="H159" s="3">
        <f>IF(Table1[[#This Row],[ShippedDate]]="","",IF(Table1[[#This Row],[OrderDate]]="","",Table1[[#This Row],[ShippedDate]]-Table1[[#This Row],[OrderDate]]))</f>
        <v>16</v>
      </c>
      <c r="I159" s="3">
        <v>1</v>
      </c>
      <c r="J159" s="2">
        <v>34.82</v>
      </c>
      <c r="K159" s="2">
        <f>SUMIF(order_details!A:A,Table1[[#This Row],[orderID]],order_details!F:F)</f>
        <v>400</v>
      </c>
      <c r="L159" s="9">
        <f>_xlfn.XLOOKUP(Table1[[#This Row],[orderID]],Table3[orderID],Table3[discount])</f>
        <v>0</v>
      </c>
      <c r="M159" s="2">
        <f>SUM(Table1[[#This Row],[Sales]],Table1[[#This Row],[freight]])</f>
        <v>434.82</v>
      </c>
      <c r="N159" s="3">
        <f>_xlfn.XLOOKUP(Table1[[#This Row],[orderID]],Table3[orderID],Table3[quantity])</f>
        <v>50</v>
      </c>
      <c r="O159" s="6" t="str">
        <f>_xlfn.XLOOKUP(Table1[[#This Row],[CustomerID]],customers!A:A,customers!B:B)</f>
        <v>LINO-Delicateses</v>
      </c>
      <c r="P159" s="6" t="str">
        <f>_xlfn.XLOOKUP(Table1[[#This Row],[shipperID]],Table6[shipperID],Table6[companyName])</f>
        <v>Speedy Express</v>
      </c>
      <c r="Q159">
        <f>YEAR(Table1[[#This Row],[OrderDate]])</f>
        <v>2014</v>
      </c>
      <c r="R159">
        <f>MONTH(Table1[[#This Row],[OrderDate]])</f>
        <v>1</v>
      </c>
      <c r="S159" t="str">
        <f>"Q"&amp;ROUNDUP(Table1[[#This Row],[month]]/3,0)</f>
        <v>Q1</v>
      </c>
      <c r="T159" t="str">
        <f>CONCATENATE(Table1[[#This Row],[year]],"-",Table1[[#This Row],[Quarter]])</f>
        <v>2014-Q1</v>
      </c>
      <c r="U159" s="6" t="str">
        <f>IF(H158="","Pending",IF(Table1[[#This Row],[Days to ship]]&lt;Table1[[#This Row],[RequiredDate]],"On Time","Late"))</f>
        <v>On Time</v>
      </c>
      <c r="V159">
        <f>_xlfn.XLOOKUP(Table1[[#This Row],[orderID]],Table3[orderID],Table3[unitPrice])</f>
        <v>8</v>
      </c>
    </row>
    <row r="160" spans="1:22" x14ac:dyDescent="0.45">
      <c r="A160" s="3">
        <v>10406</v>
      </c>
      <c r="B160" s="6" t="s">
        <v>162</v>
      </c>
      <c r="C160" s="3">
        <v>7</v>
      </c>
      <c r="D160" s="6" t="str">
        <f>_xlfn.XLOOKUP(Table1[[#This Row],[EmployeeID]],Table4[employeeID],Table4[employeeName])</f>
        <v>Robert King</v>
      </c>
      <c r="E160" s="1">
        <v>41646</v>
      </c>
      <c r="F160" s="1">
        <v>41688</v>
      </c>
      <c r="G160" s="1">
        <v>41652</v>
      </c>
      <c r="H160" s="3">
        <f>IF(Table1[[#This Row],[ShippedDate]]="","",IF(Table1[[#This Row],[OrderDate]]="","",Table1[[#This Row],[ShippedDate]]-Table1[[#This Row],[OrderDate]]))</f>
        <v>6</v>
      </c>
      <c r="I160" s="3">
        <v>1</v>
      </c>
      <c r="J160" s="2">
        <v>108.04</v>
      </c>
      <c r="K160" s="2">
        <f>SUMIF(order_details!A:A,Table1[[#This Row],[orderID]],order_details!F:F)</f>
        <v>1830.7800000000002</v>
      </c>
      <c r="L160" s="9">
        <f>_xlfn.XLOOKUP(Table1[[#This Row],[orderID]],Table3[orderID],Table3[discount])</f>
        <v>0</v>
      </c>
      <c r="M160" s="2">
        <f>SUM(Table1[[#This Row],[Sales]],Table1[[#This Row],[freight]])</f>
        <v>1938.8200000000002</v>
      </c>
      <c r="N160" s="3">
        <f>_xlfn.XLOOKUP(Table1[[#This Row],[orderID]],Table3[orderID],Table3[quantity])</f>
        <v>10</v>
      </c>
      <c r="O160" s="6" t="str">
        <f>_xlfn.XLOOKUP(Table1[[#This Row],[CustomerID]],customers!A:A,customers!B:B)</f>
        <v>Queen Cozinha</v>
      </c>
      <c r="P160" s="6" t="str">
        <f>_xlfn.XLOOKUP(Table1[[#This Row],[shipperID]],Table6[shipperID],Table6[companyName])</f>
        <v>Speedy Express</v>
      </c>
      <c r="Q160">
        <f>YEAR(Table1[[#This Row],[OrderDate]])</f>
        <v>2014</v>
      </c>
      <c r="R160">
        <f>MONTH(Table1[[#This Row],[OrderDate]])</f>
        <v>1</v>
      </c>
      <c r="S160" t="str">
        <f>"Q"&amp;ROUNDUP(Table1[[#This Row],[month]]/3,0)</f>
        <v>Q1</v>
      </c>
      <c r="T160" t="str">
        <f>CONCATENATE(Table1[[#This Row],[year]],"-",Table1[[#This Row],[Quarter]])</f>
        <v>2014-Q1</v>
      </c>
      <c r="U160" s="6" t="str">
        <f>IF(H159="","Pending",IF(Table1[[#This Row],[Days to ship]]&lt;Table1[[#This Row],[RequiredDate]],"On Time","Late"))</f>
        <v>On Time</v>
      </c>
      <c r="V160">
        <f>_xlfn.XLOOKUP(Table1[[#This Row],[orderID]],Table3[orderID],Table3[unitPrice])</f>
        <v>14.4</v>
      </c>
    </row>
    <row r="161" spans="1:22" x14ac:dyDescent="0.45">
      <c r="A161" s="3">
        <v>10407</v>
      </c>
      <c r="B161" s="6" t="s">
        <v>195</v>
      </c>
      <c r="C161" s="3">
        <v>2</v>
      </c>
      <c r="D161" s="6" t="str">
        <f>_xlfn.XLOOKUP(Table1[[#This Row],[EmployeeID]],Table4[employeeID],Table4[employeeName])</f>
        <v>Andrew Fuller</v>
      </c>
      <c r="E161" s="1">
        <v>41646</v>
      </c>
      <c r="F161" s="1">
        <v>41674</v>
      </c>
      <c r="G161" s="1">
        <v>41669</v>
      </c>
      <c r="H161" s="3">
        <f>IF(Table1[[#This Row],[ShippedDate]]="","",IF(Table1[[#This Row],[OrderDate]]="","",Table1[[#This Row],[ShippedDate]]-Table1[[#This Row],[OrderDate]]))</f>
        <v>23</v>
      </c>
      <c r="I161" s="3">
        <v>2</v>
      </c>
      <c r="J161" s="2">
        <v>91.48</v>
      </c>
      <c r="K161" s="2">
        <f>SUMIF(order_details!A:A,Table1[[#This Row],[orderID]],order_details!F:F)</f>
        <v>1194</v>
      </c>
      <c r="L161" s="9">
        <f>_xlfn.XLOOKUP(Table1[[#This Row],[orderID]],Table3[orderID],Table3[discount])</f>
        <v>0</v>
      </c>
      <c r="M161" s="2">
        <f>SUM(Table1[[#This Row],[Sales]],Table1[[#This Row],[freight]])</f>
        <v>1285.48</v>
      </c>
      <c r="N161" s="3">
        <f>_xlfn.XLOOKUP(Table1[[#This Row],[orderID]],Table3[orderID],Table3[quantity])</f>
        <v>30</v>
      </c>
      <c r="O161" s="6" t="str">
        <f>_xlfn.XLOOKUP(Table1[[#This Row],[CustomerID]],customers!A:A,customers!B:B)</f>
        <v>Ottilies Käseladen</v>
      </c>
      <c r="P161" s="6" t="str">
        <f>_xlfn.XLOOKUP(Table1[[#This Row],[shipperID]],Table6[shipperID],Table6[companyName])</f>
        <v>United Package</v>
      </c>
      <c r="Q161">
        <f>YEAR(Table1[[#This Row],[OrderDate]])</f>
        <v>2014</v>
      </c>
      <c r="R161">
        <f>MONTH(Table1[[#This Row],[OrderDate]])</f>
        <v>1</v>
      </c>
      <c r="S161" t="str">
        <f>"Q"&amp;ROUNDUP(Table1[[#This Row],[month]]/3,0)</f>
        <v>Q1</v>
      </c>
      <c r="T161" t="str">
        <f>CONCATENATE(Table1[[#This Row],[year]],"-",Table1[[#This Row],[Quarter]])</f>
        <v>2014-Q1</v>
      </c>
      <c r="U161" s="6" t="str">
        <f>IF(H160="","Pending",IF(Table1[[#This Row],[Days to ship]]&lt;Table1[[#This Row],[RequiredDate]],"On Time","Late"))</f>
        <v>On Time</v>
      </c>
      <c r="V161">
        <f>_xlfn.XLOOKUP(Table1[[#This Row],[orderID]],Table3[orderID],Table3[unitPrice])</f>
        <v>16.8</v>
      </c>
    </row>
    <row r="162" spans="1:22" x14ac:dyDescent="0.45">
      <c r="A162" s="3">
        <v>10408</v>
      </c>
      <c r="B162" s="6" t="s">
        <v>234</v>
      </c>
      <c r="C162" s="3">
        <v>8</v>
      </c>
      <c r="D162" s="6" t="str">
        <f>_xlfn.XLOOKUP(Table1[[#This Row],[EmployeeID]],Table4[employeeID],Table4[employeeName])</f>
        <v>Laura Callahan</v>
      </c>
      <c r="E162" s="1">
        <v>41647</v>
      </c>
      <c r="F162" s="1">
        <v>41675</v>
      </c>
      <c r="G162" s="1">
        <v>41653</v>
      </c>
      <c r="H162" s="3">
        <f>IF(Table1[[#This Row],[ShippedDate]]="","",IF(Table1[[#This Row],[OrderDate]]="","",Table1[[#This Row],[ShippedDate]]-Table1[[#This Row],[OrderDate]]))</f>
        <v>6</v>
      </c>
      <c r="I162" s="3">
        <v>1</v>
      </c>
      <c r="J162" s="2">
        <v>11.26</v>
      </c>
      <c r="K162" s="2">
        <f>SUMIF(order_details!A:A,Table1[[#This Row],[orderID]],order_details!F:F)</f>
        <v>1622.4</v>
      </c>
      <c r="L162" s="9">
        <f>_xlfn.XLOOKUP(Table1[[#This Row],[orderID]],Table3[orderID],Table3[discount])</f>
        <v>0</v>
      </c>
      <c r="M162" s="2">
        <f>SUM(Table1[[#This Row],[Sales]],Table1[[#This Row],[freight]])</f>
        <v>1633.66</v>
      </c>
      <c r="N162" s="3">
        <f>_xlfn.XLOOKUP(Table1[[#This Row],[orderID]],Table3[orderID],Table3[quantity])</f>
        <v>10</v>
      </c>
      <c r="O162" s="6" t="str">
        <f>_xlfn.XLOOKUP(Table1[[#This Row],[CustomerID]],customers!A:A,customers!B:B)</f>
        <v>Folies gourmandes</v>
      </c>
      <c r="P162" s="6" t="str">
        <f>_xlfn.XLOOKUP(Table1[[#This Row],[shipperID]],Table6[shipperID],Table6[companyName])</f>
        <v>Speedy Express</v>
      </c>
      <c r="Q162">
        <f>YEAR(Table1[[#This Row],[OrderDate]])</f>
        <v>2014</v>
      </c>
      <c r="R162">
        <f>MONTH(Table1[[#This Row],[OrderDate]])</f>
        <v>1</v>
      </c>
      <c r="S162" t="str">
        <f>"Q"&amp;ROUNDUP(Table1[[#This Row],[month]]/3,0)</f>
        <v>Q1</v>
      </c>
      <c r="T162" t="str">
        <f>CONCATENATE(Table1[[#This Row],[year]],"-",Table1[[#This Row],[Quarter]])</f>
        <v>2014-Q1</v>
      </c>
      <c r="U162" s="6" t="str">
        <f>IF(H161="","Pending",IF(Table1[[#This Row],[Days to ship]]&lt;Table1[[#This Row],[RequiredDate]],"On Time","Late"))</f>
        <v>On Time</v>
      </c>
      <c r="V162">
        <f>_xlfn.XLOOKUP(Table1[[#This Row],[orderID]],Table3[orderID],Table3[unitPrice])</f>
        <v>20.8</v>
      </c>
    </row>
    <row r="163" spans="1:22" x14ac:dyDescent="0.45">
      <c r="A163" s="3">
        <v>10409</v>
      </c>
      <c r="B163" s="6" t="s">
        <v>210</v>
      </c>
      <c r="C163" s="3">
        <v>3</v>
      </c>
      <c r="D163" s="6" t="str">
        <f>_xlfn.XLOOKUP(Table1[[#This Row],[EmployeeID]],Table4[employeeID],Table4[employeeName])</f>
        <v>Janet Leverling</v>
      </c>
      <c r="E163" s="1">
        <v>41648</v>
      </c>
      <c r="F163" s="1">
        <v>41676</v>
      </c>
      <c r="G163" s="1">
        <v>41653</v>
      </c>
      <c r="H163" s="3">
        <f>IF(Table1[[#This Row],[ShippedDate]]="","",IF(Table1[[#This Row],[OrderDate]]="","",Table1[[#This Row],[ShippedDate]]-Table1[[#This Row],[OrderDate]]))</f>
        <v>5</v>
      </c>
      <c r="I163" s="3">
        <v>1</v>
      </c>
      <c r="J163" s="2">
        <v>29.83</v>
      </c>
      <c r="K163" s="2">
        <f>SUMIF(order_details!A:A,Table1[[#This Row],[orderID]],order_details!F:F)</f>
        <v>319.20000000000005</v>
      </c>
      <c r="L163" s="9">
        <f>_xlfn.XLOOKUP(Table1[[#This Row],[orderID]],Table3[orderID],Table3[discount])</f>
        <v>0</v>
      </c>
      <c r="M163" s="2">
        <f>SUM(Table1[[#This Row],[Sales]],Table1[[#This Row],[freight]])</f>
        <v>349.03000000000003</v>
      </c>
      <c r="N163" s="3">
        <f>_xlfn.XLOOKUP(Table1[[#This Row],[orderID]],Table3[orderID],Table3[quantity])</f>
        <v>12</v>
      </c>
      <c r="O163" s="6" t="str">
        <f>_xlfn.XLOOKUP(Table1[[#This Row],[CustomerID]],customers!A:A,customers!B:B)</f>
        <v>Océano Atlántico Ltda.</v>
      </c>
      <c r="P163" s="6" t="str">
        <f>_xlfn.XLOOKUP(Table1[[#This Row],[shipperID]],Table6[shipperID],Table6[companyName])</f>
        <v>Speedy Express</v>
      </c>
      <c r="Q163">
        <f>YEAR(Table1[[#This Row],[OrderDate]])</f>
        <v>2014</v>
      </c>
      <c r="R163">
        <f>MONTH(Table1[[#This Row],[OrderDate]])</f>
        <v>1</v>
      </c>
      <c r="S163" t="str">
        <f>"Q"&amp;ROUNDUP(Table1[[#This Row],[month]]/3,0)</f>
        <v>Q1</v>
      </c>
      <c r="T163" t="str">
        <f>CONCATENATE(Table1[[#This Row],[year]],"-",Table1[[#This Row],[Quarter]])</f>
        <v>2014-Q1</v>
      </c>
      <c r="U163" s="6" t="str">
        <f>IF(H162="","Pending",IF(Table1[[#This Row],[Days to ship]]&lt;Table1[[#This Row],[RequiredDate]],"On Time","Late"))</f>
        <v>On Time</v>
      </c>
      <c r="V163">
        <f>_xlfn.XLOOKUP(Table1[[#This Row],[orderID]],Table3[orderID],Table3[unitPrice])</f>
        <v>18.600000000000001</v>
      </c>
    </row>
    <row r="164" spans="1:22" x14ac:dyDescent="0.45">
      <c r="A164" s="3">
        <v>10410</v>
      </c>
      <c r="B164" s="6" t="s">
        <v>181</v>
      </c>
      <c r="C164" s="3">
        <v>3</v>
      </c>
      <c r="D164" s="6" t="str">
        <f>_xlfn.XLOOKUP(Table1[[#This Row],[EmployeeID]],Table4[employeeID],Table4[employeeName])</f>
        <v>Janet Leverling</v>
      </c>
      <c r="E164" s="1">
        <v>41649</v>
      </c>
      <c r="F164" s="1">
        <v>41677</v>
      </c>
      <c r="G164" s="1">
        <v>41654</v>
      </c>
      <c r="H164" s="3">
        <f>IF(Table1[[#This Row],[ShippedDate]]="","",IF(Table1[[#This Row],[OrderDate]]="","",Table1[[#This Row],[ShippedDate]]-Table1[[#This Row],[OrderDate]]))</f>
        <v>5</v>
      </c>
      <c r="I164" s="3">
        <v>3</v>
      </c>
      <c r="J164" s="2">
        <v>2.4</v>
      </c>
      <c r="K164" s="2">
        <f>SUMIF(order_details!A:A,Table1[[#This Row],[orderID]],order_details!F:F)</f>
        <v>802</v>
      </c>
      <c r="L164" s="9">
        <f>_xlfn.XLOOKUP(Table1[[#This Row],[orderID]],Table3[orderID],Table3[discount])</f>
        <v>0</v>
      </c>
      <c r="M164" s="2">
        <f>SUM(Table1[[#This Row],[Sales]],Table1[[#This Row],[freight]])</f>
        <v>804.4</v>
      </c>
      <c r="N164" s="3">
        <f>_xlfn.XLOOKUP(Table1[[#This Row],[orderID]],Table3[orderID],Table3[quantity])</f>
        <v>49</v>
      </c>
      <c r="O164" s="6" t="str">
        <f>_xlfn.XLOOKUP(Table1[[#This Row],[CustomerID]],customers!A:A,customers!B:B)</f>
        <v>Bottom-Dollar Markets</v>
      </c>
      <c r="P164" s="6" t="str">
        <f>_xlfn.XLOOKUP(Table1[[#This Row],[shipperID]],Table6[shipperID],Table6[companyName])</f>
        <v>Federal Shipping</v>
      </c>
      <c r="Q164">
        <f>YEAR(Table1[[#This Row],[OrderDate]])</f>
        <v>2014</v>
      </c>
      <c r="R164">
        <f>MONTH(Table1[[#This Row],[OrderDate]])</f>
        <v>1</v>
      </c>
      <c r="S164" t="str">
        <f>"Q"&amp;ROUNDUP(Table1[[#This Row],[month]]/3,0)</f>
        <v>Q1</v>
      </c>
      <c r="T164" t="str">
        <f>CONCATENATE(Table1[[#This Row],[year]],"-",Table1[[#This Row],[Quarter]])</f>
        <v>2014-Q1</v>
      </c>
      <c r="U164" s="6" t="str">
        <f>IF(H163="","Pending",IF(Table1[[#This Row],[Days to ship]]&lt;Table1[[#This Row],[RequiredDate]],"On Time","Late"))</f>
        <v>On Time</v>
      </c>
      <c r="V164">
        <f>_xlfn.XLOOKUP(Table1[[#This Row],[orderID]],Table3[orderID],Table3[unitPrice])</f>
        <v>2</v>
      </c>
    </row>
    <row r="165" spans="1:22" x14ac:dyDescent="0.45">
      <c r="A165" s="3">
        <v>10411</v>
      </c>
      <c r="B165" s="6" t="s">
        <v>181</v>
      </c>
      <c r="C165" s="3">
        <v>9</v>
      </c>
      <c r="D165" s="6" t="str">
        <f>_xlfn.XLOOKUP(Table1[[#This Row],[EmployeeID]],Table4[employeeID],Table4[employeeName])</f>
        <v>Anne Dodsworth</v>
      </c>
      <c r="E165" s="1">
        <v>41649</v>
      </c>
      <c r="F165" s="1">
        <v>41677</v>
      </c>
      <c r="G165" s="1">
        <v>41660</v>
      </c>
      <c r="H165" s="3">
        <f>IF(Table1[[#This Row],[ShippedDate]]="","",IF(Table1[[#This Row],[OrderDate]]="","",Table1[[#This Row],[ShippedDate]]-Table1[[#This Row],[OrderDate]]))</f>
        <v>11</v>
      </c>
      <c r="I165" s="3">
        <v>3</v>
      </c>
      <c r="J165" s="2">
        <v>23.65</v>
      </c>
      <c r="K165" s="2">
        <f>SUMIF(order_details!A:A,Table1[[#This Row],[orderID]],order_details!F:F)</f>
        <v>966.8</v>
      </c>
      <c r="L165" s="9">
        <f>_xlfn.XLOOKUP(Table1[[#This Row],[orderID]],Table3[orderID],Table3[discount])</f>
        <v>0.2</v>
      </c>
      <c r="M165" s="2">
        <f>SUM(Table1[[#This Row],[Sales]],Table1[[#This Row],[freight]])</f>
        <v>990.44999999999993</v>
      </c>
      <c r="N165" s="3">
        <f>_xlfn.XLOOKUP(Table1[[#This Row],[orderID]],Table3[orderID],Table3[quantity])</f>
        <v>25</v>
      </c>
      <c r="O165" s="6" t="str">
        <f>_xlfn.XLOOKUP(Table1[[#This Row],[CustomerID]],customers!A:A,customers!B:B)</f>
        <v>Bottom-Dollar Markets</v>
      </c>
      <c r="P165" s="6" t="str">
        <f>_xlfn.XLOOKUP(Table1[[#This Row],[shipperID]],Table6[shipperID],Table6[companyName])</f>
        <v>Federal Shipping</v>
      </c>
      <c r="Q165">
        <f>YEAR(Table1[[#This Row],[OrderDate]])</f>
        <v>2014</v>
      </c>
      <c r="R165">
        <f>MONTH(Table1[[#This Row],[OrderDate]])</f>
        <v>1</v>
      </c>
      <c r="S165" t="str">
        <f>"Q"&amp;ROUNDUP(Table1[[#This Row],[month]]/3,0)</f>
        <v>Q1</v>
      </c>
      <c r="T165" t="str">
        <f>CONCATENATE(Table1[[#This Row],[year]],"-",Table1[[#This Row],[Quarter]])</f>
        <v>2014-Q1</v>
      </c>
      <c r="U165" s="6" t="str">
        <f>IF(H164="","Pending",IF(Table1[[#This Row],[Days to ship]]&lt;Table1[[#This Row],[RequiredDate]],"On Time","Late"))</f>
        <v>On Time</v>
      </c>
      <c r="V165">
        <f>_xlfn.XLOOKUP(Table1[[#This Row],[orderID]],Table3[orderID],Table3[unitPrice])</f>
        <v>7.7</v>
      </c>
    </row>
    <row r="166" spans="1:22" x14ac:dyDescent="0.45">
      <c r="A166" s="3">
        <v>10412</v>
      </c>
      <c r="B166" s="6" t="s">
        <v>192</v>
      </c>
      <c r="C166" s="3">
        <v>8</v>
      </c>
      <c r="D166" s="6" t="str">
        <f>_xlfn.XLOOKUP(Table1[[#This Row],[EmployeeID]],Table4[employeeID],Table4[employeeName])</f>
        <v>Laura Callahan</v>
      </c>
      <c r="E166" s="1">
        <v>41652</v>
      </c>
      <c r="F166" s="1">
        <v>41680</v>
      </c>
      <c r="G166" s="1">
        <v>41654</v>
      </c>
      <c r="H166" s="3">
        <f>IF(Table1[[#This Row],[ShippedDate]]="","",IF(Table1[[#This Row],[OrderDate]]="","",Table1[[#This Row],[ShippedDate]]-Table1[[#This Row],[OrderDate]]))</f>
        <v>2</v>
      </c>
      <c r="I166" s="3">
        <v>2</v>
      </c>
      <c r="J166" s="2">
        <v>3.77</v>
      </c>
      <c r="K166" s="2">
        <f>SUMIF(order_details!A:A,Table1[[#This Row],[orderID]],order_details!F:F)</f>
        <v>334.8</v>
      </c>
      <c r="L166" s="9">
        <f>_xlfn.XLOOKUP(Table1[[#This Row],[orderID]],Table3[orderID],Table3[discount])</f>
        <v>0.1</v>
      </c>
      <c r="M166" s="2">
        <f>SUM(Table1[[#This Row],[Sales]],Table1[[#This Row],[freight]])</f>
        <v>338.57</v>
      </c>
      <c r="N166" s="3">
        <f>_xlfn.XLOOKUP(Table1[[#This Row],[orderID]],Table3[orderID],Table3[quantity])</f>
        <v>20</v>
      </c>
      <c r="O166" s="6" t="str">
        <f>_xlfn.XLOOKUP(Table1[[#This Row],[CustomerID]],customers!A:A,customers!B:B)</f>
        <v>Wartian Herkku</v>
      </c>
      <c r="P166" s="6" t="str">
        <f>_xlfn.XLOOKUP(Table1[[#This Row],[shipperID]],Table6[shipperID],Table6[companyName])</f>
        <v>United Package</v>
      </c>
      <c r="Q166">
        <f>YEAR(Table1[[#This Row],[OrderDate]])</f>
        <v>2014</v>
      </c>
      <c r="R166">
        <f>MONTH(Table1[[#This Row],[OrderDate]])</f>
        <v>1</v>
      </c>
      <c r="S166" t="str">
        <f>"Q"&amp;ROUNDUP(Table1[[#This Row],[month]]/3,0)</f>
        <v>Q1</v>
      </c>
      <c r="T166" t="str">
        <f>CONCATENATE(Table1[[#This Row],[year]],"-",Table1[[#This Row],[Quarter]])</f>
        <v>2014-Q1</v>
      </c>
      <c r="U166" s="6" t="str">
        <f>IF(H165="","Pending",IF(Table1[[#This Row],[Days to ship]]&lt;Table1[[#This Row],[RequiredDate]],"On Time","Late"))</f>
        <v>On Time</v>
      </c>
      <c r="V166">
        <f>_xlfn.XLOOKUP(Table1[[#This Row],[orderID]],Table3[orderID],Table3[unitPrice])</f>
        <v>18.600000000000001</v>
      </c>
    </row>
    <row r="167" spans="1:22" x14ac:dyDescent="0.45">
      <c r="A167" s="3">
        <v>10413</v>
      </c>
      <c r="B167" s="6" t="s">
        <v>178</v>
      </c>
      <c r="C167" s="3">
        <v>3</v>
      </c>
      <c r="D167" s="6" t="str">
        <f>_xlfn.XLOOKUP(Table1[[#This Row],[EmployeeID]],Table4[employeeID],Table4[employeeName])</f>
        <v>Janet Leverling</v>
      </c>
      <c r="E167" s="1">
        <v>41653</v>
      </c>
      <c r="F167" s="1">
        <v>41681</v>
      </c>
      <c r="G167" s="1">
        <v>41655</v>
      </c>
      <c r="H167" s="3">
        <f>IF(Table1[[#This Row],[ShippedDate]]="","",IF(Table1[[#This Row],[OrderDate]]="","",Table1[[#This Row],[ShippedDate]]-Table1[[#This Row],[OrderDate]]))</f>
        <v>2</v>
      </c>
      <c r="I167" s="3">
        <v>2</v>
      </c>
      <c r="J167" s="2">
        <v>95.66</v>
      </c>
      <c r="K167" s="2">
        <f>SUMIF(order_details!A:A,Table1[[#This Row],[orderID]],order_details!F:F)</f>
        <v>2123.1999999999998</v>
      </c>
      <c r="L167" s="9">
        <f>_xlfn.XLOOKUP(Table1[[#This Row],[orderID]],Table3[orderID],Table3[discount])</f>
        <v>0</v>
      </c>
      <c r="M167" s="2">
        <f>SUM(Table1[[#This Row],[Sales]],Table1[[#This Row],[freight]])</f>
        <v>2218.8599999999997</v>
      </c>
      <c r="N167" s="3">
        <f>_xlfn.XLOOKUP(Table1[[#This Row],[orderID]],Table3[orderID],Table3[quantity])</f>
        <v>24</v>
      </c>
      <c r="O167" s="6" t="str">
        <f>_xlfn.XLOOKUP(Table1[[#This Row],[CustomerID]],customers!A:A,customers!B:B)</f>
        <v>La maison d'Asie</v>
      </c>
      <c r="P167" s="6" t="str">
        <f>_xlfn.XLOOKUP(Table1[[#This Row],[shipperID]],Table6[shipperID],Table6[companyName])</f>
        <v>United Package</v>
      </c>
      <c r="Q167">
        <f>YEAR(Table1[[#This Row],[OrderDate]])</f>
        <v>2014</v>
      </c>
      <c r="R167">
        <f>MONTH(Table1[[#This Row],[OrderDate]])</f>
        <v>1</v>
      </c>
      <c r="S167" t="str">
        <f>"Q"&amp;ROUNDUP(Table1[[#This Row],[month]]/3,0)</f>
        <v>Q1</v>
      </c>
      <c r="T167" t="str">
        <f>CONCATENATE(Table1[[#This Row],[year]],"-",Table1[[#This Row],[Quarter]])</f>
        <v>2014-Q1</v>
      </c>
      <c r="U167" s="6" t="str">
        <f>IF(H166="","Pending",IF(Table1[[#This Row],[Days to ship]]&lt;Table1[[#This Row],[RequiredDate]],"On Time","Late"))</f>
        <v>On Time</v>
      </c>
      <c r="V167">
        <f>_xlfn.XLOOKUP(Table1[[#This Row],[orderID]],Table3[orderID],Table3[unitPrice])</f>
        <v>14.4</v>
      </c>
    </row>
    <row r="168" spans="1:22" x14ac:dyDescent="0.45">
      <c r="A168" s="3">
        <v>10414</v>
      </c>
      <c r="B168" s="6" t="s">
        <v>237</v>
      </c>
      <c r="C168" s="3">
        <v>2</v>
      </c>
      <c r="D168" s="6" t="str">
        <f>_xlfn.XLOOKUP(Table1[[#This Row],[EmployeeID]],Table4[employeeID],Table4[employeeName])</f>
        <v>Andrew Fuller</v>
      </c>
      <c r="E168" s="1">
        <v>41653</v>
      </c>
      <c r="F168" s="1">
        <v>41681</v>
      </c>
      <c r="G168" s="1">
        <v>41656</v>
      </c>
      <c r="H168" s="3">
        <f>IF(Table1[[#This Row],[ShippedDate]]="","",IF(Table1[[#This Row],[OrderDate]]="","",Table1[[#This Row],[ShippedDate]]-Table1[[#This Row],[OrderDate]]))</f>
        <v>3</v>
      </c>
      <c r="I168" s="3">
        <v>3</v>
      </c>
      <c r="J168" s="2">
        <v>21.48</v>
      </c>
      <c r="K168" s="2">
        <f>SUMIF(order_details!A:A,Table1[[#This Row],[orderID]],order_details!F:F)</f>
        <v>224.82999999999998</v>
      </c>
      <c r="L168" s="9">
        <f>_xlfn.XLOOKUP(Table1[[#This Row],[orderID]],Table3[orderID],Table3[discount])</f>
        <v>0.05</v>
      </c>
      <c r="M168" s="2">
        <f>SUM(Table1[[#This Row],[Sales]],Table1[[#This Row],[freight]])</f>
        <v>246.30999999999997</v>
      </c>
      <c r="N168" s="3">
        <f>_xlfn.XLOOKUP(Table1[[#This Row],[orderID]],Table3[orderID],Table3[quantity])</f>
        <v>18</v>
      </c>
      <c r="O168" s="6" t="str">
        <f>_xlfn.XLOOKUP(Table1[[#This Row],[CustomerID]],customers!A:A,customers!B:B)</f>
        <v>Familia Arquibaldo</v>
      </c>
      <c r="P168" s="6" t="str">
        <f>_xlfn.XLOOKUP(Table1[[#This Row],[shipperID]],Table6[shipperID],Table6[companyName])</f>
        <v>Federal Shipping</v>
      </c>
      <c r="Q168">
        <f>YEAR(Table1[[#This Row],[OrderDate]])</f>
        <v>2014</v>
      </c>
      <c r="R168">
        <f>MONTH(Table1[[#This Row],[OrderDate]])</f>
        <v>1</v>
      </c>
      <c r="S168" t="str">
        <f>"Q"&amp;ROUNDUP(Table1[[#This Row],[month]]/3,0)</f>
        <v>Q1</v>
      </c>
      <c r="T168" t="str">
        <f>CONCATENATE(Table1[[#This Row],[year]],"-",Table1[[#This Row],[Quarter]])</f>
        <v>2014-Q1</v>
      </c>
      <c r="U168" s="6" t="str">
        <f>IF(H167="","Pending",IF(Table1[[#This Row],[Days to ship]]&lt;Table1[[#This Row],[RequiredDate]],"On Time","Late"))</f>
        <v>On Time</v>
      </c>
      <c r="V168">
        <f>_xlfn.XLOOKUP(Table1[[#This Row],[orderID]],Table3[orderID],Table3[unitPrice])</f>
        <v>7.3</v>
      </c>
    </row>
    <row r="169" spans="1:22" x14ac:dyDescent="0.45">
      <c r="A169" s="3">
        <v>10415</v>
      </c>
      <c r="B169" s="6" t="s">
        <v>239</v>
      </c>
      <c r="C169" s="3">
        <v>3</v>
      </c>
      <c r="D169" s="6" t="str">
        <f>_xlfn.XLOOKUP(Table1[[#This Row],[EmployeeID]],Table4[employeeID],Table4[employeeName])</f>
        <v>Janet Leverling</v>
      </c>
      <c r="E169" s="1">
        <v>41654</v>
      </c>
      <c r="F169" s="1">
        <v>41682</v>
      </c>
      <c r="G169" s="1">
        <v>41663</v>
      </c>
      <c r="H169" s="3">
        <f>IF(Table1[[#This Row],[ShippedDate]]="","",IF(Table1[[#This Row],[OrderDate]]="","",Table1[[#This Row],[ShippedDate]]-Table1[[#This Row],[OrderDate]]))</f>
        <v>9</v>
      </c>
      <c r="I169" s="3">
        <v>1</v>
      </c>
      <c r="J169" s="2">
        <v>0.2</v>
      </c>
      <c r="K169" s="2">
        <f>SUMIF(order_details!A:A,Table1[[#This Row],[orderID]],order_details!F:F)</f>
        <v>102.4</v>
      </c>
      <c r="L169" s="9">
        <f>_xlfn.XLOOKUP(Table1[[#This Row],[orderID]],Table3[orderID],Table3[discount])</f>
        <v>0</v>
      </c>
      <c r="M169" s="2">
        <f>SUM(Table1[[#This Row],[Sales]],Table1[[#This Row],[freight]])</f>
        <v>102.60000000000001</v>
      </c>
      <c r="N169" s="3">
        <f>_xlfn.XLOOKUP(Table1[[#This Row],[orderID]],Table3[orderID],Table3[quantity])</f>
        <v>2</v>
      </c>
      <c r="O169" s="6" t="str">
        <f>_xlfn.XLOOKUP(Table1[[#This Row],[CustomerID]],customers!A:A,customers!B:B)</f>
        <v>Hungry Coyote Import Store</v>
      </c>
      <c r="P169" s="6" t="str">
        <f>_xlfn.XLOOKUP(Table1[[#This Row],[shipperID]],Table6[shipperID],Table6[companyName])</f>
        <v>Speedy Express</v>
      </c>
      <c r="Q169">
        <f>YEAR(Table1[[#This Row],[OrderDate]])</f>
        <v>2014</v>
      </c>
      <c r="R169">
        <f>MONTH(Table1[[#This Row],[OrderDate]])</f>
        <v>1</v>
      </c>
      <c r="S169" t="str">
        <f>"Q"&amp;ROUNDUP(Table1[[#This Row],[month]]/3,0)</f>
        <v>Q1</v>
      </c>
      <c r="T169" t="str">
        <f>CONCATENATE(Table1[[#This Row],[year]],"-",Table1[[#This Row],[Quarter]])</f>
        <v>2014-Q1</v>
      </c>
      <c r="U169" s="6" t="str">
        <f>IF(H168="","Pending",IF(Table1[[#This Row],[Days to ship]]&lt;Table1[[#This Row],[RequiredDate]],"On Time","Late"))</f>
        <v>On Time</v>
      </c>
      <c r="V169">
        <f>_xlfn.XLOOKUP(Table1[[#This Row],[orderID]],Table3[orderID],Table3[unitPrice])</f>
        <v>31.2</v>
      </c>
    </row>
    <row r="170" spans="1:22" x14ac:dyDescent="0.45">
      <c r="A170" s="3">
        <v>10416</v>
      </c>
      <c r="B170" s="6" t="s">
        <v>192</v>
      </c>
      <c r="C170" s="3">
        <v>8</v>
      </c>
      <c r="D170" s="6" t="str">
        <f>_xlfn.XLOOKUP(Table1[[#This Row],[EmployeeID]],Table4[employeeID],Table4[employeeName])</f>
        <v>Laura Callahan</v>
      </c>
      <c r="E170" s="1">
        <v>41655</v>
      </c>
      <c r="F170" s="1">
        <v>41683</v>
      </c>
      <c r="G170" s="1">
        <v>41666</v>
      </c>
      <c r="H170" s="3">
        <f>IF(Table1[[#This Row],[ShippedDate]]="","",IF(Table1[[#This Row],[OrderDate]]="","",Table1[[#This Row],[ShippedDate]]-Table1[[#This Row],[OrderDate]]))</f>
        <v>11</v>
      </c>
      <c r="I170" s="3">
        <v>3</v>
      </c>
      <c r="J170" s="2">
        <v>22.72</v>
      </c>
      <c r="K170" s="2">
        <f>SUMIF(order_details!A:A,Table1[[#This Row],[orderID]],order_details!F:F)</f>
        <v>720</v>
      </c>
      <c r="L170" s="9">
        <f>_xlfn.XLOOKUP(Table1[[#This Row],[orderID]],Table3[orderID],Table3[discount])</f>
        <v>0</v>
      </c>
      <c r="M170" s="2">
        <f>SUM(Table1[[#This Row],[Sales]],Table1[[#This Row],[freight]])</f>
        <v>742.72</v>
      </c>
      <c r="N170" s="3">
        <f>_xlfn.XLOOKUP(Table1[[#This Row],[orderID]],Table3[orderID],Table3[quantity])</f>
        <v>20</v>
      </c>
      <c r="O170" s="6" t="str">
        <f>_xlfn.XLOOKUP(Table1[[#This Row],[CustomerID]],customers!A:A,customers!B:B)</f>
        <v>Wartian Herkku</v>
      </c>
      <c r="P170" s="6" t="str">
        <f>_xlfn.XLOOKUP(Table1[[#This Row],[shipperID]],Table6[shipperID],Table6[companyName])</f>
        <v>Federal Shipping</v>
      </c>
      <c r="Q170">
        <f>YEAR(Table1[[#This Row],[OrderDate]])</f>
        <v>2014</v>
      </c>
      <c r="R170">
        <f>MONTH(Table1[[#This Row],[OrderDate]])</f>
        <v>1</v>
      </c>
      <c r="S170" t="str">
        <f>"Q"&amp;ROUNDUP(Table1[[#This Row],[month]]/3,0)</f>
        <v>Q1</v>
      </c>
      <c r="T170" t="str">
        <f>CONCATENATE(Table1[[#This Row],[year]],"-",Table1[[#This Row],[Quarter]])</f>
        <v>2014-Q1</v>
      </c>
      <c r="U170" s="6" t="str">
        <f>IF(H169="","Pending",IF(Table1[[#This Row],[Days to ship]]&lt;Table1[[#This Row],[RequiredDate]],"On Time","Late"))</f>
        <v>On Time</v>
      </c>
      <c r="V170">
        <f>_xlfn.XLOOKUP(Table1[[#This Row],[orderID]],Table3[orderID],Table3[unitPrice])</f>
        <v>7.3</v>
      </c>
    </row>
    <row r="171" spans="1:22" x14ac:dyDescent="0.45">
      <c r="A171" s="3">
        <v>10417</v>
      </c>
      <c r="B171" s="6" t="s">
        <v>156</v>
      </c>
      <c r="C171" s="3">
        <v>4</v>
      </c>
      <c r="D171" s="6" t="str">
        <f>_xlfn.XLOOKUP(Table1[[#This Row],[EmployeeID]],Table4[employeeID],Table4[employeeName])</f>
        <v>Margaret Peacock</v>
      </c>
      <c r="E171" s="1">
        <v>41655</v>
      </c>
      <c r="F171" s="1">
        <v>41683</v>
      </c>
      <c r="G171" s="1">
        <v>41667</v>
      </c>
      <c r="H171" s="3">
        <f>IF(Table1[[#This Row],[ShippedDate]]="","",IF(Table1[[#This Row],[OrderDate]]="","",Table1[[#This Row],[ShippedDate]]-Table1[[#This Row],[OrderDate]]))</f>
        <v>12</v>
      </c>
      <c r="I171" s="3">
        <v>3</v>
      </c>
      <c r="J171" s="2">
        <v>70.290000000000006</v>
      </c>
      <c r="K171" s="2">
        <f>SUMIF(order_details!A:A,Table1[[#This Row],[orderID]],order_details!F:F)</f>
        <v>11188.4</v>
      </c>
      <c r="L171" s="9">
        <f>_xlfn.XLOOKUP(Table1[[#This Row],[orderID]],Table3[orderID],Table3[discount])</f>
        <v>0</v>
      </c>
      <c r="M171" s="2">
        <f>SUM(Table1[[#This Row],[Sales]],Table1[[#This Row],[freight]])</f>
        <v>11258.69</v>
      </c>
      <c r="N171" s="3">
        <f>_xlfn.XLOOKUP(Table1[[#This Row],[orderID]],Table3[orderID],Table3[quantity])</f>
        <v>50</v>
      </c>
      <c r="O171" s="6" t="str">
        <f>_xlfn.XLOOKUP(Table1[[#This Row],[CustomerID]],customers!A:A,customers!B:B)</f>
        <v>Simons bistro</v>
      </c>
      <c r="P171" s="6" t="str">
        <f>_xlfn.XLOOKUP(Table1[[#This Row],[shipperID]],Table6[shipperID],Table6[companyName])</f>
        <v>Federal Shipping</v>
      </c>
      <c r="Q171">
        <f>YEAR(Table1[[#This Row],[OrderDate]])</f>
        <v>2014</v>
      </c>
      <c r="R171">
        <f>MONTH(Table1[[#This Row],[OrderDate]])</f>
        <v>1</v>
      </c>
      <c r="S171" t="str">
        <f>"Q"&amp;ROUNDUP(Table1[[#This Row],[month]]/3,0)</f>
        <v>Q1</v>
      </c>
      <c r="T171" t="str">
        <f>CONCATENATE(Table1[[#This Row],[year]],"-",Table1[[#This Row],[Quarter]])</f>
        <v>2014-Q1</v>
      </c>
      <c r="U171" s="6" t="str">
        <f>IF(H170="","Pending",IF(Table1[[#This Row],[Days to ship]]&lt;Table1[[#This Row],[RequiredDate]],"On Time","Late"))</f>
        <v>On Time</v>
      </c>
      <c r="V171">
        <f>_xlfn.XLOOKUP(Table1[[#This Row],[orderID]],Table3[orderID],Table3[unitPrice])</f>
        <v>210.8</v>
      </c>
    </row>
    <row r="172" spans="1:22" x14ac:dyDescent="0.45">
      <c r="A172" s="3">
        <v>10418</v>
      </c>
      <c r="B172" s="6" t="s">
        <v>194</v>
      </c>
      <c r="C172" s="3">
        <v>4</v>
      </c>
      <c r="D172" s="6" t="str">
        <f>_xlfn.XLOOKUP(Table1[[#This Row],[EmployeeID]],Table4[employeeID],Table4[employeeName])</f>
        <v>Margaret Peacock</v>
      </c>
      <c r="E172" s="1">
        <v>41656</v>
      </c>
      <c r="F172" s="1">
        <v>41684</v>
      </c>
      <c r="G172" s="1">
        <v>41663</v>
      </c>
      <c r="H172" s="3">
        <f>IF(Table1[[#This Row],[ShippedDate]]="","",IF(Table1[[#This Row],[OrderDate]]="","",Table1[[#This Row],[ShippedDate]]-Table1[[#This Row],[OrderDate]]))</f>
        <v>7</v>
      </c>
      <c r="I172" s="3">
        <v>1</v>
      </c>
      <c r="J172" s="2">
        <v>17.55</v>
      </c>
      <c r="K172" s="2">
        <f>SUMIF(order_details!A:A,Table1[[#This Row],[orderID]],order_details!F:F)</f>
        <v>1814.8</v>
      </c>
      <c r="L172" s="9">
        <f>_xlfn.XLOOKUP(Table1[[#This Row],[orderID]],Table3[orderID],Table3[discount])</f>
        <v>0</v>
      </c>
      <c r="M172" s="2">
        <f>SUM(Table1[[#This Row],[Sales]],Table1[[#This Row],[freight]])</f>
        <v>1832.35</v>
      </c>
      <c r="N172" s="3">
        <f>_xlfn.XLOOKUP(Table1[[#This Row],[orderID]],Table3[orderID],Table3[quantity])</f>
        <v>60</v>
      </c>
      <c r="O172" s="6" t="str">
        <f>_xlfn.XLOOKUP(Table1[[#This Row],[CustomerID]],customers!A:A,customers!B:B)</f>
        <v>QUICK-Stop</v>
      </c>
      <c r="P172" s="6" t="str">
        <f>_xlfn.XLOOKUP(Table1[[#This Row],[shipperID]],Table6[shipperID],Table6[companyName])</f>
        <v>Speedy Express</v>
      </c>
      <c r="Q172">
        <f>YEAR(Table1[[#This Row],[OrderDate]])</f>
        <v>2014</v>
      </c>
      <c r="R172">
        <f>MONTH(Table1[[#This Row],[OrderDate]])</f>
        <v>1</v>
      </c>
      <c r="S172" t="str">
        <f>"Q"&amp;ROUNDUP(Table1[[#This Row],[month]]/3,0)</f>
        <v>Q1</v>
      </c>
      <c r="T172" t="str">
        <f>CONCATENATE(Table1[[#This Row],[year]],"-",Table1[[#This Row],[Quarter]])</f>
        <v>2014-Q1</v>
      </c>
      <c r="U172" s="6" t="str">
        <f>IF(H171="","Pending",IF(Table1[[#This Row],[Days to ship]]&lt;Table1[[#This Row],[RequiredDate]],"On Time","Late"))</f>
        <v>On Time</v>
      </c>
      <c r="V172">
        <f>_xlfn.XLOOKUP(Table1[[#This Row],[orderID]],Table3[orderID],Table3[unitPrice])</f>
        <v>15.2</v>
      </c>
    </row>
    <row r="173" spans="1:22" x14ac:dyDescent="0.45">
      <c r="A173" s="3">
        <v>10419</v>
      </c>
      <c r="B173" s="6" t="s">
        <v>155</v>
      </c>
      <c r="C173" s="3">
        <v>4</v>
      </c>
      <c r="D173" s="6" t="str">
        <f>_xlfn.XLOOKUP(Table1[[#This Row],[EmployeeID]],Table4[employeeID],Table4[employeeName])</f>
        <v>Margaret Peacock</v>
      </c>
      <c r="E173" s="1">
        <v>41659</v>
      </c>
      <c r="F173" s="1">
        <v>41687</v>
      </c>
      <c r="G173" s="1">
        <v>41669</v>
      </c>
      <c r="H173" s="3">
        <f>IF(Table1[[#This Row],[ShippedDate]]="","",IF(Table1[[#This Row],[OrderDate]]="","",Table1[[#This Row],[ShippedDate]]-Table1[[#This Row],[OrderDate]]))</f>
        <v>10</v>
      </c>
      <c r="I173" s="3">
        <v>2</v>
      </c>
      <c r="J173" s="2">
        <v>137.35</v>
      </c>
      <c r="K173" s="2">
        <f>SUMIF(order_details!A:A,Table1[[#This Row],[orderID]],order_details!F:F)</f>
        <v>2097.6</v>
      </c>
      <c r="L173" s="9">
        <f>_xlfn.XLOOKUP(Table1[[#This Row],[orderID]],Table3[orderID],Table3[discount])</f>
        <v>0.05</v>
      </c>
      <c r="M173" s="2">
        <f>SUM(Table1[[#This Row],[Sales]],Table1[[#This Row],[freight]])</f>
        <v>2234.9499999999998</v>
      </c>
      <c r="N173" s="3">
        <f>_xlfn.XLOOKUP(Table1[[#This Row],[orderID]],Table3[orderID],Table3[quantity])</f>
        <v>60</v>
      </c>
      <c r="O173" s="6" t="str">
        <f>_xlfn.XLOOKUP(Table1[[#This Row],[CustomerID]],customers!A:A,customers!B:B)</f>
        <v>Richter Supermarkt</v>
      </c>
      <c r="P173" s="6" t="str">
        <f>_xlfn.XLOOKUP(Table1[[#This Row],[shipperID]],Table6[shipperID],Table6[companyName])</f>
        <v>United Package</v>
      </c>
      <c r="Q173">
        <f>YEAR(Table1[[#This Row],[OrderDate]])</f>
        <v>2014</v>
      </c>
      <c r="R173">
        <f>MONTH(Table1[[#This Row],[OrderDate]])</f>
        <v>1</v>
      </c>
      <c r="S173" t="str">
        <f>"Q"&amp;ROUNDUP(Table1[[#This Row],[month]]/3,0)</f>
        <v>Q1</v>
      </c>
      <c r="T173" t="str">
        <f>CONCATENATE(Table1[[#This Row],[year]],"-",Table1[[#This Row],[Quarter]])</f>
        <v>2014-Q1</v>
      </c>
      <c r="U173" s="6" t="str">
        <f>IF(H172="","Pending",IF(Table1[[#This Row],[Days to ship]]&lt;Table1[[#This Row],[RequiredDate]],"On Time","Late"))</f>
        <v>On Time</v>
      </c>
      <c r="V173">
        <f>_xlfn.XLOOKUP(Table1[[#This Row],[orderID]],Table3[orderID],Table3[unitPrice])</f>
        <v>27.2</v>
      </c>
    </row>
    <row r="174" spans="1:22" x14ac:dyDescent="0.45">
      <c r="A174" s="3">
        <v>10420</v>
      </c>
      <c r="B174" s="6" t="s">
        <v>219</v>
      </c>
      <c r="C174" s="3">
        <v>3</v>
      </c>
      <c r="D174" s="6" t="str">
        <f>_xlfn.XLOOKUP(Table1[[#This Row],[EmployeeID]],Table4[employeeID],Table4[employeeName])</f>
        <v>Janet Leverling</v>
      </c>
      <c r="E174" s="1">
        <v>41660</v>
      </c>
      <c r="F174" s="1">
        <v>41688</v>
      </c>
      <c r="G174" s="1">
        <v>41666</v>
      </c>
      <c r="H174" s="3">
        <f>IF(Table1[[#This Row],[ShippedDate]]="","",IF(Table1[[#This Row],[OrderDate]]="","",Table1[[#This Row],[ShippedDate]]-Table1[[#This Row],[OrderDate]]))</f>
        <v>6</v>
      </c>
      <c r="I174" s="3">
        <v>1</v>
      </c>
      <c r="J174" s="2">
        <v>44.12</v>
      </c>
      <c r="K174" s="2">
        <f>SUMIF(order_details!A:A,Table1[[#This Row],[orderID]],order_details!F:F)</f>
        <v>1707.8400000000001</v>
      </c>
      <c r="L174" s="9">
        <f>_xlfn.XLOOKUP(Table1[[#This Row],[orderID]],Table3[orderID],Table3[discount])</f>
        <v>0.1</v>
      </c>
      <c r="M174" s="2">
        <f>SUM(Table1[[#This Row],[Sales]],Table1[[#This Row],[freight]])</f>
        <v>1751.96</v>
      </c>
      <c r="N174" s="3">
        <f>_xlfn.XLOOKUP(Table1[[#This Row],[orderID]],Table3[orderID],Table3[quantity])</f>
        <v>20</v>
      </c>
      <c r="O174" s="6" t="str">
        <f>_xlfn.XLOOKUP(Table1[[#This Row],[CustomerID]],customers!A:A,customers!B:B)</f>
        <v>Wellington Importadora</v>
      </c>
      <c r="P174" s="6" t="str">
        <f>_xlfn.XLOOKUP(Table1[[#This Row],[shipperID]],Table6[shipperID],Table6[companyName])</f>
        <v>Speedy Express</v>
      </c>
      <c r="Q174">
        <f>YEAR(Table1[[#This Row],[OrderDate]])</f>
        <v>2014</v>
      </c>
      <c r="R174">
        <f>MONTH(Table1[[#This Row],[OrderDate]])</f>
        <v>1</v>
      </c>
      <c r="S174" t="str">
        <f>"Q"&amp;ROUNDUP(Table1[[#This Row],[month]]/3,0)</f>
        <v>Q1</v>
      </c>
      <c r="T174" t="str">
        <f>CONCATENATE(Table1[[#This Row],[year]],"-",Table1[[#This Row],[Quarter]])</f>
        <v>2014-Q1</v>
      </c>
      <c r="U174" s="6" t="str">
        <f>IF(H173="","Pending",IF(Table1[[#This Row],[Days to ship]]&lt;Table1[[#This Row],[RequiredDate]],"On Time","Late"))</f>
        <v>On Time</v>
      </c>
      <c r="V174">
        <f>_xlfn.XLOOKUP(Table1[[#This Row],[orderID]],Table3[orderID],Table3[unitPrice])</f>
        <v>77.599999999999994</v>
      </c>
    </row>
    <row r="175" spans="1:22" x14ac:dyDescent="0.45">
      <c r="A175" s="3">
        <v>10421</v>
      </c>
      <c r="B175" s="6" t="s">
        <v>209</v>
      </c>
      <c r="C175" s="3">
        <v>8</v>
      </c>
      <c r="D175" s="6" t="str">
        <f>_xlfn.XLOOKUP(Table1[[#This Row],[EmployeeID]],Table4[employeeID],Table4[employeeName])</f>
        <v>Laura Callahan</v>
      </c>
      <c r="E175" s="1">
        <v>41660</v>
      </c>
      <c r="F175" s="1">
        <v>41702</v>
      </c>
      <c r="G175" s="1">
        <v>41666</v>
      </c>
      <c r="H175" s="3">
        <f>IF(Table1[[#This Row],[ShippedDate]]="","",IF(Table1[[#This Row],[OrderDate]]="","",Table1[[#This Row],[ShippedDate]]-Table1[[#This Row],[OrderDate]]))</f>
        <v>6</v>
      </c>
      <c r="I175" s="3">
        <v>1</v>
      </c>
      <c r="J175" s="2">
        <v>99.23</v>
      </c>
      <c r="K175" s="2">
        <f>SUMIF(order_details!A:A,Table1[[#This Row],[orderID]],order_details!F:F)</f>
        <v>1194.2700000000002</v>
      </c>
      <c r="L175" s="9">
        <f>_xlfn.XLOOKUP(Table1[[#This Row],[orderID]],Table3[orderID],Table3[discount])</f>
        <v>0.15</v>
      </c>
      <c r="M175" s="2">
        <f>SUM(Table1[[#This Row],[Sales]],Table1[[#This Row],[freight]])</f>
        <v>1293.5000000000002</v>
      </c>
      <c r="N175" s="3">
        <f>_xlfn.XLOOKUP(Table1[[#This Row],[orderID]],Table3[orderID],Table3[quantity])</f>
        <v>4</v>
      </c>
      <c r="O175" s="6" t="str">
        <f>_xlfn.XLOOKUP(Table1[[#This Row],[CustomerID]],customers!A:A,customers!B:B)</f>
        <v>Que Delícia</v>
      </c>
      <c r="P175" s="6" t="str">
        <f>_xlfn.XLOOKUP(Table1[[#This Row],[shipperID]],Table6[shipperID],Table6[companyName])</f>
        <v>Speedy Express</v>
      </c>
      <c r="Q175">
        <f>YEAR(Table1[[#This Row],[OrderDate]])</f>
        <v>2014</v>
      </c>
      <c r="R175">
        <f>MONTH(Table1[[#This Row],[OrderDate]])</f>
        <v>1</v>
      </c>
      <c r="S175" t="str">
        <f>"Q"&amp;ROUNDUP(Table1[[#This Row],[month]]/3,0)</f>
        <v>Q1</v>
      </c>
      <c r="T175" t="str">
        <f>CONCATENATE(Table1[[#This Row],[year]],"-",Table1[[#This Row],[Quarter]])</f>
        <v>2014-Q1</v>
      </c>
      <c r="U175" s="6" t="str">
        <f>IF(H174="","Pending",IF(Table1[[#This Row],[Days to ship]]&lt;Table1[[#This Row],[RequiredDate]],"On Time","Late"))</f>
        <v>On Time</v>
      </c>
      <c r="V175">
        <f>_xlfn.XLOOKUP(Table1[[#This Row],[orderID]],Table3[orderID],Table3[unitPrice])</f>
        <v>7.3</v>
      </c>
    </row>
    <row r="176" spans="1:22" x14ac:dyDescent="0.45">
      <c r="A176" s="3">
        <v>10422</v>
      </c>
      <c r="B176" s="6" t="s">
        <v>169</v>
      </c>
      <c r="C176" s="3">
        <v>2</v>
      </c>
      <c r="D176" s="6" t="str">
        <f>_xlfn.XLOOKUP(Table1[[#This Row],[EmployeeID]],Table4[employeeID],Table4[employeeName])</f>
        <v>Andrew Fuller</v>
      </c>
      <c r="E176" s="1">
        <v>41661</v>
      </c>
      <c r="F176" s="1">
        <v>41689</v>
      </c>
      <c r="G176" s="1">
        <v>41670</v>
      </c>
      <c r="H176" s="3">
        <f>IF(Table1[[#This Row],[ShippedDate]]="","",IF(Table1[[#This Row],[OrderDate]]="","",Table1[[#This Row],[ShippedDate]]-Table1[[#This Row],[OrderDate]]))</f>
        <v>9</v>
      </c>
      <c r="I176" s="3">
        <v>1</v>
      </c>
      <c r="J176" s="2">
        <v>3.02</v>
      </c>
      <c r="K176" s="2">
        <f>SUMIF(order_details!A:A,Table1[[#This Row],[orderID]],order_details!F:F)</f>
        <v>49.8</v>
      </c>
      <c r="L176" s="9">
        <f>_xlfn.XLOOKUP(Table1[[#This Row],[orderID]],Table3[orderID],Table3[discount])</f>
        <v>0</v>
      </c>
      <c r="M176" s="2">
        <f>SUM(Table1[[#This Row],[Sales]],Table1[[#This Row],[freight]])</f>
        <v>52.82</v>
      </c>
      <c r="N176" s="3">
        <f>_xlfn.XLOOKUP(Table1[[#This Row],[orderID]],Table3[orderID],Table3[quantity])</f>
        <v>2</v>
      </c>
      <c r="O176" s="6" t="str">
        <f>_xlfn.XLOOKUP(Table1[[#This Row],[CustomerID]],customers!A:A,customers!B:B)</f>
        <v>Franchi S.p.A.</v>
      </c>
      <c r="P176" s="6" t="str">
        <f>_xlfn.XLOOKUP(Table1[[#This Row],[shipperID]],Table6[shipperID],Table6[companyName])</f>
        <v>Speedy Express</v>
      </c>
      <c r="Q176">
        <f>YEAR(Table1[[#This Row],[OrderDate]])</f>
        <v>2014</v>
      </c>
      <c r="R176">
        <f>MONTH(Table1[[#This Row],[OrderDate]])</f>
        <v>1</v>
      </c>
      <c r="S176" t="str">
        <f>"Q"&amp;ROUNDUP(Table1[[#This Row],[month]]/3,0)</f>
        <v>Q1</v>
      </c>
      <c r="T176" t="str">
        <f>CONCATENATE(Table1[[#This Row],[year]],"-",Table1[[#This Row],[Quarter]])</f>
        <v>2014-Q1</v>
      </c>
      <c r="U176" s="6" t="str">
        <f>IF(H175="","Pending",IF(Table1[[#This Row],[Days to ship]]&lt;Table1[[#This Row],[RequiredDate]],"On Time","Late"))</f>
        <v>On Time</v>
      </c>
      <c r="V176">
        <f>_xlfn.XLOOKUP(Table1[[#This Row],[orderID]],Table3[orderID],Table3[unitPrice])</f>
        <v>24.9</v>
      </c>
    </row>
    <row r="177" spans="1:22" x14ac:dyDescent="0.45">
      <c r="A177" s="3">
        <v>10423</v>
      </c>
      <c r="B177" s="6" t="s">
        <v>180</v>
      </c>
      <c r="C177" s="3">
        <v>6</v>
      </c>
      <c r="D177" s="6" t="str">
        <f>_xlfn.XLOOKUP(Table1[[#This Row],[EmployeeID]],Table4[employeeID],Table4[employeeName])</f>
        <v>Michael Suyama</v>
      </c>
      <c r="E177" s="1">
        <v>41662</v>
      </c>
      <c r="F177" s="1">
        <v>41676</v>
      </c>
      <c r="G177" s="1">
        <v>41694</v>
      </c>
      <c r="H177" s="3">
        <f>IF(Table1[[#This Row],[ShippedDate]]="","",IF(Table1[[#This Row],[OrderDate]]="","",Table1[[#This Row],[ShippedDate]]-Table1[[#This Row],[OrderDate]]))</f>
        <v>32</v>
      </c>
      <c r="I177" s="3">
        <v>3</v>
      </c>
      <c r="J177" s="2">
        <v>24.5</v>
      </c>
      <c r="K177" s="2">
        <f>SUMIF(order_details!A:A,Table1[[#This Row],[orderID]],order_details!F:F)</f>
        <v>1020</v>
      </c>
      <c r="L177" s="9">
        <f>_xlfn.XLOOKUP(Table1[[#This Row],[orderID]],Table3[orderID],Table3[discount])</f>
        <v>0</v>
      </c>
      <c r="M177" s="2">
        <f>SUM(Table1[[#This Row],[Sales]],Table1[[#This Row],[freight]])</f>
        <v>1044.5</v>
      </c>
      <c r="N177" s="3">
        <f>_xlfn.XLOOKUP(Table1[[#This Row],[orderID]],Table3[orderID],Table3[quantity])</f>
        <v>14</v>
      </c>
      <c r="O177" s="6" t="str">
        <f>_xlfn.XLOOKUP(Table1[[#This Row],[CustomerID]],customers!A:A,customers!B:B)</f>
        <v>Gourmet Lanchonetes</v>
      </c>
      <c r="P177" s="6" t="str">
        <f>_xlfn.XLOOKUP(Table1[[#This Row],[shipperID]],Table6[shipperID],Table6[companyName])</f>
        <v>Federal Shipping</v>
      </c>
      <c r="Q177">
        <f>YEAR(Table1[[#This Row],[OrderDate]])</f>
        <v>2014</v>
      </c>
      <c r="R177">
        <f>MONTH(Table1[[#This Row],[OrderDate]])</f>
        <v>1</v>
      </c>
      <c r="S177" t="str">
        <f>"Q"&amp;ROUNDUP(Table1[[#This Row],[month]]/3,0)</f>
        <v>Q1</v>
      </c>
      <c r="T177" t="str">
        <f>CONCATENATE(Table1[[#This Row],[year]],"-",Table1[[#This Row],[Quarter]])</f>
        <v>2014-Q1</v>
      </c>
      <c r="U177" s="6" t="str">
        <f>IF(H176="","Pending",IF(Table1[[#This Row],[Days to ship]]&lt;Table1[[#This Row],[RequiredDate]],"On Time","Late"))</f>
        <v>On Time</v>
      </c>
      <c r="V177">
        <f>_xlfn.XLOOKUP(Table1[[#This Row],[orderID]],Table3[orderID],Table3[unitPrice])</f>
        <v>10</v>
      </c>
    </row>
    <row r="178" spans="1:22" x14ac:dyDescent="0.45">
      <c r="A178" s="3">
        <v>10424</v>
      </c>
      <c r="B178" s="6" t="s">
        <v>238</v>
      </c>
      <c r="C178" s="3">
        <v>7</v>
      </c>
      <c r="D178" s="6" t="str">
        <f>_xlfn.XLOOKUP(Table1[[#This Row],[EmployeeID]],Table4[employeeID],Table4[employeeName])</f>
        <v>Robert King</v>
      </c>
      <c r="E178" s="1">
        <v>41662</v>
      </c>
      <c r="F178" s="1">
        <v>41690</v>
      </c>
      <c r="G178" s="1">
        <v>41666</v>
      </c>
      <c r="H178" s="3">
        <f>IF(Table1[[#This Row],[ShippedDate]]="","",IF(Table1[[#This Row],[OrderDate]]="","",Table1[[#This Row],[ShippedDate]]-Table1[[#This Row],[OrderDate]]))</f>
        <v>4</v>
      </c>
      <c r="I178" s="3">
        <v>2</v>
      </c>
      <c r="J178" s="2">
        <v>370.61</v>
      </c>
      <c r="K178" s="2">
        <f>SUMIF(order_details!A:A,Table1[[#This Row],[orderID]],order_details!F:F)</f>
        <v>9194.5600000000013</v>
      </c>
      <c r="L178" s="9">
        <f>_xlfn.XLOOKUP(Table1[[#This Row],[orderID]],Table3[orderID],Table3[discount])</f>
        <v>0.2</v>
      </c>
      <c r="M178" s="2">
        <f>SUM(Table1[[#This Row],[Sales]],Table1[[#This Row],[freight]])</f>
        <v>9565.1700000000019</v>
      </c>
      <c r="N178" s="3">
        <f>_xlfn.XLOOKUP(Table1[[#This Row],[orderID]],Table3[orderID],Table3[quantity])</f>
        <v>60</v>
      </c>
      <c r="O178" s="6" t="str">
        <f>_xlfn.XLOOKUP(Table1[[#This Row],[CustomerID]],customers!A:A,customers!B:B)</f>
        <v>Mère Paillarde</v>
      </c>
      <c r="P178" s="6" t="str">
        <f>_xlfn.XLOOKUP(Table1[[#This Row],[shipperID]],Table6[shipperID],Table6[companyName])</f>
        <v>United Package</v>
      </c>
      <c r="Q178">
        <f>YEAR(Table1[[#This Row],[OrderDate]])</f>
        <v>2014</v>
      </c>
      <c r="R178">
        <f>MONTH(Table1[[#This Row],[OrderDate]])</f>
        <v>1</v>
      </c>
      <c r="S178" t="str">
        <f>"Q"&amp;ROUNDUP(Table1[[#This Row],[month]]/3,0)</f>
        <v>Q1</v>
      </c>
      <c r="T178" t="str">
        <f>CONCATENATE(Table1[[#This Row],[year]],"-",Table1[[#This Row],[Quarter]])</f>
        <v>2014-Q1</v>
      </c>
      <c r="U178" s="6" t="str">
        <f>IF(H177="","Pending",IF(Table1[[#This Row],[Days to ship]]&lt;Table1[[#This Row],[RequiredDate]],"On Time","Late"))</f>
        <v>On Time</v>
      </c>
      <c r="V178">
        <f>_xlfn.XLOOKUP(Table1[[#This Row],[orderID]],Table3[orderID],Table3[unitPrice])</f>
        <v>14.4</v>
      </c>
    </row>
    <row r="179" spans="1:22" x14ac:dyDescent="0.45">
      <c r="A179" s="3">
        <v>10425</v>
      </c>
      <c r="B179" s="6" t="s">
        <v>178</v>
      </c>
      <c r="C179" s="3">
        <v>6</v>
      </c>
      <c r="D179" s="6" t="str">
        <f>_xlfn.XLOOKUP(Table1[[#This Row],[EmployeeID]],Table4[employeeID],Table4[employeeName])</f>
        <v>Michael Suyama</v>
      </c>
      <c r="E179" s="1">
        <v>41663</v>
      </c>
      <c r="F179" s="1">
        <v>41691</v>
      </c>
      <c r="G179" s="1">
        <v>41684</v>
      </c>
      <c r="H179" s="3">
        <f>IF(Table1[[#This Row],[ShippedDate]]="","",IF(Table1[[#This Row],[OrderDate]]="","",Table1[[#This Row],[ShippedDate]]-Table1[[#This Row],[OrderDate]]))</f>
        <v>21</v>
      </c>
      <c r="I179" s="3">
        <v>2</v>
      </c>
      <c r="J179" s="2">
        <v>7.93</v>
      </c>
      <c r="K179" s="2">
        <f>SUMIF(order_details!A:A,Table1[[#This Row],[orderID]],order_details!F:F)</f>
        <v>360</v>
      </c>
      <c r="L179" s="9">
        <f>_xlfn.XLOOKUP(Table1[[#This Row],[orderID]],Table3[orderID],Table3[discount])</f>
        <v>0.25</v>
      </c>
      <c r="M179" s="2">
        <f>SUM(Table1[[#This Row],[Sales]],Table1[[#This Row],[freight]])</f>
        <v>367.93</v>
      </c>
      <c r="N179" s="3">
        <f>_xlfn.XLOOKUP(Table1[[#This Row],[orderID]],Table3[orderID],Table3[quantity])</f>
        <v>10</v>
      </c>
      <c r="O179" s="6" t="str">
        <f>_xlfn.XLOOKUP(Table1[[#This Row],[CustomerID]],customers!A:A,customers!B:B)</f>
        <v>La maison d'Asie</v>
      </c>
      <c r="P179" s="6" t="str">
        <f>_xlfn.XLOOKUP(Table1[[#This Row],[shipperID]],Table6[shipperID],Table6[companyName])</f>
        <v>United Package</v>
      </c>
      <c r="Q179">
        <f>YEAR(Table1[[#This Row],[OrderDate]])</f>
        <v>2014</v>
      </c>
      <c r="R179">
        <f>MONTH(Table1[[#This Row],[OrderDate]])</f>
        <v>1</v>
      </c>
      <c r="S179" t="str">
        <f>"Q"&amp;ROUNDUP(Table1[[#This Row],[month]]/3,0)</f>
        <v>Q1</v>
      </c>
      <c r="T179" t="str">
        <f>CONCATENATE(Table1[[#This Row],[year]],"-",Table1[[#This Row],[Quarter]])</f>
        <v>2014-Q1</v>
      </c>
      <c r="U179" s="6" t="str">
        <f>IF(H178="","Pending",IF(Table1[[#This Row],[Days to ship]]&lt;Table1[[#This Row],[RequiredDate]],"On Time","Late"))</f>
        <v>On Time</v>
      </c>
      <c r="V179">
        <f>_xlfn.XLOOKUP(Table1[[#This Row],[orderID]],Table3[orderID],Table3[unitPrice])</f>
        <v>19.2</v>
      </c>
    </row>
    <row r="180" spans="1:22" x14ac:dyDescent="0.45">
      <c r="A180" s="3">
        <v>10426</v>
      </c>
      <c r="B180" s="6" t="s">
        <v>221</v>
      </c>
      <c r="C180" s="3">
        <v>4</v>
      </c>
      <c r="D180" s="6" t="str">
        <f>_xlfn.XLOOKUP(Table1[[#This Row],[EmployeeID]],Table4[employeeID],Table4[employeeName])</f>
        <v>Margaret Peacock</v>
      </c>
      <c r="E180" s="1">
        <v>41666</v>
      </c>
      <c r="F180" s="1">
        <v>41694</v>
      </c>
      <c r="G180" s="1">
        <v>41676</v>
      </c>
      <c r="H180" s="3">
        <f>IF(Table1[[#This Row],[ShippedDate]]="","",IF(Table1[[#This Row],[OrderDate]]="","",Table1[[#This Row],[ShippedDate]]-Table1[[#This Row],[OrderDate]]))</f>
        <v>10</v>
      </c>
      <c r="I180" s="3">
        <v>1</v>
      </c>
      <c r="J180" s="2">
        <v>18.690000000000001</v>
      </c>
      <c r="K180" s="2">
        <f>SUMIF(order_details!A:A,Table1[[#This Row],[orderID]],order_details!F:F)</f>
        <v>338.20000000000005</v>
      </c>
      <c r="L180" s="9">
        <f>_xlfn.XLOOKUP(Table1[[#This Row],[orderID]],Table3[orderID],Table3[discount])</f>
        <v>0</v>
      </c>
      <c r="M180" s="2">
        <f>SUM(Table1[[#This Row],[Sales]],Table1[[#This Row],[freight]])</f>
        <v>356.89000000000004</v>
      </c>
      <c r="N180" s="3">
        <f>_xlfn.XLOOKUP(Table1[[#This Row],[orderID]],Table3[orderID],Table3[quantity])</f>
        <v>5</v>
      </c>
      <c r="O180" s="6" t="str">
        <f>_xlfn.XLOOKUP(Table1[[#This Row],[CustomerID]],customers!A:A,customers!B:B)</f>
        <v>Galería del gastrónomo</v>
      </c>
      <c r="P180" s="6" t="str">
        <f>_xlfn.XLOOKUP(Table1[[#This Row],[shipperID]],Table6[shipperID],Table6[companyName])</f>
        <v>Speedy Express</v>
      </c>
      <c r="Q180">
        <f>YEAR(Table1[[#This Row],[OrderDate]])</f>
        <v>2014</v>
      </c>
      <c r="R180">
        <f>MONTH(Table1[[#This Row],[OrderDate]])</f>
        <v>1</v>
      </c>
      <c r="S180" t="str">
        <f>"Q"&amp;ROUNDUP(Table1[[#This Row],[month]]/3,0)</f>
        <v>Q1</v>
      </c>
      <c r="T180" t="str">
        <f>CONCATENATE(Table1[[#This Row],[year]],"-",Table1[[#This Row],[Quarter]])</f>
        <v>2014-Q1</v>
      </c>
      <c r="U180" s="6" t="str">
        <f>IF(H179="","Pending",IF(Table1[[#This Row],[Days to ship]]&lt;Table1[[#This Row],[RequiredDate]],"On Time","Late"))</f>
        <v>On Time</v>
      </c>
      <c r="V180">
        <f>_xlfn.XLOOKUP(Table1[[#This Row],[orderID]],Table3[orderID],Table3[unitPrice])</f>
        <v>30.4</v>
      </c>
    </row>
    <row r="181" spans="1:22" x14ac:dyDescent="0.45">
      <c r="A181" s="3">
        <v>10427</v>
      </c>
      <c r="B181" s="6" t="s">
        <v>176</v>
      </c>
      <c r="C181" s="3">
        <v>4</v>
      </c>
      <c r="D181" s="6" t="str">
        <f>_xlfn.XLOOKUP(Table1[[#This Row],[EmployeeID]],Table4[employeeID],Table4[employeeName])</f>
        <v>Margaret Peacock</v>
      </c>
      <c r="E181" s="1">
        <v>41666</v>
      </c>
      <c r="F181" s="1">
        <v>41694</v>
      </c>
      <c r="G181" s="1">
        <v>41701</v>
      </c>
      <c r="H181" s="3">
        <f>IF(Table1[[#This Row],[ShippedDate]]="","",IF(Table1[[#This Row],[OrderDate]]="","",Table1[[#This Row],[ShippedDate]]-Table1[[#This Row],[OrderDate]]))</f>
        <v>35</v>
      </c>
      <c r="I181" s="3">
        <v>2</v>
      </c>
      <c r="J181" s="2">
        <v>31.29</v>
      </c>
      <c r="K181" s="2">
        <f>SUMIF(order_details!A:A,Table1[[#This Row],[orderID]],order_details!F:F)</f>
        <v>651</v>
      </c>
      <c r="L181" s="9">
        <f>_xlfn.XLOOKUP(Table1[[#This Row],[orderID]],Table3[orderID],Table3[discount])</f>
        <v>0</v>
      </c>
      <c r="M181" s="2">
        <f>SUM(Table1[[#This Row],[Sales]],Table1[[#This Row],[freight]])</f>
        <v>682.29</v>
      </c>
      <c r="N181" s="3">
        <f>_xlfn.XLOOKUP(Table1[[#This Row],[orderID]],Table3[orderID],Table3[quantity])</f>
        <v>35</v>
      </c>
      <c r="O181" s="6" t="str">
        <f>_xlfn.XLOOKUP(Table1[[#This Row],[CustomerID]],customers!A:A,customers!B:B)</f>
        <v>Piccolo und mehr</v>
      </c>
      <c r="P181" s="6" t="str">
        <f>_xlfn.XLOOKUP(Table1[[#This Row],[shipperID]],Table6[shipperID],Table6[companyName])</f>
        <v>United Package</v>
      </c>
      <c r="Q181">
        <f>YEAR(Table1[[#This Row],[OrderDate]])</f>
        <v>2014</v>
      </c>
      <c r="R181">
        <f>MONTH(Table1[[#This Row],[OrderDate]])</f>
        <v>1</v>
      </c>
      <c r="S181" t="str">
        <f>"Q"&amp;ROUNDUP(Table1[[#This Row],[month]]/3,0)</f>
        <v>Q1</v>
      </c>
      <c r="T181" t="str">
        <f>CONCATENATE(Table1[[#This Row],[year]],"-",Table1[[#This Row],[Quarter]])</f>
        <v>2014-Q1</v>
      </c>
      <c r="U181" s="6" t="str">
        <f>IF(H180="","Pending",IF(Table1[[#This Row],[Days to ship]]&lt;Table1[[#This Row],[RequiredDate]],"On Time","Late"))</f>
        <v>On Time</v>
      </c>
      <c r="V181">
        <f>_xlfn.XLOOKUP(Table1[[#This Row],[orderID]],Table3[orderID],Table3[unitPrice])</f>
        <v>18.600000000000001</v>
      </c>
    </row>
    <row r="182" spans="1:22" x14ac:dyDescent="0.45">
      <c r="A182" s="3">
        <v>10428</v>
      </c>
      <c r="B182" s="6" t="s">
        <v>167</v>
      </c>
      <c r="C182" s="3">
        <v>7</v>
      </c>
      <c r="D182" s="6" t="str">
        <f>_xlfn.XLOOKUP(Table1[[#This Row],[EmployeeID]],Table4[employeeID],Table4[employeeName])</f>
        <v>Robert King</v>
      </c>
      <c r="E182" s="1">
        <v>41667</v>
      </c>
      <c r="F182" s="1">
        <v>41695</v>
      </c>
      <c r="G182" s="1">
        <v>41674</v>
      </c>
      <c r="H182" s="3">
        <f>IF(Table1[[#This Row],[ShippedDate]]="","",IF(Table1[[#This Row],[OrderDate]]="","",Table1[[#This Row],[ShippedDate]]-Table1[[#This Row],[OrderDate]]))</f>
        <v>7</v>
      </c>
      <c r="I182" s="3">
        <v>1</v>
      </c>
      <c r="J182" s="2">
        <v>11.09</v>
      </c>
      <c r="K182" s="2">
        <f>SUMIF(order_details!A:A,Table1[[#This Row],[orderID]],order_details!F:F)</f>
        <v>192</v>
      </c>
      <c r="L182" s="9">
        <f>_xlfn.XLOOKUP(Table1[[#This Row],[orderID]],Table3[orderID],Table3[discount])</f>
        <v>0</v>
      </c>
      <c r="M182" s="2">
        <f>SUM(Table1[[#This Row],[Sales]],Table1[[#This Row],[freight]])</f>
        <v>203.09</v>
      </c>
      <c r="N182" s="3">
        <f>_xlfn.XLOOKUP(Table1[[#This Row],[orderID]],Table3[orderID],Table3[quantity])</f>
        <v>20</v>
      </c>
      <c r="O182" s="6" t="str">
        <f>_xlfn.XLOOKUP(Table1[[#This Row],[CustomerID]],customers!A:A,customers!B:B)</f>
        <v>Reggiani Caseifici</v>
      </c>
      <c r="P182" s="6" t="str">
        <f>_xlfn.XLOOKUP(Table1[[#This Row],[shipperID]],Table6[shipperID],Table6[companyName])</f>
        <v>Speedy Express</v>
      </c>
      <c r="Q182">
        <f>YEAR(Table1[[#This Row],[OrderDate]])</f>
        <v>2014</v>
      </c>
      <c r="R182">
        <f>MONTH(Table1[[#This Row],[OrderDate]])</f>
        <v>1</v>
      </c>
      <c r="S182" t="str">
        <f>"Q"&amp;ROUNDUP(Table1[[#This Row],[month]]/3,0)</f>
        <v>Q1</v>
      </c>
      <c r="T182" t="str">
        <f>CONCATENATE(Table1[[#This Row],[year]],"-",Table1[[#This Row],[Quarter]])</f>
        <v>2014-Q1</v>
      </c>
      <c r="U182" s="6" t="str">
        <f>IF(H181="","Pending",IF(Table1[[#This Row],[Days to ship]]&lt;Table1[[#This Row],[RequiredDate]],"On Time","Late"))</f>
        <v>On Time</v>
      </c>
      <c r="V182">
        <f>_xlfn.XLOOKUP(Table1[[#This Row],[orderID]],Table3[orderID],Table3[unitPrice])</f>
        <v>9.6</v>
      </c>
    </row>
    <row r="183" spans="1:22" x14ac:dyDescent="0.45">
      <c r="A183" s="3">
        <v>10429</v>
      </c>
      <c r="B183" s="6" t="s">
        <v>166</v>
      </c>
      <c r="C183" s="3">
        <v>3</v>
      </c>
      <c r="D183" s="6" t="str">
        <f>_xlfn.XLOOKUP(Table1[[#This Row],[EmployeeID]],Table4[employeeID],Table4[employeeName])</f>
        <v>Janet Leverling</v>
      </c>
      <c r="E183" s="1">
        <v>41668</v>
      </c>
      <c r="F183" s="1">
        <v>41710</v>
      </c>
      <c r="G183" s="1">
        <v>41677</v>
      </c>
      <c r="H183" s="3">
        <f>IF(Table1[[#This Row],[ShippedDate]]="","",IF(Table1[[#This Row],[OrderDate]]="","",Table1[[#This Row],[ShippedDate]]-Table1[[#This Row],[OrderDate]]))</f>
        <v>9</v>
      </c>
      <c r="I183" s="3">
        <v>2</v>
      </c>
      <c r="J183" s="2">
        <v>56.63</v>
      </c>
      <c r="K183" s="2">
        <f>SUMIF(order_details!A:A,Table1[[#This Row],[orderID]],order_details!F:F)</f>
        <v>1441.375</v>
      </c>
      <c r="L183" s="9">
        <f>_xlfn.XLOOKUP(Table1[[#This Row],[orderID]],Table3[orderID],Table3[discount])</f>
        <v>0</v>
      </c>
      <c r="M183" s="2">
        <f>SUM(Table1[[#This Row],[Sales]],Table1[[#This Row],[freight]])</f>
        <v>1498.0050000000001</v>
      </c>
      <c r="N183" s="3">
        <f>_xlfn.XLOOKUP(Table1[[#This Row],[orderID]],Table3[orderID],Table3[quantity])</f>
        <v>40</v>
      </c>
      <c r="O183" s="6" t="str">
        <f>_xlfn.XLOOKUP(Table1[[#This Row],[CustomerID]],customers!A:A,customers!B:B)</f>
        <v>Hungry Owl All-Night Grocers</v>
      </c>
      <c r="P183" s="6" t="str">
        <f>_xlfn.XLOOKUP(Table1[[#This Row],[shipperID]],Table6[shipperID],Table6[companyName])</f>
        <v>United Package</v>
      </c>
      <c r="Q183">
        <f>YEAR(Table1[[#This Row],[OrderDate]])</f>
        <v>2014</v>
      </c>
      <c r="R183">
        <f>MONTH(Table1[[#This Row],[OrderDate]])</f>
        <v>1</v>
      </c>
      <c r="S183" t="str">
        <f>"Q"&amp;ROUNDUP(Table1[[#This Row],[month]]/3,0)</f>
        <v>Q1</v>
      </c>
      <c r="T183" t="str">
        <f>CONCATENATE(Table1[[#This Row],[year]],"-",Table1[[#This Row],[Quarter]])</f>
        <v>2014-Q1</v>
      </c>
      <c r="U183" s="6" t="str">
        <f>IF(H182="","Pending",IF(Table1[[#This Row],[Days to ship]]&lt;Table1[[#This Row],[RequiredDate]],"On Time","Late"))</f>
        <v>On Time</v>
      </c>
      <c r="V183">
        <f>_xlfn.XLOOKUP(Table1[[#This Row],[orderID]],Table3[orderID],Table3[unitPrice])</f>
        <v>13</v>
      </c>
    </row>
    <row r="184" spans="1:22" x14ac:dyDescent="0.45">
      <c r="A184" s="3">
        <v>10430</v>
      </c>
      <c r="B184" s="6" t="s">
        <v>158</v>
      </c>
      <c r="C184" s="3">
        <v>4</v>
      </c>
      <c r="D184" s="6" t="str">
        <f>_xlfn.XLOOKUP(Table1[[#This Row],[EmployeeID]],Table4[employeeID],Table4[employeeName])</f>
        <v>Margaret Peacock</v>
      </c>
      <c r="E184" s="1">
        <v>41669</v>
      </c>
      <c r="F184" s="1">
        <v>41683</v>
      </c>
      <c r="G184" s="1">
        <v>41673</v>
      </c>
      <c r="H184" s="3">
        <f>IF(Table1[[#This Row],[ShippedDate]]="","",IF(Table1[[#This Row],[OrderDate]]="","",Table1[[#This Row],[ShippedDate]]-Table1[[#This Row],[OrderDate]]))</f>
        <v>4</v>
      </c>
      <c r="I184" s="3">
        <v>1</v>
      </c>
      <c r="J184" s="2">
        <v>458.78</v>
      </c>
      <c r="K184" s="2">
        <f>SUMIF(order_details!A:A,Table1[[#This Row],[orderID]],order_details!F:F)</f>
        <v>4899.2</v>
      </c>
      <c r="L184" s="9">
        <f>_xlfn.XLOOKUP(Table1[[#This Row],[orderID]],Table3[orderID],Table3[discount])</f>
        <v>0.2</v>
      </c>
      <c r="M184" s="2">
        <f>SUM(Table1[[#This Row],[Sales]],Table1[[#This Row],[freight]])</f>
        <v>5357.98</v>
      </c>
      <c r="N184" s="3">
        <f>_xlfn.XLOOKUP(Table1[[#This Row],[orderID]],Table3[orderID],Table3[quantity])</f>
        <v>45</v>
      </c>
      <c r="O184" s="6" t="str">
        <f>_xlfn.XLOOKUP(Table1[[#This Row],[CustomerID]],customers!A:A,customers!B:B)</f>
        <v>Ernst Handel</v>
      </c>
      <c r="P184" s="6" t="str">
        <f>_xlfn.XLOOKUP(Table1[[#This Row],[shipperID]],Table6[shipperID],Table6[companyName])</f>
        <v>Speedy Express</v>
      </c>
      <c r="Q184">
        <f>YEAR(Table1[[#This Row],[OrderDate]])</f>
        <v>2014</v>
      </c>
      <c r="R184">
        <f>MONTH(Table1[[#This Row],[OrderDate]])</f>
        <v>1</v>
      </c>
      <c r="S184" t="str">
        <f>"Q"&amp;ROUNDUP(Table1[[#This Row],[month]]/3,0)</f>
        <v>Q1</v>
      </c>
      <c r="T184" t="str">
        <f>CONCATENATE(Table1[[#This Row],[year]],"-",Table1[[#This Row],[Quarter]])</f>
        <v>2014-Q1</v>
      </c>
      <c r="U184" s="6" t="str">
        <f>IF(H183="","Pending",IF(Table1[[#This Row],[Days to ship]]&lt;Table1[[#This Row],[RequiredDate]],"On Time","Late"))</f>
        <v>On Time</v>
      </c>
      <c r="V184">
        <f>_xlfn.XLOOKUP(Table1[[#This Row],[orderID]],Table3[orderID],Table3[unitPrice])</f>
        <v>31.2</v>
      </c>
    </row>
    <row r="185" spans="1:22" x14ac:dyDescent="0.45">
      <c r="A185" s="3">
        <v>10431</v>
      </c>
      <c r="B185" s="6" t="s">
        <v>181</v>
      </c>
      <c r="C185" s="3">
        <v>4</v>
      </c>
      <c r="D185" s="6" t="str">
        <f>_xlfn.XLOOKUP(Table1[[#This Row],[EmployeeID]],Table4[employeeID],Table4[employeeName])</f>
        <v>Margaret Peacock</v>
      </c>
      <c r="E185" s="1">
        <v>41669</v>
      </c>
      <c r="F185" s="1">
        <v>41683</v>
      </c>
      <c r="G185" s="1">
        <v>41677</v>
      </c>
      <c r="H185" s="3">
        <f>IF(Table1[[#This Row],[ShippedDate]]="","",IF(Table1[[#This Row],[OrderDate]]="","",Table1[[#This Row],[ShippedDate]]-Table1[[#This Row],[OrderDate]]))</f>
        <v>8</v>
      </c>
      <c r="I185" s="3">
        <v>2</v>
      </c>
      <c r="J185" s="2">
        <v>44.17</v>
      </c>
      <c r="K185" s="2">
        <f>SUMIF(order_details!A:A,Table1[[#This Row],[orderID]],order_details!F:F)</f>
        <v>1892.25</v>
      </c>
      <c r="L185" s="9">
        <f>_xlfn.XLOOKUP(Table1[[#This Row],[orderID]],Table3[orderID],Table3[discount])</f>
        <v>0.25</v>
      </c>
      <c r="M185" s="2">
        <f>SUM(Table1[[#This Row],[Sales]],Table1[[#This Row],[freight]])</f>
        <v>1936.42</v>
      </c>
      <c r="N185" s="3">
        <f>_xlfn.XLOOKUP(Table1[[#This Row],[orderID]],Table3[orderID],Table3[quantity])</f>
        <v>50</v>
      </c>
      <c r="O185" s="6" t="str">
        <f>_xlfn.XLOOKUP(Table1[[#This Row],[CustomerID]],customers!A:A,customers!B:B)</f>
        <v>Bottom-Dollar Markets</v>
      </c>
      <c r="P185" s="6" t="str">
        <f>_xlfn.XLOOKUP(Table1[[#This Row],[shipperID]],Table6[shipperID],Table6[companyName])</f>
        <v>United Package</v>
      </c>
      <c r="Q185">
        <f>YEAR(Table1[[#This Row],[OrderDate]])</f>
        <v>2014</v>
      </c>
      <c r="R185">
        <f>MONTH(Table1[[#This Row],[OrderDate]])</f>
        <v>1</v>
      </c>
      <c r="S185" t="str">
        <f>"Q"&amp;ROUNDUP(Table1[[#This Row],[month]]/3,0)</f>
        <v>Q1</v>
      </c>
      <c r="T185" t="str">
        <f>CONCATENATE(Table1[[#This Row],[year]],"-",Table1[[#This Row],[Quarter]])</f>
        <v>2014-Q1</v>
      </c>
      <c r="U185" s="6" t="str">
        <f>IF(H184="","Pending",IF(Table1[[#This Row],[Days to ship]]&lt;Table1[[#This Row],[RequiredDate]],"On Time","Late"))</f>
        <v>On Time</v>
      </c>
      <c r="V185">
        <f>_xlfn.XLOOKUP(Table1[[#This Row],[orderID]],Table3[orderID],Table3[unitPrice])</f>
        <v>31.2</v>
      </c>
    </row>
    <row r="186" spans="1:22" x14ac:dyDescent="0.45">
      <c r="A186" s="3">
        <v>10432</v>
      </c>
      <c r="B186" s="6" t="s">
        <v>211</v>
      </c>
      <c r="C186" s="3">
        <v>3</v>
      </c>
      <c r="D186" s="6" t="str">
        <f>_xlfn.XLOOKUP(Table1[[#This Row],[EmployeeID]],Table4[employeeID],Table4[employeeName])</f>
        <v>Janet Leverling</v>
      </c>
      <c r="E186" s="1">
        <v>41670</v>
      </c>
      <c r="F186" s="1">
        <v>41684</v>
      </c>
      <c r="G186" s="1">
        <v>41677</v>
      </c>
      <c r="H186" s="3">
        <f>IF(Table1[[#This Row],[ShippedDate]]="","",IF(Table1[[#This Row],[OrderDate]]="","",Table1[[#This Row],[ShippedDate]]-Table1[[#This Row],[OrderDate]]))</f>
        <v>7</v>
      </c>
      <c r="I186" s="3">
        <v>2</v>
      </c>
      <c r="J186" s="2">
        <v>4.34</v>
      </c>
      <c r="K186" s="2">
        <f>SUMIF(order_details!A:A,Table1[[#This Row],[orderID]],order_details!F:F)</f>
        <v>485</v>
      </c>
      <c r="L186" s="9">
        <f>_xlfn.XLOOKUP(Table1[[#This Row],[orderID]],Table3[orderID],Table3[discount])</f>
        <v>0</v>
      </c>
      <c r="M186" s="2">
        <f>SUM(Table1[[#This Row],[Sales]],Table1[[#This Row],[freight]])</f>
        <v>489.34</v>
      </c>
      <c r="N186" s="3">
        <f>_xlfn.XLOOKUP(Table1[[#This Row],[orderID]],Table3[orderID],Table3[quantity])</f>
        <v>10</v>
      </c>
      <c r="O186" s="6" t="str">
        <f>_xlfn.XLOOKUP(Table1[[#This Row],[CustomerID]],customers!A:A,customers!B:B)</f>
        <v>Split Rail Beer &amp; Ale</v>
      </c>
      <c r="P186" s="6" t="str">
        <f>_xlfn.XLOOKUP(Table1[[#This Row],[shipperID]],Table6[shipperID],Table6[companyName])</f>
        <v>United Package</v>
      </c>
      <c r="Q186">
        <f>YEAR(Table1[[#This Row],[OrderDate]])</f>
        <v>2014</v>
      </c>
      <c r="R186">
        <f>MONTH(Table1[[#This Row],[OrderDate]])</f>
        <v>1</v>
      </c>
      <c r="S186" t="str">
        <f>"Q"&amp;ROUNDUP(Table1[[#This Row],[month]]/3,0)</f>
        <v>Q1</v>
      </c>
      <c r="T186" t="str">
        <f>CONCATENATE(Table1[[#This Row],[year]],"-",Table1[[#This Row],[Quarter]])</f>
        <v>2014-Q1</v>
      </c>
      <c r="U186" s="6" t="str">
        <f>IF(H185="","Pending",IF(Table1[[#This Row],[Days to ship]]&lt;Table1[[#This Row],[RequiredDate]],"On Time","Late"))</f>
        <v>On Time</v>
      </c>
      <c r="V186">
        <f>_xlfn.XLOOKUP(Table1[[#This Row],[orderID]],Table3[orderID],Table3[unitPrice])</f>
        <v>24.9</v>
      </c>
    </row>
    <row r="187" spans="1:22" x14ac:dyDescent="0.45">
      <c r="A187" s="3">
        <v>10433</v>
      </c>
      <c r="B187" s="6" t="s">
        <v>203</v>
      </c>
      <c r="C187" s="3">
        <v>3</v>
      </c>
      <c r="D187" s="6" t="str">
        <f>_xlfn.XLOOKUP(Table1[[#This Row],[EmployeeID]],Table4[employeeID],Table4[employeeName])</f>
        <v>Janet Leverling</v>
      </c>
      <c r="E187" s="1">
        <v>41673</v>
      </c>
      <c r="F187" s="1">
        <v>41701</v>
      </c>
      <c r="G187" s="1">
        <v>41702</v>
      </c>
      <c r="H187" s="3">
        <f>IF(Table1[[#This Row],[ShippedDate]]="","",IF(Table1[[#This Row],[OrderDate]]="","",Table1[[#This Row],[ShippedDate]]-Table1[[#This Row],[OrderDate]]))</f>
        <v>29</v>
      </c>
      <c r="I187" s="3">
        <v>3</v>
      </c>
      <c r="J187" s="2">
        <v>73.83</v>
      </c>
      <c r="K187" s="2">
        <f>SUMIF(order_details!A:A,Table1[[#This Row],[orderID]],order_details!F:F)</f>
        <v>851.19999999999993</v>
      </c>
      <c r="L187" s="9">
        <f>_xlfn.XLOOKUP(Table1[[#This Row],[orderID]],Table3[orderID],Table3[discount])</f>
        <v>0</v>
      </c>
      <c r="M187" s="2">
        <f>SUM(Table1[[#This Row],[Sales]],Table1[[#This Row],[freight]])</f>
        <v>925.03</v>
      </c>
      <c r="N187" s="3">
        <f>_xlfn.XLOOKUP(Table1[[#This Row],[orderID]],Table3[orderID],Table3[quantity])</f>
        <v>28</v>
      </c>
      <c r="O187" s="6" t="str">
        <f>_xlfn.XLOOKUP(Table1[[#This Row],[CustomerID]],customers!A:A,customers!B:B)</f>
        <v>Princesa Isabel Vinhos</v>
      </c>
      <c r="P187" s="6" t="str">
        <f>_xlfn.XLOOKUP(Table1[[#This Row],[shipperID]],Table6[shipperID],Table6[companyName])</f>
        <v>Federal Shipping</v>
      </c>
      <c r="Q187">
        <f>YEAR(Table1[[#This Row],[OrderDate]])</f>
        <v>2014</v>
      </c>
      <c r="R187">
        <f>MONTH(Table1[[#This Row],[OrderDate]])</f>
        <v>2</v>
      </c>
      <c r="S187" t="str">
        <f>"Q"&amp;ROUNDUP(Table1[[#This Row],[month]]/3,0)</f>
        <v>Q1</v>
      </c>
      <c r="T187" t="str">
        <f>CONCATENATE(Table1[[#This Row],[year]],"-",Table1[[#This Row],[Quarter]])</f>
        <v>2014-Q1</v>
      </c>
      <c r="U187" s="6" t="str">
        <f>IF(H186="","Pending",IF(Table1[[#This Row],[Days to ship]]&lt;Table1[[#This Row],[RequiredDate]],"On Time","Late"))</f>
        <v>On Time</v>
      </c>
      <c r="V187">
        <f>_xlfn.XLOOKUP(Table1[[#This Row],[orderID]],Table3[orderID],Table3[unitPrice])</f>
        <v>30.4</v>
      </c>
    </row>
    <row r="188" spans="1:22" x14ac:dyDescent="0.45">
      <c r="A188" s="3">
        <v>10434</v>
      </c>
      <c r="B188" s="6" t="s">
        <v>179</v>
      </c>
      <c r="C188" s="3">
        <v>3</v>
      </c>
      <c r="D188" s="6" t="str">
        <f>_xlfn.XLOOKUP(Table1[[#This Row],[EmployeeID]],Table4[employeeID],Table4[employeeName])</f>
        <v>Janet Leverling</v>
      </c>
      <c r="E188" s="1">
        <v>41673</v>
      </c>
      <c r="F188" s="1">
        <v>41701</v>
      </c>
      <c r="G188" s="1">
        <v>41683</v>
      </c>
      <c r="H188" s="3">
        <f>IF(Table1[[#This Row],[ShippedDate]]="","",IF(Table1[[#This Row],[OrderDate]]="","",Table1[[#This Row],[ShippedDate]]-Table1[[#This Row],[OrderDate]]))</f>
        <v>10</v>
      </c>
      <c r="I188" s="3">
        <v>2</v>
      </c>
      <c r="J188" s="2">
        <v>17.920000000000002</v>
      </c>
      <c r="K188" s="2">
        <f>SUMIF(order_details!A:A,Table1[[#This Row],[orderID]],order_details!F:F)</f>
        <v>321.12</v>
      </c>
      <c r="L188" s="9">
        <f>_xlfn.XLOOKUP(Table1[[#This Row],[orderID]],Table3[orderID],Table3[discount])</f>
        <v>0</v>
      </c>
      <c r="M188" s="2">
        <f>SUM(Table1[[#This Row],[Sales]],Table1[[#This Row],[freight]])</f>
        <v>339.04</v>
      </c>
      <c r="N188" s="3">
        <f>_xlfn.XLOOKUP(Table1[[#This Row],[orderID]],Table3[orderID],Table3[quantity])</f>
        <v>6</v>
      </c>
      <c r="O188" s="6" t="str">
        <f>_xlfn.XLOOKUP(Table1[[#This Row],[CustomerID]],customers!A:A,customers!B:B)</f>
        <v>Folk och fä HB</v>
      </c>
      <c r="P188" s="6" t="str">
        <f>_xlfn.XLOOKUP(Table1[[#This Row],[shipperID]],Table6[shipperID],Table6[companyName])</f>
        <v>United Package</v>
      </c>
      <c r="Q188">
        <f>YEAR(Table1[[#This Row],[OrderDate]])</f>
        <v>2014</v>
      </c>
      <c r="R188">
        <f>MONTH(Table1[[#This Row],[OrderDate]])</f>
        <v>2</v>
      </c>
      <c r="S188" t="str">
        <f>"Q"&amp;ROUNDUP(Table1[[#This Row],[month]]/3,0)</f>
        <v>Q1</v>
      </c>
      <c r="T188" t="str">
        <f>CONCATENATE(Table1[[#This Row],[year]],"-",Table1[[#This Row],[Quarter]])</f>
        <v>2014-Q1</v>
      </c>
      <c r="U188" s="6" t="str">
        <f>IF(H187="","Pending",IF(Table1[[#This Row],[Days to ship]]&lt;Table1[[#This Row],[RequiredDate]],"On Time","Late"))</f>
        <v>On Time</v>
      </c>
      <c r="V188">
        <f>_xlfn.XLOOKUP(Table1[[#This Row],[orderID]],Table3[orderID],Table3[unitPrice])</f>
        <v>16.8</v>
      </c>
    </row>
    <row r="189" spans="1:22" x14ac:dyDescent="0.45">
      <c r="A189" s="3">
        <v>10435</v>
      </c>
      <c r="B189" s="6" t="s">
        <v>229</v>
      </c>
      <c r="C189" s="3">
        <v>8</v>
      </c>
      <c r="D189" s="6" t="str">
        <f>_xlfn.XLOOKUP(Table1[[#This Row],[EmployeeID]],Table4[employeeID],Table4[employeeName])</f>
        <v>Laura Callahan</v>
      </c>
      <c r="E189" s="1">
        <v>41674</v>
      </c>
      <c r="F189" s="1">
        <v>41716</v>
      </c>
      <c r="G189" s="1">
        <v>41677</v>
      </c>
      <c r="H189" s="3">
        <f>IF(Table1[[#This Row],[ShippedDate]]="","",IF(Table1[[#This Row],[OrderDate]]="","",Table1[[#This Row],[ShippedDate]]-Table1[[#This Row],[OrderDate]]))</f>
        <v>3</v>
      </c>
      <c r="I189" s="3">
        <v>2</v>
      </c>
      <c r="J189" s="2">
        <v>9.2100000000000009</v>
      </c>
      <c r="K189" s="2">
        <f>SUMIF(order_details!A:A,Table1[[#This Row],[orderID]],order_details!F:F)</f>
        <v>631.6</v>
      </c>
      <c r="L189" s="9">
        <f>_xlfn.XLOOKUP(Table1[[#This Row],[orderID]],Table3[orderID],Table3[discount])</f>
        <v>0</v>
      </c>
      <c r="M189" s="2">
        <f>SUM(Table1[[#This Row],[Sales]],Table1[[#This Row],[freight]])</f>
        <v>640.81000000000006</v>
      </c>
      <c r="N189" s="3">
        <f>_xlfn.XLOOKUP(Table1[[#This Row],[orderID]],Table3[orderID],Table3[quantity])</f>
        <v>10</v>
      </c>
      <c r="O189" s="6" t="str">
        <f>_xlfn.XLOOKUP(Table1[[#This Row],[CustomerID]],customers!A:A,customers!B:B)</f>
        <v>Consolidated Holdings</v>
      </c>
      <c r="P189" s="6" t="str">
        <f>_xlfn.XLOOKUP(Table1[[#This Row],[shipperID]],Table6[shipperID],Table6[companyName])</f>
        <v>United Package</v>
      </c>
      <c r="Q189">
        <f>YEAR(Table1[[#This Row],[OrderDate]])</f>
        <v>2014</v>
      </c>
      <c r="R189">
        <f>MONTH(Table1[[#This Row],[OrderDate]])</f>
        <v>2</v>
      </c>
      <c r="S189" t="str">
        <f>"Q"&amp;ROUNDUP(Table1[[#This Row],[month]]/3,0)</f>
        <v>Q1</v>
      </c>
      <c r="T189" t="str">
        <f>CONCATENATE(Table1[[#This Row],[year]],"-",Table1[[#This Row],[Quarter]])</f>
        <v>2014-Q1</v>
      </c>
      <c r="U189" s="6" t="str">
        <f>IF(H188="","Pending",IF(Table1[[#This Row],[Days to ship]]&lt;Table1[[#This Row],[RequiredDate]],"On Time","Late"))</f>
        <v>On Time</v>
      </c>
      <c r="V189">
        <f>_xlfn.XLOOKUP(Table1[[#This Row],[orderID]],Table3[orderID],Table3[unitPrice])</f>
        <v>15.2</v>
      </c>
    </row>
    <row r="190" spans="1:22" x14ac:dyDescent="0.45">
      <c r="A190" s="3">
        <v>10436</v>
      </c>
      <c r="B190" s="6" t="s">
        <v>231</v>
      </c>
      <c r="C190" s="3">
        <v>3</v>
      </c>
      <c r="D190" s="6" t="str">
        <f>_xlfn.XLOOKUP(Table1[[#This Row],[EmployeeID]],Table4[employeeID],Table4[employeeName])</f>
        <v>Janet Leverling</v>
      </c>
      <c r="E190" s="1">
        <v>41675</v>
      </c>
      <c r="F190" s="1">
        <v>41703</v>
      </c>
      <c r="G190" s="1">
        <v>41681</v>
      </c>
      <c r="H190" s="3">
        <f>IF(Table1[[#This Row],[ShippedDate]]="","",IF(Table1[[#This Row],[OrderDate]]="","",Table1[[#This Row],[ShippedDate]]-Table1[[#This Row],[OrderDate]]))</f>
        <v>6</v>
      </c>
      <c r="I190" s="3">
        <v>2</v>
      </c>
      <c r="J190" s="2">
        <v>156.66</v>
      </c>
      <c r="K190" s="2">
        <f>SUMIF(order_details!A:A,Table1[[#This Row],[orderID]],order_details!F:F)</f>
        <v>1994.5200000000002</v>
      </c>
      <c r="L190" s="9">
        <f>_xlfn.XLOOKUP(Table1[[#This Row],[orderID]],Table3[orderID],Table3[discount])</f>
        <v>0</v>
      </c>
      <c r="M190" s="2">
        <f>SUM(Table1[[#This Row],[Sales]],Table1[[#This Row],[freight]])</f>
        <v>2151.1800000000003</v>
      </c>
      <c r="N190" s="3">
        <f>_xlfn.XLOOKUP(Table1[[#This Row],[orderID]],Table3[orderID],Table3[quantity])</f>
        <v>5</v>
      </c>
      <c r="O190" s="6" t="str">
        <f>_xlfn.XLOOKUP(Table1[[#This Row],[CustomerID]],customers!A:A,customers!B:B)</f>
        <v>Blondesddsl père et fils</v>
      </c>
      <c r="P190" s="6" t="str">
        <f>_xlfn.XLOOKUP(Table1[[#This Row],[shipperID]],Table6[shipperID],Table6[companyName])</f>
        <v>United Package</v>
      </c>
      <c r="Q190">
        <f>YEAR(Table1[[#This Row],[OrderDate]])</f>
        <v>2014</v>
      </c>
      <c r="R190">
        <f>MONTH(Table1[[#This Row],[OrderDate]])</f>
        <v>2</v>
      </c>
      <c r="S190" t="str">
        <f>"Q"&amp;ROUNDUP(Table1[[#This Row],[month]]/3,0)</f>
        <v>Q1</v>
      </c>
      <c r="T190" t="str">
        <f>CONCATENATE(Table1[[#This Row],[year]],"-",Table1[[#This Row],[Quarter]])</f>
        <v>2014-Q1</v>
      </c>
      <c r="U190" s="6" t="str">
        <f>IF(H189="","Pending",IF(Table1[[#This Row],[Days to ship]]&lt;Table1[[#This Row],[RequiredDate]],"On Time","Late"))</f>
        <v>On Time</v>
      </c>
      <c r="V190">
        <f>_xlfn.XLOOKUP(Table1[[#This Row],[orderID]],Table3[orderID],Table3[unitPrice])</f>
        <v>9.6</v>
      </c>
    </row>
    <row r="191" spans="1:22" x14ac:dyDescent="0.45">
      <c r="A191" s="3">
        <v>10437</v>
      </c>
      <c r="B191" s="6" t="s">
        <v>192</v>
      </c>
      <c r="C191" s="3">
        <v>8</v>
      </c>
      <c r="D191" s="6" t="str">
        <f>_xlfn.XLOOKUP(Table1[[#This Row],[EmployeeID]],Table4[employeeID],Table4[employeeName])</f>
        <v>Laura Callahan</v>
      </c>
      <c r="E191" s="1">
        <v>41675</v>
      </c>
      <c r="F191" s="1">
        <v>41703</v>
      </c>
      <c r="G191" s="1">
        <v>41682</v>
      </c>
      <c r="H191" s="3">
        <f>IF(Table1[[#This Row],[ShippedDate]]="","",IF(Table1[[#This Row],[OrderDate]]="","",Table1[[#This Row],[ShippedDate]]-Table1[[#This Row],[OrderDate]]))</f>
        <v>7</v>
      </c>
      <c r="I191" s="3">
        <v>1</v>
      </c>
      <c r="J191" s="2">
        <v>19.97</v>
      </c>
      <c r="K191" s="2">
        <f>SUMIF(order_details!A:A,Table1[[#This Row],[orderID]],order_details!F:F)</f>
        <v>393</v>
      </c>
      <c r="L191" s="9">
        <f>_xlfn.XLOOKUP(Table1[[#This Row],[orderID]],Table3[orderID],Table3[discount])</f>
        <v>0</v>
      </c>
      <c r="M191" s="2">
        <f>SUM(Table1[[#This Row],[Sales]],Table1[[#This Row],[freight]])</f>
        <v>412.97</v>
      </c>
      <c r="N191" s="3">
        <f>_xlfn.XLOOKUP(Table1[[#This Row],[orderID]],Table3[orderID],Table3[quantity])</f>
        <v>15</v>
      </c>
      <c r="O191" s="6" t="str">
        <f>_xlfn.XLOOKUP(Table1[[#This Row],[CustomerID]],customers!A:A,customers!B:B)</f>
        <v>Wartian Herkku</v>
      </c>
      <c r="P191" s="6" t="str">
        <f>_xlfn.XLOOKUP(Table1[[#This Row],[shipperID]],Table6[shipperID],Table6[companyName])</f>
        <v>Speedy Express</v>
      </c>
      <c r="Q191">
        <f>YEAR(Table1[[#This Row],[OrderDate]])</f>
        <v>2014</v>
      </c>
      <c r="R191">
        <f>MONTH(Table1[[#This Row],[OrderDate]])</f>
        <v>2</v>
      </c>
      <c r="S191" t="str">
        <f>"Q"&amp;ROUNDUP(Table1[[#This Row],[month]]/3,0)</f>
        <v>Q1</v>
      </c>
      <c r="T191" t="str">
        <f>CONCATENATE(Table1[[#This Row],[year]],"-",Table1[[#This Row],[Quarter]])</f>
        <v>2014-Q1</v>
      </c>
      <c r="U191" s="6" t="str">
        <f>IF(H190="","Pending",IF(Table1[[#This Row],[Days to ship]]&lt;Table1[[#This Row],[RequiredDate]],"On Time","Late"))</f>
        <v>On Time</v>
      </c>
      <c r="V191">
        <f>_xlfn.XLOOKUP(Table1[[#This Row],[orderID]],Table3[orderID],Table3[unitPrice])</f>
        <v>26.2</v>
      </c>
    </row>
    <row r="192" spans="1:22" x14ac:dyDescent="0.45">
      <c r="A192" s="3">
        <v>10438</v>
      </c>
      <c r="B192" s="6" t="s">
        <v>215</v>
      </c>
      <c r="C192" s="3">
        <v>3</v>
      </c>
      <c r="D192" s="6" t="str">
        <f>_xlfn.XLOOKUP(Table1[[#This Row],[EmployeeID]],Table4[employeeID],Table4[employeeName])</f>
        <v>Janet Leverling</v>
      </c>
      <c r="E192" s="1">
        <v>41676</v>
      </c>
      <c r="F192" s="1">
        <v>41704</v>
      </c>
      <c r="G192" s="1">
        <v>41684</v>
      </c>
      <c r="H192" s="3">
        <f>IF(Table1[[#This Row],[ShippedDate]]="","",IF(Table1[[#This Row],[OrderDate]]="","",Table1[[#This Row],[ShippedDate]]-Table1[[#This Row],[OrderDate]]))</f>
        <v>8</v>
      </c>
      <c r="I192" s="3">
        <v>2</v>
      </c>
      <c r="J192" s="2">
        <v>8.24</v>
      </c>
      <c r="K192" s="2">
        <f>SUMIF(order_details!A:A,Table1[[#This Row],[orderID]],order_details!F:F)</f>
        <v>454</v>
      </c>
      <c r="L192" s="9">
        <f>_xlfn.XLOOKUP(Table1[[#This Row],[orderID]],Table3[orderID],Table3[discount])</f>
        <v>0.2</v>
      </c>
      <c r="M192" s="2">
        <f>SUM(Table1[[#This Row],[Sales]],Table1[[#This Row],[freight]])</f>
        <v>462.24</v>
      </c>
      <c r="N192" s="3">
        <f>_xlfn.XLOOKUP(Table1[[#This Row],[orderID]],Table3[orderID],Table3[quantity])</f>
        <v>15</v>
      </c>
      <c r="O192" s="6" t="str">
        <f>_xlfn.XLOOKUP(Table1[[#This Row],[CustomerID]],customers!A:A,customers!B:B)</f>
        <v>Toms Spezialitäten</v>
      </c>
      <c r="P192" s="6" t="str">
        <f>_xlfn.XLOOKUP(Table1[[#This Row],[shipperID]],Table6[shipperID],Table6[companyName])</f>
        <v>United Package</v>
      </c>
      <c r="Q192">
        <f>YEAR(Table1[[#This Row],[OrderDate]])</f>
        <v>2014</v>
      </c>
      <c r="R192">
        <f>MONTH(Table1[[#This Row],[OrderDate]])</f>
        <v>2</v>
      </c>
      <c r="S192" t="str">
        <f>"Q"&amp;ROUNDUP(Table1[[#This Row],[month]]/3,0)</f>
        <v>Q1</v>
      </c>
      <c r="T192" t="str">
        <f>CONCATENATE(Table1[[#This Row],[year]],"-",Table1[[#This Row],[Quarter]])</f>
        <v>2014-Q1</v>
      </c>
      <c r="U192" s="6" t="str">
        <f>IF(H191="","Pending",IF(Table1[[#This Row],[Days to ship]]&lt;Table1[[#This Row],[RequiredDate]],"On Time","Late"))</f>
        <v>On Time</v>
      </c>
      <c r="V192">
        <f>_xlfn.XLOOKUP(Table1[[#This Row],[orderID]],Table3[orderID],Table3[unitPrice])</f>
        <v>7.3</v>
      </c>
    </row>
    <row r="193" spans="1:22" x14ac:dyDescent="0.45">
      <c r="A193" s="3">
        <v>10439</v>
      </c>
      <c r="B193" s="6" t="s">
        <v>238</v>
      </c>
      <c r="C193" s="3">
        <v>6</v>
      </c>
      <c r="D193" s="6" t="str">
        <f>_xlfn.XLOOKUP(Table1[[#This Row],[EmployeeID]],Table4[employeeID],Table4[employeeName])</f>
        <v>Michael Suyama</v>
      </c>
      <c r="E193" s="1">
        <v>41677</v>
      </c>
      <c r="F193" s="1">
        <v>41705</v>
      </c>
      <c r="G193" s="1">
        <v>41680</v>
      </c>
      <c r="H193" s="3">
        <f>IF(Table1[[#This Row],[ShippedDate]]="","",IF(Table1[[#This Row],[OrderDate]]="","",Table1[[#This Row],[ShippedDate]]-Table1[[#This Row],[OrderDate]]))</f>
        <v>3</v>
      </c>
      <c r="I193" s="3">
        <v>3</v>
      </c>
      <c r="J193" s="2">
        <v>4.07</v>
      </c>
      <c r="K193" s="2">
        <f>SUMIF(order_details!A:A,Table1[[#This Row],[orderID]],order_details!F:F)</f>
        <v>1078</v>
      </c>
      <c r="L193" s="9">
        <f>_xlfn.XLOOKUP(Table1[[#This Row],[orderID]],Table3[orderID],Table3[discount])</f>
        <v>0</v>
      </c>
      <c r="M193" s="2">
        <f>SUM(Table1[[#This Row],[Sales]],Table1[[#This Row],[freight]])</f>
        <v>1082.07</v>
      </c>
      <c r="N193" s="3">
        <f>_xlfn.XLOOKUP(Table1[[#This Row],[orderID]],Table3[orderID],Table3[quantity])</f>
        <v>15</v>
      </c>
      <c r="O193" s="6" t="str">
        <f>_xlfn.XLOOKUP(Table1[[#This Row],[CustomerID]],customers!A:A,customers!B:B)</f>
        <v>Mère Paillarde</v>
      </c>
      <c r="P193" s="6" t="str">
        <f>_xlfn.XLOOKUP(Table1[[#This Row],[shipperID]],Table6[shipperID],Table6[companyName])</f>
        <v>Federal Shipping</v>
      </c>
      <c r="Q193">
        <f>YEAR(Table1[[#This Row],[OrderDate]])</f>
        <v>2014</v>
      </c>
      <c r="R193">
        <f>MONTH(Table1[[#This Row],[OrderDate]])</f>
        <v>2</v>
      </c>
      <c r="S193" t="str">
        <f>"Q"&amp;ROUNDUP(Table1[[#This Row],[month]]/3,0)</f>
        <v>Q1</v>
      </c>
      <c r="T193" t="str">
        <f>CONCATENATE(Table1[[#This Row],[year]],"-",Table1[[#This Row],[Quarter]])</f>
        <v>2014-Q1</v>
      </c>
      <c r="U193" s="6" t="str">
        <f>IF(H192="","Pending",IF(Table1[[#This Row],[Days to ship]]&lt;Table1[[#This Row],[RequiredDate]],"On Time","Late"))</f>
        <v>On Time</v>
      </c>
      <c r="V193">
        <f>_xlfn.XLOOKUP(Table1[[#This Row],[orderID]],Table3[orderID],Table3[unitPrice])</f>
        <v>30.4</v>
      </c>
    </row>
    <row r="194" spans="1:22" x14ac:dyDescent="0.45">
      <c r="A194" s="3">
        <v>10440</v>
      </c>
      <c r="B194" s="6" t="s">
        <v>165</v>
      </c>
      <c r="C194" s="3">
        <v>4</v>
      </c>
      <c r="D194" s="6" t="str">
        <f>_xlfn.XLOOKUP(Table1[[#This Row],[EmployeeID]],Table4[employeeID],Table4[employeeName])</f>
        <v>Margaret Peacock</v>
      </c>
      <c r="E194" s="1">
        <v>41680</v>
      </c>
      <c r="F194" s="1">
        <v>41708</v>
      </c>
      <c r="G194" s="1">
        <v>41698</v>
      </c>
      <c r="H194" s="3">
        <f>IF(Table1[[#This Row],[ShippedDate]]="","",IF(Table1[[#This Row],[OrderDate]]="","",Table1[[#This Row],[ShippedDate]]-Table1[[#This Row],[OrderDate]]))</f>
        <v>18</v>
      </c>
      <c r="I194" s="3">
        <v>2</v>
      </c>
      <c r="J194" s="2">
        <v>86.53</v>
      </c>
      <c r="K194" s="2">
        <f>SUMIF(order_details!A:A,Table1[[#This Row],[orderID]],order_details!F:F)</f>
        <v>4924.1350000000002</v>
      </c>
      <c r="L194" s="9">
        <f>_xlfn.XLOOKUP(Table1[[#This Row],[orderID]],Table3[orderID],Table3[discount])</f>
        <v>0.15</v>
      </c>
      <c r="M194" s="2">
        <f>SUM(Table1[[#This Row],[Sales]],Table1[[#This Row],[freight]])</f>
        <v>5010.665</v>
      </c>
      <c r="N194" s="3">
        <f>_xlfn.XLOOKUP(Table1[[#This Row],[orderID]],Table3[orderID],Table3[quantity])</f>
        <v>45</v>
      </c>
      <c r="O194" s="6" t="str">
        <f>_xlfn.XLOOKUP(Table1[[#This Row],[CustomerID]],customers!A:A,customers!B:B)</f>
        <v>Save-a-lot Markets</v>
      </c>
      <c r="P194" s="6" t="str">
        <f>_xlfn.XLOOKUP(Table1[[#This Row],[shipperID]],Table6[shipperID],Table6[companyName])</f>
        <v>United Package</v>
      </c>
      <c r="Q194">
        <f>YEAR(Table1[[#This Row],[OrderDate]])</f>
        <v>2014</v>
      </c>
      <c r="R194">
        <f>MONTH(Table1[[#This Row],[OrderDate]])</f>
        <v>2</v>
      </c>
      <c r="S194" t="str">
        <f>"Q"&amp;ROUNDUP(Table1[[#This Row],[month]]/3,0)</f>
        <v>Q1</v>
      </c>
      <c r="T194" t="str">
        <f>CONCATENATE(Table1[[#This Row],[year]],"-",Table1[[#This Row],[Quarter]])</f>
        <v>2014-Q1</v>
      </c>
      <c r="U194" s="6" t="str">
        <f>IF(H193="","Pending",IF(Table1[[#This Row],[Days to ship]]&lt;Table1[[#This Row],[RequiredDate]],"On Time","Late"))</f>
        <v>On Time</v>
      </c>
      <c r="V194">
        <f>_xlfn.XLOOKUP(Table1[[#This Row],[orderID]],Table3[orderID],Table3[unitPrice])</f>
        <v>15.2</v>
      </c>
    </row>
    <row r="195" spans="1:22" x14ac:dyDescent="0.45">
      <c r="A195" s="3">
        <v>10441</v>
      </c>
      <c r="B195" s="6" t="s">
        <v>190</v>
      </c>
      <c r="C195" s="3">
        <v>3</v>
      </c>
      <c r="D195" s="6" t="str">
        <f>_xlfn.XLOOKUP(Table1[[#This Row],[EmployeeID]],Table4[employeeID],Table4[employeeName])</f>
        <v>Janet Leverling</v>
      </c>
      <c r="E195" s="1">
        <v>41680</v>
      </c>
      <c r="F195" s="1">
        <v>41722</v>
      </c>
      <c r="G195" s="1">
        <v>41712</v>
      </c>
      <c r="H195" s="3">
        <f>IF(Table1[[#This Row],[ShippedDate]]="","",IF(Table1[[#This Row],[OrderDate]]="","",Table1[[#This Row],[ShippedDate]]-Table1[[#This Row],[OrderDate]]))</f>
        <v>32</v>
      </c>
      <c r="I195" s="3">
        <v>2</v>
      </c>
      <c r="J195" s="2">
        <v>73.02</v>
      </c>
      <c r="K195" s="2">
        <f>SUMIF(order_details!A:A,Table1[[#This Row],[orderID]],order_details!F:F)</f>
        <v>1755</v>
      </c>
      <c r="L195" s="9">
        <f>_xlfn.XLOOKUP(Table1[[#This Row],[orderID]],Table3[orderID],Table3[discount])</f>
        <v>0</v>
      </c>
      <c r="M195" s="2">
        <f>SUM(Table1[[#This Row],[Sales]],Table1[[#This Row],[freight]])</f>
        <v>1828.02</v>
      </c>
      <c r="N195" s="3">
        <f>_xlfn.XLOOKUP(Table1[[#This Row],[orderID]],Table3[orderID],Table3[quantity])</f>
        <v>50</v>
      </c>
      <c r="O195" s="6" t="str">
        <f>_xlfn.XLOOKUP(Table1[[#This Row],[CustomerID]],customers!A:A,customers!B:B)</f>
        <v>Old World Delicatessen</v>
      </c>
      <c r="P195" s="6" t="str">
        <f>_xlfn.XLOOKUP(Table1[[#This Row],[shipperID]],Table6[shipperID],Table6[companyName])</f>
        <v>United Package</v>
      </c>
      <c r="Q195">
        <f>YEAR(Table1[[#This Row],[OrderDate]])</f>
        <v>2014</v>
      </c>
      <c r="R195">
        <f>MONTH(Table1[[#This Row],[OrderDate]])</f>
        <v>2</v>
      </c>
      <c r="S195" t="str">
        <f>"Q"&amp;ROUNDUP(Table1[[#This Row],[month]]/3,0)</f>
        <v>Q1</v>
      </c>
      <c r="T195" t="str">
        <f>CONCATENATE(Table1[[#This Row],[year]],"-",Table1[[#This Row],[Quarter]])</f>
        <v>2014-Q1</v>
      </c>
      <c r="U195" s="6" t="str">
        <f>IF(H194="","Pending",IF(Table1[[#This Row],[Days to ship]]&lt;Table1[[#This Row],[RequiredDate]],"On Time","Late"))</f>
        <v>On Time</v>
      </c>
      <c r="V195">
        <f>_xlfn.XLOOKUP(Table1[[#This Row],[orderID]],Table3[orderID],Table3[unitPrice])</f>
        <v>35.1</v>
      </c>
    </row>
    <row r="196" spans="1:22" x14ac:dyDescent="0.45">
      <c r="A196" s="3">
        <v>10442</v>
      </c>
      <c r="B196" s="6" t="s">
        <v>158</v>
      </c>
      <c r="C196" s="3">
        <v>3</v>
      </c>
      <c r="D196" s="6" t="str">
        <f>_xlfn.XLOOKUP(Table1[[#This Row],[EmployeeID]],Table4[employeeID],Table4[employeeName])</f>
        <v>Janet Leverling</v>
      </c>
      <c r="E196" s="1">
        <v>41681</v>
      </c>
      <c r="F196" s="1">
        <v>41709</v>
      </c>
      <c r="G196" s="1">
        <v>41688</v>
      </c>
      <c r="H196" s="3">
        <f>IF(Table1[[#This Row],[ShippedDate]]="","",IF(Table1[[#This Row],[OrderDate]]="","",Table1[[#This Row],[ShippedDate]]-Table1[[#This Row],[OrderDate]]))</f>
        <v>7</v>
      </c>
      <c r="I196" s="3">
        <v>2</v>
      </c>
      <c r="J196" s="2">
        <v>47.94</v>
      </c>
      <c r="K196" s="2">
        <f>SUMIF(order_details!A:A,Table1[[#This Row],[orderID]],order_details!F:F)</f>
        <v>1792</v>
      </c>
      <c r="L196" s="9">
        <f>_xlfn.XLOOKUP(Table1[[#This Row],[orderID]],Table3[orderID],Table3[discount])</f>
        <v>0</v>
      </c>
      <c r="M196" s="2">
        <f>SUM(Table1[[#This Row],[Sales]],Table1[[#This Row],[freight]])</f>
        <v>1839.94</v>
      </c>
      <c r="N196" s="3">
        <f>_xlfn.XLOOKUP(Table1[[#This Row],[orderID]],Table3[orderID],Table3[quantity])</f>
        <v>30</v>
      </c>
      <c r="O196" s="6" t="str">
        <f>_xlfn.XLOOKUP(Table1[[#This Row],[CustomerID]],customers!A:A,customers!B:B)</f>
        <v>Ernst Handel</v>
      </c>
      <c r="P196" s="6" t="str">
        <f>_xlfn.XLOOKUP(Table1[[#This Row],[shipperID]],Table6[shipperID],Table6[companyName])</f>
        <v>United Package</v>
      </c>
      <c r="Q196">
        <f>YEAR(Table1[[#This Row],[OrderDate]])</f>
        <v>2014</v>
      </c>
      <c r="R196">
        <f>MONTH(Table1[[#This Row],[OrderDate]])</f>
        <v>2</v>
      </c>
      <c r="S196" t="str">
        <f>"Q"&amp;ROUNDUP(Table1[[#This Row],[month]]/3,0)</f>
        <v>Q1</v>
      </c>
      <c r="T196" t="str">
        <f>CONCATENATE(Table1[[#This Row],[year]],"-",Table1[[#This Row],[Quarter]])</f>
        <v>2014-Q1</v>
      </c>
      <c r="U196" s="6" t="str">
        <f>IF(H195="","Pending",IF(Table1[[#This Row],[Days to ship]]&lt;Table1[[#This Row],[RequiredDate]],"On Time","Late"))</f>
        <v>On Time</v>
      </c>
      <c r="V196">
        <f>_xlfn.XLOOKUP(Table1[[#This Row],[orderID]],Table3[orderID],Table3[unitPrice])</f>
        <v>16.8</v>
      </c>
    </row>
    <row r="197" spans="1:22" x14ac:dyDescent="0.45">
      <c r="A197" s="3">
        <v>10443</v>
      </c>
      <c r="B197" s="6" t="s">
        <v>167</v>
      </c>
      <c r="C197" s="3">
        <v>8</v>
      </c>
      <c r="D197" s="6" t="str">
        <f>_xlfn.XLOOKUP(Table1[[#This Row],[EmployeeID]],Table4[employeeID],Table4[employeeName])</f>
        <v>Laura Callahan</v>
      </c>
      <c r="E197" s="1">
        <v>41682</v>
      </c>
      <c r="F197" s="1">
        <v>41710</v>
      </c>
      <c r="G197" s="1">
        <v>41684</v>
      </c>
      <c r="H197" s="3">
        <f>IF(Table1[[#This Row],[ShippedDate]]="","",IF(Table1[[#This Row],[OrderDate]]="","",Table1[[#This Row],[ShippedDate]]-Table1[[#This Row],[OrderDate]]))</f>
        <v>2</v>
      </c>
      <c r="I197" s="3">
        <v>1</v>
      </c>
      <c r="J197" s="2">
        <v>13.95</v>
      </c>
      <c r="K197" s="2">
        <f>SUMIF(order_details!A:A,Table1[[#This Row],[orderID]],order_details!F:F)</f>
        <v>517.43999999999994</v>
      </c>
      <c r="L197" s="9">
        <f>_xlfn.XLOOKUP(Table1[[#This Row],[orderID]],Table3[orderID],Table3[discount])</f>
        <v>0.2</v>
      </c>
      <c r="M197" s="2">
        <f>SUM(Table1[[#This Row],[Sales]],Table1[[#This Row],[freight]])</f>
        <v>531.39</v>
      </c>
      <c r="N197" s="3">
        <f>_xlfn.XLOOKUP(Table1[[#This Row],[orderID]],Table3[orderID],Table3[quantity])</f>
        <v>6</v>
      </c>
      <c r="O197" s="6" t="str">
        <f>_xlfn.XLOOKUP(Table1[[#This Row],[CustomerID]],customers!A:A,customers!B:B)</f>
        <v>Reggiani Caseifici</v>
      </c>
      <c r="P197" s="6" t="str">
        <f>_xlfn.XLOOKUP(Table1[[#This Row],[shipperID]],Table6[shipperID],Table6[companyName])</f>
        <v>Speedy Express</v>
      </c>
      <c r="Q197">
        <f>YEAR(Table1[[#This Row],[OrderDate]])</f>
        <v>2014</v>
      </c>
      <c r="R197">
        <f>MONTH(Table1[[#This Row],[OrderDate]])</f>
        <v>2</v>
      </c>
      <c r="S197" t="str">
        <f>"Q"&amp;ROUNDUP(Table1[[#This Row],[month]]/3,0)</f>
        <v>Q1</v>
      </c>
      <c r="T197" t="str">
        <f>CONCATENATE(Table1[[#This Row],[year]],"-",Table1[[#This Row],[Quarter]])</f>
        <v>2014-Q1</v>
      </c>
      <c r="U197" s="6" t="str">
        <f>IF(H196="","Pending",IF(Table1[[#This Row],[Days to ship]]&lt;Table1[[#This Row],[RequiredDate]],"On Time","Late"))</f>
        <v>On Time</v>
      </c>
      <c r="V197">
        <f>_xlfn.XLOOKUP(Table1[[#This Row],[orderID]],Table3[orderID],Table3[unitPrice])</f>
        <v>16.8</v>
      </c>
    </row>
    <row r="198" spans="1:22" x14ac:dyDescent="0.45">
      <c r="A198" s="3">
        <v>10444</v>
      </c>
      <c r="B198" s="6" t="s">
        <v>223</v>
      </c>
      <c r="C198" s="3">
        <v>3</v>
      </c>
      <c r="D198" s="6" t="str">
        <f>_xlfn.XLOOKUP(Table1[[#This Row],[EmployeeID]],Table4[employeeID],Table4[employeeName])</f>
        <v>Janet Leverling</v>
      </c>
      <c r="E198" s="1">
        <v>41682</v>
      </c>
      <c r="F198" s="1">
        <v>41710</v>
      </c>
      <c r="G198" s="1">
        <v>41691</v>
      </c>
      <c r="H198" s="3">
        <f>IF(Table1[[#This Row],[ShippedDate]]="","",IF(Table1[[#This Row],[OrderDate]]="","",Table1[[#This Row],[ShippedDate]]-Table1[[#This Row],[OrderDate]]))</f>
        <v>9</v>
      </c>
      <c r="I198" s="3">
        <v>3</v>
      </c>
      <c r="J198" s="2">
        <v>3.5</v>
      </c>
      <c r="K198" s="2">
        <f>SUMIF(order_details!A:A,Table1[[#This Row],[orderID]],order_details!F:F)</f>
        <v>1031.7</v>
      </c>
      <c r="L198" s="9">
        <f>_xlfn.XLOOKUP(Table1[[#This Row],[orderID]],Table3[orderID],Table3[discount])</f>
        <v>0</v>
      </c>
      <c r="M198" s="2">
        <f>SUM(Table1[[#This Row],[Sales]],Table1[[#This Row],[freight]])</f>
        <v>1035.2</v>
      </c>
      <c r="N198" s="3">
        <f>_xlfn.XLOOKUP(Table1[[#This Row],[orderID]],Table3[orderID],Table3[quantity])</f>
        <v>10</v>
      </c>
      <c r="O198" s="6" t="str">
        <f>_xlfn.XLOOKUP(Table1[[#This Row],[CustomerID]],customers!A:A,customers!B:B)</f>
        <v>Berglunds snabbköp</v>
      </c>
      <c r="P198" s="6" t="str">
        <f>_xlfn.XLOOKUP(Table1[[#This Row],[shipperID]],Table6[shipperID],Table6[companyName])</f>
        <v>Federal Shipping</v>
      </c>
      <c r="Q198">
        <f>YEAR(Table1[[#This Row],[OrderDate]])</f>
        <v>2014</v>
      </c>
      <c r="R198">
        <f>MONTH(Table1[[#This Row],[OrderDate]])</f>
        <v>2</v>
      </c>
      <c r="S198" t="str">
        <f>"Q"&amp;ROUNDUP(Table1[[#This Row],[month]]/3,0)</f>
        <v>Q1</v>
      </c>
      <c r="T198" t="str">
        <f>CONCATENATE(Table1[[#This Row],[year]],"-",Table1[[#This Row],[Quarter]])</f>
        <v>2014-Q1</v>
      </c>
      <c r="U198" s="6" t="str">
        <f>IF(H197="","Pending",IF(Table1[[#This Row],[Days to ship]]&lt;Table1[[#This Row],[RequiredDate]],"On Time","Late"))</f>
        <v>On Time</v>
      </c>
      <c r="V198">
        <f>_xlfn.XLOOKUP(Table1[[#This Row],[orderID]],Table3[orderID],Table3[unitPrice])</f>
        <v>31.2</v>
      </c>
    </row>
    <row r="199" spans="1:22" x14ac:dyDescent="0.45">
      <c r="A199" s="3">
        <v>10445</v>
      </c>
      <c r="B199" s="6" t="s">
        <v>223</v>
      </c>
      <c r="C199" s="3">
        <v>3</v>
      </c>
      <c r="D199" s="6" t="str">
        <f>_xlfn.XLOOKUP(Table1[[#This Row],[EmployeeID]],Table4[employeeID],Table4[employeeName])</f>
        <v>Janet Leverling</v>
      </c>
      <c r="E199" s="1">
        <v>41683</v>
      </c>
      <c r="F199" s="1">
        <v>41711</v>
      </c>
      <c r="G199" s="1">
        <v>41690</v>
      </c>
      <c r="H199" s="3">
        <f>IF(Table1[[#This Row],[ShippedDate]]="","",IF(Table1[[#This Row],[OrderDate]]="","",Table1[[#This Row],[ShippedDate]]-Table1[[#This Row],[OrderDate]]))</f>
        <v>7</v>
      </c>
      <c r="I199" s="3">
        <v>1</v>
      </c>
      <c r="J199" s="2">
        <v>9.3000000000000007</v>
      </c>
      <c r="K199" s="2">
        <f>SUMIF(order_details!A:A,Table1[[#This Row],[orderID]],order_details!F:F)</f>
        <v>174.9</v>
      </c>
      <c r="L199" s="9">
        <f>_xlfn.XLOOKUP(Table1[[#This Row],[orderID]],Table3[orderID],Table3[discount])</f>
        <v>0</v>
      </c>
      <c r="M199" s="2">
        <f>SUM(Table1[[#This Row],[Sales]],Table1[[#This Row],[freight]])</f>
        <v>184.20000000000002</v>
      </c>
      <c r="N199" s="3">
        <f>_xlfn.XLOOKUP(Table1[[#This Row],[orderID]],Table3[orderID],Table3[quantity])</f>
        <v>6</v>
      </c>
      <c r="O199" s="6" t="str">
        <f>_xlfn.XLOOKUP(Table1[[#This Row],[CustomerID]],customers!A:A,customers!B:B)</f>
        <v>Berglunds snabbköp</v>
      </c>
      <c r="P199" s="6" t="str">
        <f>_xlfn.XLOOKUP(Table1[[#This Row],[shipperID]],Table6[shipperID],Table6[companyName])</f>
        <v>Speedy Express</v>
      </c>
      <c r="Q199">
        <f>YEAR(Table1[[#This Row],[OrderDate]])</f>
        <v>2014</v>
      </c>
      <c r="R199">
        <f>MONTH(Table1[[#This Row],[OrderDate]])</f>
        <v>2</v>
      </c>
      <c r="S199" t="str">
        <f>"Q"&amp;ROUNDUP(Table1[[#This Row],[month]]/3,0)</f>
        <v>Q1</v>
      </c>
      <c r="T199" t="str">
        <f>CONCATENATE(Table1[[#This Row],[year]],"-",Table1[[#This Row],[Quarter]])</f>
        <v>2014-Q1</v>
      </c>
      <c r="U199" s="6" t="str">
        <f>IF(H198="","Pending",IF(Table1[[#This Row],[Days to ship]]&lt;Table1[[#This Row],[RequiredDate]],"On Time","Late"))</f>
        <v>On Time</v>
      </c>
      <c r="V199">
        <f>_xlfn.XLOOKUP(Table1[[#This Row],[orderID]],Table3[orderID],Table3[unitPrice])</f>
        <v>14.4</v>
      </c>
    </row>
    <row r="200" spans="1:22" x14ac:dyDescent="0.45">
      <c r="A200" s="3">
        <v>10446</v>
      </c>
      <c r="B200" s="6" t="s">
        <v>215</v>
      </c>
      <c r="C200" s="3">
        <v>6</v>
      </c>
      <c r="D200" s="6" t="str">
        <f>_xlfn.XLOOKUP(Table1[[#This Row],[EmployeeID]],Table4[employeeID],Table4[employeeName])</f>
        <v>Michael Suyama</v>
      </c>
      <c r="E200" s="1">
        <v>41684</v>
      </c>
      <c r="F200" s="1">
        <v>41712</v>
      </c>
      <c r="G200" s="1">
        <v>41689</v>
      </c>
      <c r="H200" s="3">
        <f>IF(Table1[[#This Row],[ShippedDate]]="","",IF(Table1[[#This Row],[OrderDate]]="","",Table1[[#This Row],[ShippedDate]]-Table1[[#This Row],[OrderDate]]))</f>
        <v>5</v>
      </c>
      <c r="I200" s="3">
        <v>1</v>
      </c>
      <c r="J200" s="2">
        <v>14.68</v>
      </c>
      <c r="K200" s="2">
        <f>SUMIF(order_details!A:A,Table1[[#This Row],[orderID]],order_details!F:F)</f>
        <v>246.24</v>
      </c>
      <c r="L200" s="9">
        <f>_xlfn.XLOOKUP(Table1[[#This Row],[orderID]],Table3[orderID],Table3[discount])</f>
        <v>0.1</v>
      </c>
      <c r="M200" s="2">
        <f>SUM(Table1[[#This Row],[Sales]],Table1[[#This Row],[freight]])</f>
        <v>260.92</v>
      </c>
      <c r="N200" s="3">
        <f>_xlfn.XLOOKUP(Table1[[#This Row],[orderID]],Table3[orderID],Table3[quantity])</f>
        <v>12</v>
      </c>
      <c r="O200" s="6" t="str">
        <f>_xlfn.XLOOKUP(Table1[[#This Row],[CustomerID]],customers!A:A,customers!B:B)</f>
        <v>Toms Spezialitäten</v>
      </c>
      <c r="P200" s="6" t="str">
        <f>_xlfn.XLOOKUP(Table1[[#This Row],[shipperID]],Table6[shipperID],Table6[companyName])</f>
        <v>Speedy Express</v>
      </c>
      <c r="Q200">
        <f>YEAR(Table1[[#This Row],[OrderDate]])</f>
        <v>2014</v>
      </c>
      <c r="R200">
        <f>MONTH(Table1[[#This Row],[OrderDate]])</f>
        <v>2</v>
      </c>
      <c r="S200" t="str">
        <f>"Q"&amp;ROUNDUP(Table1[[#This Row],[month]]/3,0)</f>
        <v>Q1</v>
      </c>
      <c r="T200" t="str">
        <f>CONCATENATE(Table1[[#This Row],[year]],"-",Table1[[#This Row],[Quarter]])</f>
        <v>2014-Q1</v>
      </c>
      <c r="U200" s="6" t="str">
        <f>IF(H199="","Pending",IF(Table1[[#This Row],[Days to ship]]&lt;Table1[[#This Row],[RequiredDate]],"On Time","Late"))</f>
        <v>On Time</v>
      </c>
      <c r="V200">
        <f>_xlfn.XLOOKUP(Table1[[#This Row],[orderID]],Table3[orderID],Table3[unitPrice])</f>
        <v>7.3</v>
      </c>
    </row>
    <row r="201" spans="1:22" x14ac:dyDescent="0.45">
      <c r="A201" s="3">
        <v>10447</v>
      </c>
      <c r="B201" s="6" t="s">
        <v>170</v>
      </c>
      <c r="C201" s="3">
        <v>4</v>
      </c>
      <c r="D201" s="6" t="str">
        <f>_xlfn.XLOOKUP(Table1[[#This Row],[EmployeeID]],Table4[employeeID],Table4[employeeName])</f>
        <v>Margaret Peacock</v>
      </c>
      <c r="E201" s="1">
        <v>41684</v>
      </c>
      <c r="F201" s="1">
        <v>41712</v>
      </c>
      <c r="G201" s="1">
        <v>41705</v>
      </c>
      <c r="H201" s="3">
        <f>IF(Table1[[#This Row],[ShippedDate]]="","",IF(Table1[[#This Row],[OrderDate]]="","",Table1[[#This Row],[ShippedDate]]-Table1[[#This Row],[OrderDate]]))</f>
        <v>21</v>
      </c>
      <c r="I201" s="3">
        <v>2</v>
      </c>
      <c r="J201" s="2">
        <v>68.66</v>
      </c>
      <c r="K201" s="2">
        <f>SUMIF(order_details!A:A,Table1[[#This Row],[orderID]],order_details!F:F)</f>
        <v>914.4</v>
      </c>
      <c r="L201" s="9">
        <f>_xlfn.XLOOKUP(Table1[[#This Row],[orderID]],Table3[orderID],Table3[discount])</f>
        <v>0</v>
      </c>
      <c r="M201" s="2">
        <f>SUM(Table1[[#This Row],[Sales]],Table1[[#This Row],[freight]])</f>
        <v>983.06</v>
      </c>
      <c r="N201" s="3">
        <f>_xlfn.XLOOKUP(Table1[[#This Row],[orderID]],Table3[orderID],Table3[quantity])</f>
        <v>40</v>
      </c>
      <c r="O201" s="6" t="str">
        <f>_xlfn.XLOOKUP(Table1[[#This Row],[CustomerID]],customers!A:A,customers!B:B)</f>
        <v>Ricardo Adocicados</v>
      </c>
      <c r="P201" s="6" t="str">
        <f>_xlfn.XLOOKUP(Table1[[#This Row],[shipperID]],Table6[shipperID],Table6[companyName])</f>
        <v>United Package</v>
      </c>
      <c r="Q201">
        <f>YEAR(Table1[[#This Row],[OrderDate]])</f>
        <v>2014</v>
      </c>
      <c r="R201">
        <f>MONTH(Table1[[#This Row],[OrderDate]])</f>
        <v>2</v>
      </c>
      <c r="S201" t="str">
        <f>"Q"&amp;ROUNDUP(Table1[[#This Row],[month]]/3,0)</f>
        <v>Q1</v>
      </c>
      <c r="T201" t="str">
        <f>CONCATENATE(Table1[[#This Row],[year]],"-",Table1[[#This Row],[Quarter]])</f>
        <v>2014-Q1</v>
      </c>
      <c r="U201" s="6" t="str">
        <f>IF(H200="","Pending",IF(Table1[[#This Row],[Days to ship]]&lt;Table1[[#This Row],[RequiredDate]],"On Time","Late"))</f>
        <v>On Time</v>
      </c>
      <c r="V201">
        <f>_xlfn.XLOOKUP(Table1[[#This Row],[orderID]],Table3[orderID],Table3[unitPrice])</f>
        <v>7.3</v>
      </c>
    </row>
    <row r="202" spans="1:22" x14ac:dyDescent="0.45">
      <c r="A202" s="3">
        <v>10448</v>
      </c>
      <c r="B202" s="6" t="s">
        <v>196</v>
      </c>
      <c r="C202" s="3">
        <v>4</v>
      </c>
      <c r="D202" s="6" t="str">
        <f>_xlfn.XLOOKUP(Table1[[#This Row],[EmployeeID]],Table4[employeeID],Table4[employeeName])</f>
        <v>Margaret Peacock</v>
      </c>
      <c r="E202" s="1">
        <v>41687</v>
      </c>
      <c r="F202" s="1">
        <v>41715</v>
      </c>
      <c r="G202" s="1">
        <v>41694</v>
      </c>
      <c r="H202" s="3">
        <f>IF(Table1[[#This Row],[ShippedDate]]="","",IF(Table1[[#This Row],[OrderDate]]="","",Table1[[#This Row],[ShippedDate]]-Table1[[#This Row],[OrderDate]]))</f>
        <v>7</v>
      </c>
      <c r="I202" s="3">
        <v>2</v>
      </c>
      <c r="J202" s="2">
        <v>38.82</v>
      </c>
      <c r="K202" s="2">
        <f>SUMIF(order_details!A:A,Table1[[#This Row],[orderID]],order_details!F:F)</f>
        <v>443.4</v>
      </c>
      <c r="L202" s="9">
        <f>_xlfn.XLOOKUP(Table1[[#This Row],[orderID]],Table3[orderID],Table3[discount])</f>
        <v>0</v>
      </c>
      <c r="M202" s="2">
        <f>SUM(Table1[[#This Row],[Sales]],Table1[[#This Row],[freight]])</f>
        <v>482.21999999999997</v>
      </c>
      <c r="N202" s="3">
        <f>_xlfn.XLOOKUP(Table1[[#This Row],[orderID]],Table3[orderID],Table3[quantity])</f>
        <v>6</v>
      </c>
      <c r="O202" s="6" t="str">
        <f>_xlfn.XLOOKUP(Table1[[#This Row],[CustomerID]],customers!A:A,customers!B:B)</f>
        <v>Rancho grande</v>
      </c>
      <c r="P202" s="6" t="str">
        <f>_xlfn.XLOOKUP(Table1[[#This Row],[shipperID]],Table6[shipperID],Table6[companyName])</f>
        <v>United Package</v>
      </c>
      <c r="Q202">
        <f>YEAR(Table1[[#This Row],[OrderDate]])</f>
        <v>2014</v>
      </c>
      <c r="R202">
        <f>MONTH(Table1[[#This Row],[OrderDate]])</f>
        <v>2</v>
      </c>
      <c r="S202" t="str">
        <f>"Q"&amp;ROUNDUP(Table1[[#This Row],[month]]/3,0)</f>
        <v>Q1</v>
      </c>
      <c r="T202" t="str">
        <f>CONCATENATE(Table1[[#This Row],[year]],"-",Table1[[#This Row],[Quarter]])</f>
        <v>2014-Q1</v>
      </c>
      <c r="U202" s="6" t="str">
        <f>IF(H201="","Pending",IF(Table1[[#This Row],[Days to ship]]&lt;Table1[[#This Row],[RequiredDate]],"On Time","Late"))</f>
        <v>On Time</v>
      </c>
      <c r="V202">
        <f>_xlfn.XLOOKUP(Table1[[#This Row],[orderID]],Table3[orderID],Table3[unitPrice])</f>
        <v>24.9</v>
      </c>
    </row>
    <row r="203" spans="1:22" x14ac:dyDescent="0.45">
      <c r="A203" s="3">
        <v>10449</v>
      </c>
      <c r="B203" s="6" t="s">
        <v>231</v>
      </c>
      <c r="C203" s="3">
        <v>3</v>
      </c>
      <c r="D203" s="6" t="str">
        <f>_xlfn.XLOOKUP(Table1[[#This Row],[EmployeeID]],Table4[employeeID],Table4[employeeName])</f>
        <v>Janet Leverling</v>
      </c>
      <c r="E203" s="1">
        <v>41688</v>
      </c>
      <c r="F203" s="1">
        <v>41716</v>
      </c>
      <c r="G203" s="1">
        <v>41697</v>
      </c>
      <c r="H203" s="3">
        <f>IF(Table1[[#This Row],[ShippedDate]]="","",IF(Table1[[#This Row],[OrderDate]]="","",Table1[[#This Row],[ShippedDate]]-Table1[[#This Row],[OrderDate]]))</f>
        <v>9</v>
      </c>
      <c r="I203" s="3">
        <v>2</v>
      </c>
      <c r="J203" s="2">
        <v>53.3</v>
      </c>
      <c r="K203" s="2">
        <f>SUMIF(order_details!A:A,Table1[[#This Row],[orderID]],order_details!F:F)</f>
        <v>1838.2</v>
      </c>
      <c r="L203" s="9">
        <f>_xlfn.XLOOKUP(Table1[[#This Row],[orderID]],Table3[orderID],Table3[discount])</f>
        <v>0</v>
      </c>
      <c r="M203" s="2">
        <f>SUM(Table1[[#This Row],[Sales]],Table1[[#This Row],[freight]])</f>
        <v>1891.5</v>
      </c>
      <c r="N203" s="3">
        <f>_xlfn.XLOOKUP(Table1[[#This Row],[orderID]],Table3[orderID],Table3[quantity])</f>
        <v>14</v>
      </c>
      <c r="O203" s="6" t="str">
        <f>_xlfn.XLOOKUP(Table1[[#This Row],[CustomerID]],customers!A:A,customers!B:B)</f>
        <v>Blondesddsl père et fils</v>
      </c>
      <c r="P203" s="6" t="str">
        <f>_xlfn.XLOOKUP(Table1[[#This Row],[shipperID]],Table6[shipperID],Table6[companyName])</f>
        <v>United Package</v>
      </c>
      <c r="Q203">
        <f>YEAR(Table1[[#This Row],[OrderDate]])</f>
        <v>2014</v>
      </c>
      <c r="R203">
        <f>MONTH(Table1[[#This Row],[OrderDate]])</f>
        <v>2</v>
      </c>
      <c r="S203" t="str">
        <f>"Q"&amp;ROUNDUP(Table1[[#This Row],[month]]/3,0)</f>
        <v>Q1</v>
      </c>
      <c r="T203" t="str">
        <f>CONCATENATE(Table1[[#This Row],[year]],"-",Table1[[#This Row],[Quarter]])</f>
        <v>2014-Q1</v>
      </c>
      <c r="U203" s="6" t="str">
        <f>IF(H202="","Pending",IF(Table1[[#This Row],[Days to ship]]&lt;Table1[[#This Row],[RequiredDate]],"On Time","Late"))</f>
        <v>On Time</v>
      </c>
      <c r="V203">
        <f>_xlfn.XLOOKUP(Table1[[#This Row],[orderID]],Table3[orderID],Table3[unitPrice])</f>
        <v>24.8</v>
      </c>
    </row>
    <row r="204" spans="1:22" x14ac:dyDescent="0.45">
      <c r="A204" s="3">
        <v>10450</v>
      </c>
      <c r="B204" s="6" t="s">
        <v>228</v>
      </c>
      <c r="C204" s="3">
        <v>8</v>
      </c>
      <c r="D204" s="6" t="str">
        <f>_xlfn.XLOOKUP(Table1[[#This Row],[EmployeeID]],Table4[employeeID],Table4[employeeName])</f>
        <v>Laura Callahan</v>
      </c>
      <c r="E204" s="1">
        <v>41689</v>
      </c>
      <c r="F204" s="1">
        <v>41717</v>
      </c>
      <c r="G204" s="1">
        <v>41709</v>
      </c>
      <c r="H204" s="3">
        <f>IF(Table1[[#This Row],[ShippedDate]]="","",IF(Table1[[#This Row],[OrderDate]]="","",Table1[[#This Row],[ShippedDate]]-Table1[[#This Row],[OrderDate]]))</f>
        <v>20</v>
      </c>
      <c r="I204" s="3">
        <v>2</v>
      </c>
      <c r="J204" s="2">
        <v>7.23</v>
      </c>
      <c r="K204" s="2">
        <f>SUMIF(order_details!A:A,Table1[[#This Row],[orderID]],order_details!F:F)</f>
        <v>425.12</v>
      </c>
      <c r="L204" s="9">
        <f>_xlfn.XLOOKUP(Table1[[#This Row],[orderID]],Table3[orderID],Table3[discount])</f>
        <v>0.2</v>
      </c>
      <c r="M204" s="2">
        <f>SUM(Table1[[#This Row],[Sales]],Table1[[#This Row],[freight]])</f>
        <v>432.35</v>
      </c>
      <c r="N204" s="3">
        <f>_xlfn.XLOOKUP(Table1[[#This Row],[orderID]],Table3[orderID],Table3[quantity])</f>
        <v>20</v>
      </c>
      <c r="O204" s="6" t="str">
        <f>_xlfn.XLOOKUP(Table1[[#This Row],[CustomerID]],customers!A:A,customers!B:B)</f>
        <v>Victuailles en stock</v>
      </c>
      <c r="P204" s="6" t="str">
        <f>_xlfn.XLOOKUP(Table1[[#This Row],[shipperID]],Table6[shipperID],Table6[companyName])</f>
        <v>United Package</v>
      </c>
      <c r="Q204">
        <f>YEAR(Table1[[#This Row],[OrderDate]])</f>
        <v>2014</v>
      </c>
      <c r="R204">
        <f>MONTH(Table1[[#This Row],[OrderDate]])</f>
        <v>2</v>
      </c>
      <c r="S204" t="str">
        <f>"Q"&amp;ROUNDUP(Table1[[#This Row],[month]]/3,0)</f>
        <v>Q1</v>
      </c>
      <c r="T204" t="str">
        <f>CONCATENATE(Table1[[#This Row],[year]],"-",Table1[[#This Row],[Quarter]])</f>
        <v>2014-Q1</v>
      </c>
      <c r="U204" s="6" t="str">
        <f>IF(H203="","Pending",IF(Table1[[#This Row],[Days to ship]]&lt;Table1[[#This Row],[RequiredDate]],"On Time","Late"))</f>
        <v>On Time</v>
      </c>
      <c r="V204">
        <f>_xlfn.XLOOKUP(Table1[[#This Row],[orderID]],Table3[orderID],Table3[unitPrice])</f>
        <v>24.8</v>
      </c>
    </row>
    <row r="205" spans="1:22" x14ac:dyDescent="0.45">
      <c r="A205" s="3">
        <v>10451</v>
      </c>
      <c r="B205" s="6" t="s">
        <v>194</v>
      </c>
      <c r="C205" s="3">
        <v>4</v>
      </c>
      <c r="D205" s="6" t="str">
        <f>_xlfn.XLOOKUP(Table1[[#This Row],[EmployeeID]],Table4[employeeID],Table4[employeeName])</f>
        <v>Margaret Peacock</v>
      </c>
      <c r="E205" s="1">
        <v>41689</v>
      </c>
      <c r="F205" s="1">
        <v>41703</v>
      </c>
      <c r="G205" s="1">
        <v>41710</v>
      </c>
      <c r="H205" s="3">
        <f>IF(Table1[[#This Row],[ShippedDate]]="","",IF(Table1[[#This Row],[OrderDate]]="","",Table1[[#This Row],[ShippedDate]]-Table1[[#This Row],[OrderDate]]))</f>
        <v>21</v>
      </c>
      <c r="I205" s="3">
        <v>3</v>
      </c>
      <c r="J205" s="2">
        <v>189.09</v>
      </c>
      <c r="K205" s="2">
        <f>SUMIF(order_details!A:A,Table1[[#This Row],[orderID]],order_details!F:F)</f>
        <v>3849.6600000000003</v>
      </c>
      <c r="L205" s="9">
        <f>_xlfn.XLOOKUP(Table1[[#This Row],[orderID]],Table3[orderID],Table3[discount])</f>
        <v>0.1</v>
      </c>
      <c r="M205" s="2">
        <f>SUM(Table1[[#This Row],[Sales]],Table1[[#This Row],[freight]])</f>
        <v>4038.7500000000005</v>
      </c>
      <c r="N205" s="3">
        <f>_xlfn.XLOOKUP(Table1[[#This Row],[orderID]],Table3[orderID],Table3[quantity])</f>
        <v>120</v>
      </c>
      <c r="O205" s="6" t="str">
        <f>_xlfn.XLOOKUP(Table1[[#This Row],[CustomerID]],customers!A:A,customers!B:B)</f>
        <v>QUICK-Stop</v>
      </c>
      <c r="P205" s="6" t="str">
        <f>_xlfn.XLOOKUP(Table1[[#This Row],[shipperID]],Table6[shipperID],Table6[companyName])</f>
        <v>Federal Shipping</v>
      </c>
      <c r="Q205">
        <f>YEAR(Table1[[#This Row],[OrderDate]])</f>
        <v>2014</v>
      </c>
      <c r="R205">
        <f>MONTH(Table1[[#This Row],[OrderDate]])</f>
        <v>2</v>
      </c>
      <c r="S205" t="str">
        <f>"Q"&amp;ROUNDUP(Table1[[#This Row],[month]]/3,0)</f>
        <v>Q1</v>
      </c>
      <c r="T205" t="str">
        <f>CONCATENATE(Table1[[#This Row],[year]],"-",Table1[[#This Row],[Quarter]])</f>
        <v>2014-Q1</v>
      </c>
      <c r="U205" s="6" t="str">
        <f>IF(H204="","Pending",IF(Table1[[#This Row],[Days to ship]]&lt;Table1[[#This Row],[RequiredDate]],"On Time","Late"))</f>
        <v>On Time</v>
      </c>
      <c r="V205">
        <f>_xlfn.XLOOKUP(Table1[[#This Row],[orderID]],Table3[orderID],Table3[unitPrice])</f>
        <v>19.2</v>
      </c>
    </row>
    <row r="206" spans="1:22" x14ac:dyDescent="0.45">
      <c r="A206" s="3">
        <v>10452</v>
      </c>
      <c r="B206" s="6" t="s">
        <v>165</v>
      </c>
      <c r="C206" s="3">
        <v>8</v>
      </c>
      <c r="D206" s="6" t="str">
        <f>_xlfn.XLOOKUP(Table1[[#This Row],[EmployeeID]],Table4[employeeID],Table4[employeeName])</f>
        <v>Laura Callahan</v>
      </c>
      <c r="E206" s="1">
        <v>41690</v>
      </c>
      <c r="F206" s="1">
        <v>41718</v>
      </c>
      <c r="G206" s="1">
        <v>41696</v>
      </c>
      <c r="H206" s="3">
        <f>IF(Table1[[#This Row],[ShippedDate]]="","",IF(Table1[[#This Row],[OrderDate]]="","",Table1[[#This Row],[ShippedDate]]-Table1[[#This Row],[OrderDate]]))</f>
        <v>6</v>
      </c>
      <c r="I206" s="3">
        <v>1</v>
      </c>
      <c r="J206" s="2">
        <v>140.26</v>
      </c>
      <c r="K206" s="2">
        <f>SUMIF(order_details!A:A,Table1[[#This Row],[orderID]],order_details!F:F)</f>
        <v>2018.5</v>
      </c>
      <c r="L206" s="9">
        <f>_xlfn.XLOOKUP(Table1[[#This Row],[orderID]],Table3[orderID],Table3[discount])</f>
        <v>0</v>
      </c>
      <c r="M206" s="2">
        <f>SUM(Table1[[#This Row],[Sales]],Table1[[#This Row],[freight]])</f>
        <v>2158.7600000000002</v>
      </c>
      <c r="N206" s="3">
        <f>_xlfn.XLOOKUP(Table1[[#This Row],[orderID]],Table3[orderID],Table3[quantity])</f>
        <v>15</v>
      </c>
      <c r="O206" s="6" t="str">
        <f>_xlfn.XLOOKUP(Table1[[#This Row],[CustomerID]],customers!A:A,customers!B:B)</f>
        <v>Save-a-lot Markets</v>
      </c>
      <c r="P206" s="6" t="str">
        <f>_xlfn.XLOOKUP(Table1[[#This Row],[shipperID]],Table6[shipperID],Table6[companyName])</f>
        <v>Speedy Express</v>
      </c>
      <c r="Q206">
        <f>YEAR(Table1[[#This Row],[OrderDate]])</f>
        <v>2014</v>
      </c>
      <c r="R206">
        <f>MONTH(Table1[[#This Row],[OrderDate]])</f>
        <v>2</v>
      </c>
      <c r="S206" t="str">
        <f>"Q"&amp;ROUNDUP(Table1[[#This Row],[month]]/3,0)</f>
        <v>Q1</v>
      </c>
      <c r="T206" t="str">
        <f>CONCATENATE(Table1[[#This Row],[year]],"-",Table1[[#This Row],[Quarter]])</f>
        <v>2014-Q1</v>
      </c>
      <c r="U206" s="6" t="str">
        <f>IF(H205="","Pending",IF(Table1[[#This Row],[Days to ship]]&lt;Table1[[#This Row],[RequiredDate]],"On Time","Late"))</f>
        <v>On Time</v>
      </c>
      <c r="V206">
        <f>_xlfn.XLOOKUP(Table1[[#This Row],[orderID]],Table3[orderID],Table3[unitPrice])</f>
        <v>36.4</v>
      </c>
    </row>
    <row r="207" spans="1:22" x14ac:dyDescent="0.45">
      <c r="A207" s="3">
        <v>10453</v>
      </c>
      <c r="B207" s="6" t="s">
        <v>198</v>
      </c>
      <c r="C207" s="3">
        <v>1</v>
      </c>
      <c r="D207" s="6" t="str">
        <f>_xlfn.XLOOKUP(Table1[[#This Row],[EmployeeID]],Table4[employeeID],Table4[employeeName])</f>
        <v>Nancy Davolio</v>
      </c>
      <c r="E207" s="1">
        <v>41691</v>
      </c>
      <c r="F207" s="1">
        <v>41719</v>
      </c>
      <c r="G207" s="1">
        <v>41696</v>
      </c>
      <c r="H207" s="3">
        <f>IF(Table1[[#This Row],[ShippedDate]]="","",IF(Table1[[#This Row],[OrderDate]]="","",Table1[[#This Row],[ShippedDate]]-Table1[[#This Row],[OrderDate]]))</f>
        <v>5</v>
      </c>
      <c r="I207" s="3">
        <v>2</v>
      </c>
      <c r="J207" s="2">
        <v>25.36</v>
      </c>
      <c r="K207" s="2">
        <f>SUMIF(order_details!A:A,Table1[[#This Row],[orderID]],order_details!F:F)</f>
        <v>407.70000000000005</v>
      </c>
      <c r="L207" s="9">
        <f>_xlfn.XLOOKUP(Table1[[#This Row],[orderID]],Table3[orderID],Table3[discount])</f>
        <v>0.1</v>
      </c>
      <c r="M207" s="2">
        <f>SUM(Table1[[#This Row],[Sales]],Table1[[#This Row],[freight]])</f>
        <v>433.06000000000006</v>
      </c>
      <c r="N207" s="3">
        <f>_xlfn.XLOOKUP(Table1[[#This Row],[orderID]],Table3[orderID],Table3[quantity])</f>
        <v>15</v>
      </c>
      <c r="O207" s="6" t="str">
        <f>_xlfn.XLOOKUP(Table1[[#This Row],[CustomerID]],customers!A:A,customers!B:B)</f>
        <v>Around the Horn</v>
      </c>
      <c r="P207" s="6" t="str">
        <f>_xlfn.XLOOKUP(Table1[[#This Row],[shipperID]],Table6[shipperID],Table6[companyName])</f>
        <v>United Package</v>
      </c>
      <c r="Q207">
        <f>YEAR(Table1[[#This Row],[OrderDate]])</f>
        <v>2014</v>
      </c>
      <c r="R207">
        <f>MONTH(Table1[[#This Row],[OrderDate]])</f>
        <v>2</v>
      </c>
      <c r="S207" t="str">
        <f>"Q"&amp;ROUNDUP(Table1[[#This Row],[month]]/3,0)</f>
        <v>Q1</v>
      </c>
      <c r="T207" t="str">
        <f>CONCATENATE(Table1[[#This Row],[year]],"-",Table1[[#This Row],[Quarter]])</f>
        <v>2014-Q1</v>
      </c>
      <c r="U207" s="6" t="str">
        <f>IF(H206="","Pending",IF(Table1[[#This Row],[Days to ship]]&lt;Table1[[#This Row],[RequiredDate]],"On Time","Late"))</f>
        <v>On Time</v>
      </c>
      <c r="V207">
        <f>_xlfn.XLOOKUP(Table1[[#This Row],[orderID]],Table3[orderID],Table3[unitPrice])</f>
        <v>10.199999999999999</v>
      </c>
    </row>
    <row r="208" spans="1:22" x14ac:dyDescent="0.45">
      <c r="A208" s="3">
        <v>10454</v>
      </c>
      <c r="B208" s="6" t="s">
        <v>178</v>
      </c>
      <c r="C208" s="3">
        <v>4</v>
      </c>
      <c r="D208" s="6" t="str">
        <f>_xlfn.XLOOKUP(Table1[[#This Row],[EmployeeID]],Table4[employeeID],Table4[employeeName])</f>
        <v>Margaret Peacock</v>
      </c>
      <c r="E208" s="1">
        <v>41691</v>
      </c>
      <c r="F208" s="1">
        <v>41719</v>
      </c>
      <c r="G208" s="1">
        <v>41695</v>
      </c>
      <c r="H208" s="3">
        <f>IF(Table1[[#This Row],[ShippedDate]]="","",IF(Table1[[#This Row],[OrderDate]]="","",Table1[[#This Row],[ShippedDate]]-Table1[[#This Row],[OrderDate]]))</f>
        <v>4</v>
      </c>
      <c r="I208" s="3">
        <v>3</v>
      </c>
      <c r="J208" s="2">
        <v>2.74</v>
      </c>
      <c r="K208" s="2">
        <f>SUMIF(order_details!A:A,Table1[[#This Row],[orderID]],order_details!F:F)</f>
        <v>331.20000000000005</v>
      </c>
      <c r="L208" s="9">
        <f>_xlfn.XLOOKUP(Table1[[#This Row],[orderID]],Table3[orderID],Table3[discount])</f>
        <v>0.2</v>
      </c>
      <c r="M208" s="2">
        <f>SUM(Table1[[#This Row],[Sales]],Table1[[#This Row],[freight]])</f>
        <v>333.94000000000005</v>
      </c>
      <c r="N208" s="3">
        <f>_xlfn.XLOOKUP(Table1[[#This Row],[orderID]],Table3[orderID],Table3[quantity])</f>
        <v>20</v>
      </c>
      <c r="O208" s="6" t="str">
        <f>_xlfn.XLOOKUP(Table1[[#This Row],[CustomerID]],customers!A:A,customers!B:B)</f>
        <v>La maison d'Asie</v>
      </c>
      <c r="P208" s="6" t="str">
        <f>_xlfn.XLOOKUP(Table1[[#This Row],[shipperID]],Table6[shipperID],Table6[companyName])</f>
        <v>Federal Shipping</v>
      </c>
      <c r="Q208">
        <f>YEAR(Table1[[#This Row],[OrderDate]])</f>
        <v>2014</v>
      </c>
      <c r="R208">
        <f>MONTH(Table1[[#This Row],[OrderDate]])</f>
        <v>2</v>
      </c>
      <c r="S208" t="str">
        <f>"Q"&amp;ROUNDUP(Table1[[#This Row],[month]]/3,0)</f>
        <v>Q1</v>
      </c>
      <c r="T208" t="str">
        <f>CONCATENATE(Table1[[#This Row],[year]],"-",Table1[[#This Row],[Quarter]])</f>
        <v>2014-Q1</v>
      </c>
      <c r="U208" s="6" t="str">
        <f>IF(H207="","Pending",IF(Table1[[#This Row],[Days to ship]]&lt;Table1[[#This Row],[RequiredDate]],"On Time","Late"))</f>
        <v>On Time</v>
      </c>
      <c r="V208">
        <f>_xlfn.XLOOKUP(Table1[[#This Row],[orderID]],Table3[orderID],Table3[unitPrice])</f>
        <v>13.9</v>
      </c>
    </row>
    <row r="209" spans="1:22" x14ac:dyDescent="0.45">
      <c r="A209" s="3">
        <v>10455</v>
      </c>
      <c r="B209" s="6" t="s">
        <v>192</v>
      </c>
      <c r="C209" s="3">
        <v>8</v>
      </c>
      <c r="D209" s="6" t="str">
        <f>_xlfn.XLOOKUP(Table1[[#This Row],[EmployeeID]],Table4[employeeID],Table4[employeeName])</f>
        <v>Laura Callahan</v>
      </c>
      <c r="E209" s="1">
        <v>41694</v>
      </c>
      <c r="F209" s="1">
        <v>41736</v>
      </c>
      <c r="G209" s="1">
        <v>41701</v>
      </c>
      <c r="H209" s="3">
        <f>IF(Table1[[#This Row],[ShippedDate]]="","",IF(Table1[[#This Row],[OrderDate]]="","",Table1[[#This Row],[ShippedDate]]-Table1[[#This Row],[OrderDate]]))</f>
        <v>7</v>
      </c>
      <c r="I209" s="3">
        <v>2</v>
      </c>
      <c r="J209" s="2">
        <v>180.45</v>
      </c>
      <c r="K209" s="2">
        <f>SUMIF(order_details!A:A,Table1[[#This Row],[orderID]],order_details!F:F)</f>
        <v>2684</v>
      </c>
      <c r="L209" s="9">
        <f>_xlfn.XLOOKUP(Table1[[#This Row],[orderID]],Table3[orderID],Table3[discount])</f>
        <v>0</v>
      </c>
      <c r="M209" s="2">
        <f>SUM(Table1[[#This Row],[Sales]],Table1[[#This Row],[freight]])</f>
        <v>2864.45</v>
      </c>
      <c r="N209" s="3">
        <f>_xlfn.XLOOKUP(Table1[[#This Row],[orderID]],Table3[orderID],Table3[quantity])</f>
        <v>20</v>
      </c>
      <c r="O209" s="6" t="str">
        <f>_xlfn.XLOOKUP(Table1[[#This Row],[CustomerID]],customers!A:A,customers!B:B)</f>
        <v>Wartian Herkku</v>
      </c>
      <c r="P209" s="6" t="str">
        <f>_xlfn.XLOOKUP(Table1[[#This Row],[shipperID]],Table6[shipperID],Table6[companyName])</f>
        <v>United Package</v>
      </c>
      <c r="Q209">
        <f>YEAR(Table1[[#This Row],[OrderDate]])</f>
        <v>2014</v>
      </c>
      <c r="R209">
        <f>MONTH(Table1[[#This Row],[OrderDate]])</f>
        <v>2</v>
      </c>
      <c r="S209" t="str">
        <f>"Q"&amp;ROUNDUP(Table1[[#This Row],[month]]/3,0)</f>
        <v>Q1</v>
      </c>
      <c r="T209" t="str">
        <f>CONCATENATE(Table1[[#This Row],[year]],"-",Table1[[#This Row],[Quarter]])</f>
        <v>2014-Q1</v>
      </c>
      <c r="U209" s="6" t="str">
        <f>IF(H208="","Pending",IF(Table1[[#This Row],[Days to ship]]&lt;Table1[[#This Row],[RequiredDate]],"On Time","Late"))</f>
        <v>On Time</v>
      </c>
      <c r="V209">
        <f>_xlfn.XLOOKUP(Table1[[#This Row],[orderID]],Table3[orderID],Table3[unitPrice])</f>
        <v>14.4</v>
      </c>
    </row>
    <row r="210" spans="1:22" x14ac:dyDescent="0.45">
      <c r="A210" s="3">
        <v>10456</v>
      </c>
      <c r="B210" s="6" t="s">
        <v>191</v>
      </c>
      <c r="C210" s="3">
        <v>8</v>
      </c>
      <c r="D210" s="6" t="str">
        <f>_xlfn.XLOOKUP(Table1[[#This Row],[EmployeeID]],Table4[employeeID],Table4[employeeName])</f>
        <v>Laura Callahan</v>
      </c>
      <c r="E210" s="1">
        <v>41695</v>
      </c>
      <c r="F210" s="1">
        <v>41737</v>
      </c>
      <c r="G210" s="1">
        <v>41698</v>
      </c>
      <c r="H210" s="3">
        <f>IF(Table1[[#This Row],[ShippedDate]]="","",IF(Table1[[#This Row],[OrderDate]]="","",Table1[[#This Row],[ShippedDate]]-Table1[[#This Row],[OrderDate]]))</f>
        <v>3</v>
      </c>
      <c r="I210" s="3">
        <v>2</v>
      </c>
      <c r="J210" s="2">
        <v>8.1199999999999992</v>
      </c>
      <c r="K210" s="2">
        <f>SUMIF(order_details!A:A,Table1[[#This Row],[orderID]],order_details!F:F)</f>
        <v>557.59999999999991</v>
      </c>
      <c r="L210" s="9">
        <f>_xlfn.XLOOKUP(Table1[[#This Row],[orderID]],Table3[orderID],Table3[discount])</f>
        <v>0.15</v>
      </c>
      <c r="M210" s="2">
        <f>SUM(Table1[[#This Row],[Sales]],Table1[[#This Row],[freight]])</f>
        <v>565.71999999999991</v>
      </c>
      <c r="N210" s="3">
        <f>_xlfn.XLOOKUP(Table1[[#This Row],[orderID]],Table3[orderID],Table3[quantity])</f>
        <v>40</v>
      </c>
      <c r="O210" s="6" t="str">
        <f>_xlfn.XLOOKUP(Table1[[#This Row],[CustomerID]],customers!A:A,customers!B:B)</f>
        <v>Königlich Essen</v>
      </c>
      <c r="P210" s="6" t="str">
        <f>_xlfn.XLOOKUP(Table1[[#This Row],[shipperID]],Table6[shipperID],Table6[companyName])</f>
        <v>United Package</v>
      </c>
      <c r="Q210">
        <f>YEAR(Table1[[#This Row],[OrderDate]])</f>
        <v>2014</v>
      </c>
      <c r="R210">
        <f>MONTH(Table1[[#This Row],[OrderDate]])</f>
        <v>2</v>
      </c>
      <c r="S210" t="str">
        <f>"Q"&amp;ROUNDUP(Table1[[#This Row],[month]]/3,0)</f>
        <v>Q1</v>
      </c>
      <c r="T210" t="str">
        <f>CONCATENATE(Table1[[#This Row],[year]],"-",Table1[[#This Row],[Quarter]])</f>
        <v>2014-Q1</v>
      </c>
      <c r="U210" s="6" t="str">
        <f>IF(H209="","Pending",IF(Table1[[#This Row],[Days to ship]]&lt;Table1[[#This Row],[RequiredDate]],"On Time","Late"))</f>
        <v>On Time</v>
      </c>
      <c r="V210">
        <f>_xlfn.XLOOKUP(Table1[[#This Row],[orderID]],Table3[orderID],Table3[unitPrice])</f>
        <v>8</v>
      </c>
    </row>
    <row r="211" spans="1:22" x14ac:dyDescent="0.45">
      <c r="A211" s="3">
        <v>10457</v>
      </c>
      <c r="B211" s="6" t="s">
        <v>191</v>
      </c>
      <c r="C211" s="3">
        <v>2</v>
      </c>
      <c r="D211" s="6" t="str">
        <f>_xlfn.XLOOKUP(Table1[[#This Row],[EmployeeID]],Table4[employeeID],Table4[employeeName])</f>
        <v>Andrew Fuller</v>
      </c>
      <c r="E211" s="1">
        <v>41695</v>
      </c>
      <c r="F211" s="1">
        <v>41723</v>
      </c>
      <c r="G211" s="1">
        <v>41701</v>
      </c>
      <c r="H211" s="3">
        <f>IF(Table1[[#This Row],[ShippedDate]]="","",IF(Table1[[#This Row],[OrderDate]]="","",Table1[[#This Row],[ShippedDate]]-Table1[[#This Row],[OrderDate]]))</f>
        <v>6</v>
      </c>
      <c r="I211" s="3">
        <v>1</v>
      </c>
      <c r="J211" s="2">
        <v>11.57</v>
      </c>
      <c r="K211" s="2">
        <f>SUMIF(order_details!A:A,Table1[[#This Row],[orderID]],order_details!F:F)</f>
        <v>1584</v>
      </c>
      <c r="L211" s="9">
        <f>_xlfn.XLOOKUP(Table1[[#This Row],[orderID]],Table3[orderID],Table3[discount])</f>
        <v>0</v>
      </c>
      <c r="M211" s="2">
        <f>SUM(Table1[[#This Row],[Sales]],Table1[[#This Row],[freight]])</f>
        <v>1595.57</v>
      </c>
      <c r="N211" s="3">
        <f>_xlfn.XLOOKUP(Table1[[#This Row],[orderID]],Table3[orderID],Table3[quantity])</f>
        <v>36</v>
      </c>
      <c r="O211" s="6" t="str">
        <f>_xlfn.XLOOKUP(Table1[[#This Row],[CustomerID]],customers!A:A,customers!B:B)</f>
        <v>Königlich Essen</v>
      </c>
      <c r="P211" s="6" t="str">
        <f>_xlfn.XLOOKUP(Table1[[#This Row],[shipperID]],Table6[shipperID],Table6[companyName])</f>
        <v>Speedy Express</v>
      </c>
      <c r="Q211">
        <f>YEAR(Table1[[#This Row],[OrderDate]])</f>
        <v>2014</v>
      </c>
      <c r="R211">
        <f>MONTH(Table1[[#This Row],[OrderDate]])</f>
        <v>2</v>
      </c>
      <c r="S211" t="str">
        <f>"Q"&amp;ROUNDUP(Table1[[#This Row],[month]]/3,0)</f>
        <v>Q1</v>
      </c>
      <c r="T211" t="str">
        <f>CONCATENATE(Table1[[#This Row],[year]],"-",Table1[[#This Row],[Quarter]])</f>
        <v>2014-Q1</v>
      </c>
      <c r="U211" s="6" t="str">
        <f>IF(H210="","Pending",IF(Table1[[#This Row],[Days to ship]]&lt;Table1[[#This Row],[RequiredDate]],"On Time","Late"))</f>
        <v>On Time</v>
      </c>
      <c r="V211">
        <f>_xlfn.XLOOKUP(Table1[[#This Row],[orderID]],Table3[orderID],Table3[unitPrice])</f>
        <v>44</v>
      </c>
    </row>
    <row r="212" spans="1:22" x14ac:dyDescent="0.45">
      <c r="A212" s="3">
        <v>10458</v>
      </c>
      <c r="B212" s="6" t="s">
        <v>188</v>
      </c>
      <c r="C212" s="3">
        <v>7</v>
      </c>
      <c r="D212" s="6" t="str">
        <f>_xlfn.XLOOKUP(Table1[[#This Row],[EmployeeID]],Table4[employeeID],Table4[employeeName])</f>
        <v>Robert King</v>
      </c>
      <c r="E212" s="1">
        <v>41696</v>
      </c>
      <c r="F212" s="1">
        <v>41724</v>
      </c>
      <c r="G212" s="1">
        <v>41702</v>
      </c>
      <c r="H212" s="3">
        <f>IF(Table1[[#This Row],[ShippedDate]]="","",IF(Table1[[#This Row],[OrderDate]]="","",Table1[[#This Row],[ShippedDate]]-Table1[[#This Row],[OrderDate]]))</f>
        <v>6</v>
      </c>
      <c r="I212" s="3">
        <v>3</v>
      </c>
      <c r="J212" s="2">
        <v>147.06</v>
      </c>
      <c r="K212" s="2">
        <f>SUMIF(order_details!A:A,Table1[[#This Row],[orderID]],order_details!F:F)</f>
        <v>3891</v>
      </c>
      <c r="L212" s="9">
        <f>_xlfn.XLOOKUP(Table1[[#This Row],[orderID]],Table3[orderID],Table3[discount])</f>
        <v>0</v>
      </c>
      <c r="M212" s="2">
        <f>SUM(Table1[[#This Row],[Sales]],Table1[[#This Row],[freight]])</f>
        <v>4038.06</v>
      </c>
      <c r="N212" s="3">
        <f>_xlfn.XLOOKUP(Table1[[#This Row],[orderID]],Table3[orderID],Table3[quantity])</f>
        <v>30</v>
      </c>
      <c r="O212" s="6" t="str">
        <f>_xlfn.XLOOKUP(Table1[[#This Row],[CustomerID]],customers!A:A,customers!B:B)</f>
        <v>Suprêmes délices</v>
      </c>
      <c r="P212" s="6" t="str">
        <f>_xlfn.XLOOKUP(Table1[[#This Row],[shipperID]],Table6[shipperID],Table6[companyName])</f>
        <v>Federal Shipping</v>
      </c>
      <c r="Q212">
        <f>YEAR(Table1[[#This Row],[OrderDate]])</f>
        <v>2014</v>
      </c>
      <c r="R212">
        <f>MONTH(Table1[[#This Row],[OrderDate]])</f>
        <v>2</v>
      </c>
      <c r="S212" t="str">
        <f>"Q"&amp;ROUNDUP(Table1[[#This Row],[month]]/3,0)</f>
        <v>Q1</v>
      </c>
      <c r="T212" t="str">
        <f>CONCATENATE(Table1[[#This Row],[year]],"-",Table1[[#This Row],[Quarter]])</f>
        <v>2014-Q1</v>
      </c>
      <c r="U212" s="6" t="str">
        <f>IF(H211="","Pending",IF(Table1[[#This Row],[Days to ship]]&lt;Table1[[#This Row],[RequiredDate]],"On Time","Late"))</f>
        <v>On Time</v>
      </c>
      <c r="V212">
        <f>_xlfn.XLOOKUP(Table1[[#This Row],[orderID]],Table3[orderID],Table3[unitPrice])</f>
        <v>24.9</v>
      </c>
    </row>
    <row r="213" spans="1:22" x14ac:dyDescent="0.45">
      <c r="A213" s="3">
        <v>10459</v>
      </c>
      <c r="B213" s="6" t="s">
        <v>228</v>
      </c>
      <c r="C213" s="3">
        <v>4</v>
      </c>
      <c r="D213" s="6" t="str">
        <f>_xlfn.XLOOKUP(Table1[[#This Row],[EmployeeID]],Table4[employeeID],Table4[employeeName])</f>
        <v>Margaret Peacock</v>
      </c>
      <c r="E213" s="1">
        <v>41697</v>
      </c>
      <c r="F213" s="1">
        <v>41725</v>
      </c>
      <c r="G213" s="1">
        <v>41698</v>
      </c>
      <c r="H213" s="3">
        <f>IF(Table1[[#This Row],[ShippedDate]]="","",IF(Table1[[#This Row],[OrderDate]]="","",Table1[[#This Row],[ShippedDate]]-Table1[[#This Row],[OrderDate]]))</f>
        <v>1</v>
      </c>
      <c r="I213" s="3">
        <v>2</v>
      </c>
      <c r="J213" s="2">
        <v>25.09</v>
      </c>
      <c r="K213" s="2">
        <f>SUMIF(order_details!A:A,Table1[[#This Row],[orderID]],order_details!F:F)</f>
        <v>1659.1999999999998</v>
      </c>
      <c r="L213" s="9">
        <f>_xlfn.XLOOKUP(Table1[[#This Row],[orderID]],Table3[orderID],Table3[discount])</f>
        <v>0.05</v>
      </c>
      <c r="M213" s="2">
        <f>SUM(Table1[[#This Row],[Sales]],Table1[[#This Row],[freight]])</f>
        <v>1684.2899999999997</v>
      </c>
      <c r="N213" s="3">
        <f>_xlfn.XLOOKUP(Table1[[#This Row],[orderID]],Table3[orderID],Table3[quantity])</f>
        <v>16</v>
      </c>
      <c r="O213" s="6" t="str">
        <f>_xlfn.XLOOKUP(Table1[[#This Row],[CustomerID]],customers!A:A,customers!B:B)</f>
        <v>Victuailles en stock</v>
      </c>
      <c r="P213" s="6" t="str">
        <f>_xlfn.XLOOKUP(Table1[[#This Row],[shipperID]],Table6[shipperID],Table6[companyName])</f>
        <v>United Package</v>
      </c>
      <c r="Q213">
        <f>YEAR(Table1[[#This Row],[OrderDate]])</f>
        <v>2014</v>
      </c>
      <c r="R213">
        <f>MONTH(Table1[[#This Row],[OrderDate]])</f>
        <v>2</v>
      </c>
      <c r="S213" t="str">
        <f>"Q"&amp;ROUNDUP(Table1[[#This Row],[month]]/3,0)</f>
        <v>Q1</v>
      </c>
      <c r="T213" t="str">
        <f>CONCATENATE(Table1[[#This Row],[year]],"-",Table1[[#This Row],[Quarter]])</f>
        <v>2014-Q1</v>
      </c>
      <c r="U213" s="6" t="str">
        <f>IF(H212="","Pending",IF(Table1[[#This Row],[Days to ship]]&lt;Table1[[#This Row],[RequiredDate]],"On Time","Late"))</f>
        <v>On Time</v>
      </c>
      <c r="V213">
        <f>_xlfn.XLOOKUP(Table1[[#This Row],[orderID]],Table3[orderID],Table3[unitPrice])</f>
        <v>24</v>
      </c>
    </row>
    <row r="214" spans="1:22" x14ac:dyDescent="0.45">
      <c r="A214" s="3">
        <v>10460</v>
      </c>
      <c r="B214" s="6" t="s">
        <v>179</v>
      </c>
      <c r="C214" s="3">
        <v>8</v>
      </c>
      <c r="D214" s="6" t="str">
        <f>_xlfn.XLOOKUP(Table1[[#This Row],[EmployeeID]],Table4[employeeID],Table4[employeeName])</f>
        <v>Laura Callahan</v>
      </c>
      <c r="E214" s="1">
        <v>41698</v>
      </c>
      <c r="F214" s="1">
        <v>41726</v>
      </c>
      <c r="G214" s="1">
        <v>41701</v>
      </c>
      <c r="H214" s="3">
        <f>IF(Table1[[#This Row],[ShippedDate]]="","",IF(Table1[[#This Row],[OrderDate]]="","",Table1[[#This Row],[ShippedDate]]-Table1[[#This Row],[OrderDate]]))</f>
        <v>3</v>
      </c>
      <c r="I214" s="3">
        <v>1</v>
      </c>
      <c r="J214" s="2">
        <v>16.27</v>
      </c>
      <c r="K214" s="2">
        <f>SUMIF(order_details!A:A,Table1[[#This Row],[orderID]],order_details!F:F)</f>
        <v>176.1</v>
      </c>
      <c r="L214" s="9">
        <f>_xlfn.XLOOKUP(Table1[[#This Row],[orderID]],Table3[orderID],Table3[discount])</f>
        <v>0.25</v>
      </c>
      <c r="M214" s="2">
        <f>SUM(Table1[[#This Row],[Sales]],Table1[[#This Row],[freight]])</f>
        <v>192.37</v>
      </c>
      <c r="N214" s="3">
        <f>_xlfn.XLOOKUP(Table1[[#This Row],[orderID]],Table3[orderID],Table3[quantity])</f>
        <v>21</v>
      </c>
      <c r="O214" s="6" t="str">
        <f>_xlfn.XLOOKUP(Table1[[#This Row],[CustomerID]],customers!A:A,customers!B:B)</f>
        <v>Folk och fä HB</v>
      </c>
      <c r="P214" s="6" t="str">
        <f>_xlfn.XLOOKUP(Table1[[#This Row],[shipperID]],Table6[shipperID],Table6[companyName])</f>
        <v>Speedy Express</v>
      </c>
      <c r="Q214">
        <f>YEAR(Table1[[#This Row],[OrderDate]])</f>
        <v>2014</v>
      </c>
      <c r="R214">
        <f>MONTH(Table1[[#This Row],[OrderDate]])</f>
        <v>2</v>
      </c>
      <c r="S214" t="str">
        <f>"Q"&amp;ROUNDUP(Table1[[#This Row],[month]]/3,0)</f>
        <v>Q1</v>
      </c>
      <c r="T214" t="str">
        <f>CONCATENATE(Table1[[#This Row],[year]],"-",Table1[[#This Row],[Quarter]])</f>
        <v>2014-Q1</v>
      </c>
      <c r="U214" s="6" t="str">
        <f>IF(H213="","Pending",IF(Table1[[#This Row],[Days to ship]]&lt;Table1[[#This Row],[RequiredDate]],"On Time","Late"))</f>
        <v>On Time</v>
      </c>
      <c r="V214">
        <f>_xlfn.XLOOKUP(Table1[[#This Row],[orderID]],Table3[orderID],Table3[unitPrice])</f>
        <v>10</v>
      </c>
    </row>
    <row r="215" spans="1:22" x14ac:dyDescent="0.45">
      <c r="A215" s="3">
        <v>10461</v>
      </c>
      <c r="B215" s="6" t="s">
        <v>159</v>
      </c>
      <c r="C215" s="3">
        <v>1</v>
      </c>
      <c r="D215" s="6" t="str">
        <f>_xlfn.XLOOKUP(Table1[[#This Row],[EmployeeID]],Table4[employeeID],Table4[employeeName])</f>
        <v>Nancy Davolio</v>
      </c>
      <c r="E215" s="1">
        <v>41698</v>
      </c>
      <c r="F215" s="1">
        <v>41726</v>
      </c>
      <c r="G215" s="1">
        <v>41703</v>
      </c>
      <c r="H215" s="3">
        <f>IF(Table1[[#This Row],[ShippedDate]]="","",IF(Table1[[#This Row],[OrderDate]]="","",Table1[[#This Row],[ShippedDate]]-Table1[[#This Row],[OrderDate]]))</f>
        <v>5</v>
      </c>
      <c r="I215" s="3">
        <v>3</v>
      </c>
      <c r="J215" s="2">
        <v>148.61000000000001</v>
      </c>
      <c r="K215" s="2">
        <f>SUMIF(order_details!A:A,Table1[[#This Row],[orderID]],order_details!F:F)</f>
        <v>1538.7</v>
      </c>
      <c r="L215" s="9">
        <f>_xlfn.XLOOKUP(Table1[[#This Row],[orderID]],Table3[orderID],Table3[discount])</f>
        <v>0.25</v>
      </c>
      <c r="M215" s="2">
        <f>SUM(Table1[[#This Row],[Sales]],Table1[[#This Row],[freight]])</f>
        <v>1687.31</v>
      </c>
      <c r="N215" s="3">
        <f>_xlfn.XLOOKUP(Table1[[#This Row],[orderID]],Table3[orderID],Table3[quantity])</f>
        <v>40</v>
      </c>
      <c r="O215" s="6" t="str">
        <f>_xlfn.XLOOKUP(Table1[[#This Row],[CustomerID]],customers!A:A,customers!B:B)</f>
        <v>LILA-Supermercado</v>
      </c>
      <c r="P215" s="6" t="str">
        <f>_xlfn.XLOOKUP(Table1[[#This Row],[shipperID]],Table6[shipperID],Table6[companyName])</f>
        <v>Federal Shipping</v>
      </c>
      <c r="Q215">
        <f>YEAR(Table1[[#This Row],[OrderDate]])</f>
        <v>2014</v>
      </c>
      <c r="R215">
        <f>MONTH(Table1[[#This Row],[OrderDate]])</f>
        <v>2</v>
      </c>
      <c r="S215" t="str">
        <f>"Q"&amp;ROUNDUP(Table1[[#This Row],[month]]/3,0)</f>
        <v>Q1</v>
      </c>
      <c r="T215" t="str">
        <f>CONCATENATE(Table1[[#This Row],[year]],"-",Table1[[#This Row],[Quarter]])</f>
        <v>2014-Q1</v>
      </c>
      <c r="U215" s="6" t="str">
        <f>IF(H214="","Pending",IF(Table1[[#This Row],[Days to ship]]&lt;Table1[[#This Row],[RequiredDate]],"On Time","Late"))</f>
        <v>On Time</v>
      </c>
      <c r="V215">
        <f>_xlfn.XLOOKUP(Table1[[#This Row],[orderID]],Table3[orderID],Table3[unitPrice])</f>
        <v>8</v>
      </c>
    </row>
    <row r="216" spans="1:22" x14ac:dyDescent="0.45">
      <c r="A216" s="3">
        <v>10462</v>
      </c>
      <c r="B216" s="6" t="s">
        <v>229</v>
      </c>
      <c r="C216" s="3">
        <v>2</v>
      </c>
      <c r="D216" s="6" t="str">
        <f>_xlfn.XLOOKUP(Table1[[#This Row],[EmployeeID]],Table4[employeeID],Table4[employeeName])</f>
        <v>Andrew Fuller</v>
      </c>
      <c r="E216" s="1">
        <v>41701</v>
      </c>
      <c r="F216" s="1">
        <v>41729</v>
      </c>
      <c r="G216" s="1">
        <v>41716</v>
      </c>
      <c r="H216" s="3">
        <f>IF(Table1[[#This Row],[ShippedDate]]="","",IF(Table1[[#This Row],[OrderDate]]="","",Table1[[#This Row],[ShippedDate]]-Table1[[#This Row],[OrderDate]]))</f>
        <v>15</v>
      </c>
      <c r="I216" s="3">
        <v>1</v>
      </c>
      <c r="J216" s="2">
        <v>6.17</v>
      </c>
      <c r="K216" s="2">
        <f>SUMIF(order_details!A:A,Table1[[#This Row],[orderID]],order_details!F:F)</f>
        <v>156.00000000000003</v>
      </c>
      <c r="L216" s="9">
        <f>_xlfn.XLOOKUP(Table1[[#This Row],[orderID]],Table3[orderID],Table3[discount])</f>
        <v>0</v>
      </c>
      <c r="M216" s="2">
        <f>SUM(Table1[[#This Row],[Sales]],Table1[[#This Row],[freight]])</f>
        <v>162.17000000000002</v>
      </c>
      <c r="N216" s="3">
        <f>_xlfn.XLOOKUP(Table1[[#This Row],[orderID]],Table3[orderID],Table3[quantity])</f>
        <v>1</v>
      </c>
      <c r="O216" s="6" t="str">
        <f>_xlfn.XLOOKUP(Table1[[#This Row],[CustomerID]],customers!A:A,customers!B:B)</f>
        <v>Consolidated Holdings</v>
      </c>
      <c r="P216" s="6" t="str">
        <f>_xlfn.XLOOKUP(Table1[[#This Row],[shipperID]],Table6[shipperID],Table6[companyName])</f>
        <v>Speedy Express</v>
      </c>
      <c r="Q216">
        <f>YEAR(Table1[[#This Row],[OrderDate]])</f>
        <v>2014</v>
      </c>
      <c r="R216">
        <f>MONTH(Table1[[#This Row],[OrderDate]])</f>
        <v>3</v>
      </c>
      <c r="S216" t="str">
        <f>"Q"&amp;ROUNDUP(Table1[[#This Row],[month]]/3,0)</f>
        <v>Q1</v>
      </c>
      <c r="T216" t="str">
        <f>CONCATENATE(Table1[[#This Row],[year]],"-",Table1[[#This Row],[Quarter]])</f>
        <v>2014-Q1</v>
      </c>
      <c r="U216" s="6" t="str">
        <f>IF(H215="","Pending",IF(Table1[[#This Row],[Days to ship]]&lt;Table1[[#This Row],[RequiredDate]],"On Time","Late"))</f>
        <v>On Time</v>
      </c>
      <c r="V216">
        <f>_xlfn.XLOOKUP(Table1[[#This Row],[orderID]],Table3[orderID],Table3[unitPrice])</f>
        <v>4.8</v>
      </c>
    </row>
    <row r="217" spans="1:22" x14ac:dyDescent="0.45">
      <c r="A217" s="3">
        <v>10463</v>
      </c>
      <c r="B217" s="6" t="s">
        <v>188</v>
      </c>
      <c r="C217" s="3">
        <v>5</v>
      </c>
      <c r="D217" s="6" t="str">
        <f>_xlfn.XLOOKUP(Table1[[#This Row],[EmployeeID]],Table4[employeeID],Table4[employeeName])</f>
        <v>Steven Buchanan</v>
      </c>
      <c r="E217" s="1">
        <v>41702</v>
      </c>
      <c r="F217" s="1">
        <v>41730</v>
      </c>
      <c r="G217" s="1">
        <v>41704</v>
      </c>
      <c r="H217" s="3">
        <f>IF(Table1[[#This Row],[ShippedDate]]="","",IF(Table1[[#This Row],[OrderDate]]="","",Table1[[#This Row],[ShippedDate]]-Table1[[#This Row],[OrderDate]]))</f>
        <v>2</v>
      </c>
      <c r="I217" s="3">
        <v>3</v>
      </c>
      <c r="J217" s="2">
        <v>14.78</v>
      </c>
      <c r="K217" s="2">
        <f>SUMIF(order_details!A:A,Table1[[#This Row],[orderID]],order_details!F:F)</f>
        <v>713.3</v>
      </c>
      <c r="L217" s="9">
        <f>_xlfn.XLOOKUP(Table1[[#This Row],[orderID]],Table3[orderID],Table3[discount])</f>
        <v>0</v>
      </c>
      <c r="M217" s="2">
        <f>SUM(Table1[[#This Row],[Sales]],Table1[[#This Row],[freight]])</f>
        <v>728.07999999999993</v>
      </c>
      <c r="N217" s="3">
        <f>_xlfn.XLOOKUP(Table1[[#This Row],[orderID]],Table3[orderID],Table3[quantity])</f>
        <v>21</v>
      </c>
      <c r="O217" s="6" t="str">
        <f>_xlfn.XLOOKUP(Table1[[#This Row],[CustomerID]],customers!A:A,customers!B:B)</f>
        <v>Suprêmes délices</v>
      </c>
      <c r="P217" s="6" t="str">
        <f>_xlfn.XLOOKUP(Table1[[#This Row],[shipperID]],Table6[shipperID],Table6[companyName])</f>
        <v>Federal Shipping</v>
      </c>
      <c r="Q217">
        <f>YEAR(Table1[[#This Row],[OrderDate]])</f>
        <v>2014</v>
      </c>
      <c r="R217">
        <f>MONTH(Table1[[#This Row],[OrderDate]])</f>
        <v>3</v>
      </c>
      <c r="S217" t="str">
        <f>"Q"&amp;ROUNDUP(Table1[[#This Row],[month]]/3,0)</f>
        <v>Q1</v>
      </c>
      <c r="T217" t="str">
        <f>CONCATENATE(Table1[[#This Row],[year]],"-",Table1[[#This Row],[Quarter]])</f>
        <v>2014-Q1</v>
      </c>
      <c r="U217" s="6" t="str">
        <f>IF(H216="","Pending",IF(Table1[[#This Row],[Days to ship]]&lt;Table1[[#This Row],[RequiredDate]],"On Time","Late"))</f>
        <v>On Time</v>
      </c>
      <c r="V217">
        <f>_xlfn.XLOOKUP(Table1[[#This Row],[orderID]],Table3[orderID],Table3[unitPrice])</f>
        <v>7.3</v>
      </c>
    </row>
    <row r="218" spans="1:22" x14ac:dyDescent="0.45">
      <c r="A218" s="3">
        <v>10464</v>
      </c>
      <c r="B218" s="6" t="s">
        <v>216</v>
      </c>
      <c r="C218" s="3">
        <v>4</v>
      </c>
      <c r="D218" s="6" t="str">
        <f>_xlfn.XLOOKUP(Table1[[#This Row],[EmployeeID]],Table4[employeeID],Table4[employeeName])</f>
        <v>Margaret Peacock</v>
      </c>
      <c r="E218" s="1">
        <v>41702</v>
      </c>
      <c r="F218" s="1">
        <v>41730</v>
      </c>
      <c r="G218" s="1">
        <v>41712</v>
      </c>
      <c r="H218" s="3">
        <f>IF(Table1[[#This Row],[ShippedDate]]="","",IF(Table1[[#This Row],[OrderDate]]="","",Table1[[#This Row],[ShippedDate]]-Table1[[#This Row],[OrderDate]]))</f>
        <v>10</v>
      </c>
      <c r="I218" s="3">
        <v>2</v>
      </c>
      <c r="J218" s="2">
        <v>89</v>
      </c>
      <c r="K218" s="2">
        <f>SUMIF(order_details!A:A,Table1[[#This Row],[orderID]],order_details!F:F)</f>
        <v>1609.28</v>
      </c>
      <c r="L218" s="9">
        <f>_xlfn.XLOOKUP(Table1[[#This Row],[orderID]],Table3[orderID],Table3[discount])</f>
        <v>0.2</v>
      </c>
      <c r="M218" s="2">
        <f>SUM(Table1[[#This Row],[Sales]],Table1[[#This Row],[freight]])</f>
        <v>1698.28</v>
      </c>
      <c r="N218" s="3">
        <f>_xlfn.XLOOKUP(Table1[[#This Row],[orderID]],Table3[orderID],Table3[quantity])</f>
        <v>16</v>
      </c>
      <c r="O218" s="6" t="str">
        <f>_xlfn.XLOOKUP(Table1[[#This Row],[CustomerID]],customers!A:A,customers!B:B)</f>
        <v>Furia Bacalhau e Frutos do Mar</v>
      </c>
      <c r="P218" s="6" t="str">
        <f>_xlfn.XLOOKUP(Table1[[#This Row],[shipperID]],Table6[shipperID],Table6[companyName])</f>
        <v>United Package</v>
      </c>
      <c r="Q218">
        <f>YEAR(Table1[[#This Row],[OrderDate]])</f>
        <v>2014</v>
      </c>
      <c r="R218">
        <f>MONTH(Table1[[#This Row],[OrderDate]])</f>
        <v>3</v>
      </c>
      <c r="S218" t="str">
        <f>"Q"&amp;ROUNDUP(Table1[[#This Row],[month]]/3,0)</f>
        <v>Q1</v>
      </c>
      <c r="T218" t="str">
        <f>CONCATENATE(Table1[[#This Row],[year]],"-",Table1[[#This Row],[Quarter]])</f>
        <v>2014-Q1</v>
      </c>
      <c r="U218" s="6" t="str">
        <f>IF(H217="","Pending",IF(Table1[[#This Row],[Days to ship]]&lt;Table1[[#This Row],[RequiredDate]],"On Time","Late"))</f>
        <v>On Time</v>
      </c>
      <c r="V218">
        <f>_xlfn.XLOOKUP(Table1[[#This Row],[orderID]],Table3[orderID],Table3[unitPrice])</f>
        <v>17.600000000000001</v>
      </c>
    </row>
    <row r="219" spans="1:22" x14ac:dyDescent="0.45">
      <c r="A219" s="3">
        <v>10465</v>
      </c>
      <c r="B219" s="6" t="s">
        <v>207</v>
      </c>
      <c r="C219" s="3">
        <v>1</v>
      </c>
      <c r="D219" s="6" t="str">
        <f>_xlfn.XLOOKUP(Table1[[#This Row],[EmployeeID]],Table4[employeeID],Table4[employeeName])</f>
        <v>Nancy Davolio</v>
      </c>
      <c r="E219" s="1">
        <v>41703</v>
      </c>
      <c r="F219" s="1">
        <v>41731</v>
      </c>
      <c r="G219" s="1">
        <v>41712</v>
      </c>
      <c r="H219" s="3">
        <f>IF(Table1[[#This Row],[ShippedDate]]="","",IF(Table1[[#This Row],[OrderDate]]="","",Table1[[#This Row],[ShippedDate]]-Table1[[#This Row],[OrderDate]]))</f>
        <v>9</v>
      </c>
      <c r="I219" s="3">
        <v>3</v>
      </c>
      <c r="J219" s="2">
        <v>145.04</v>
      </c>
      <c r="K219" s="2">
        <f>SUMIF(order_details!A:A,Table1[[#This Row],[orderID]],order_details!F:F)</f>
        <v>2518</v>
      </c>
      <c r="L219" s="9">
        <f>_xlfn.XLOOKUP(Table1[[#This Row],[orderID]],Table3[orderID],Table3[discount])</f>
        <v>0</v>
      </c>
      <c r="M219" s="2">
        <f>SUM(Table1[[#This Row],[Sales]],Table1[[#This Row],[freight]])</f>
        <v>2663.04</v>
      </c>
      <c r="N219" s="3">
        <f>_xlfn.XLOOKUP(Table1[[#This Row],[orderID]],Table3[orderID],Table3[quantity])</f>
        <v>25</v>
      </c>
      <c r="O219" s="6" t="str">
        <f>_xlfn.XLOOKUP(Table1[[#This Row],[CustomerID]],customers!A:A,customers!B:B)</f>
        <v>Vaffeljernet</v>
      </c>
      <c r="P219" s="6" t="str">
        <f>_xlfn.XLOOKUP(Table1[[#This Row],[shipperID]],Table6[shipperID],Table6[companyName])</f>
        <v>Federal Shipping</v>
      </c>
      <c r="Q219">
        <f>YEAR(Table1[[#This Row],[OrderDate]])</f>
        <v>2014</v>
      </c>
      <c r="R219">
        <f>MONTH(Table1[[#This Row],[OrderDate]])</f>
        <v>3</v>
      </c>
      <c r="S219" t="str">
        <f>"Q"&amp;ROUNDUP(Table1[[#This Row],[month]]/3,0)</f>
        <v>Q1</v>
      </c>
      <c r="T219" t="str">
        <f>CONCATENATE(Table1[[#This Row],[year]],"-",Table1[[#This Row],[Quarter]])</f>
        <v>2014-Q1</v>
      </c>
      <c r="U219" s="6" t="str">
        <f>IF(H218="","Pending",IF(Table1[[#This Row],[Days to ship]]&lt;Table1[[#This Row],[RequiredDate]],"On Time","Late"))</f>
        <v>On Time</v>
      </c>
      <c r="V219">
        <f>_xlfn.XLOOKUP(Table1[[#This Row],[orderID]],Table3[orderID],Table3[unitPrice])</f>
        <v>3.6</v>
      </c>
    </row>
    <row r="220" spans="1:22" x14ac:dyDescent="0.45">
      <c r="A220" s="3">
        <v>10466</v>
      </c>
      <c r="B220" s="6" t="s">
        <v>185</v>
      </c>
      <c r="C220" s="3">
        <v>4</v>
      </c>
      <c r="D220" s="6" t="str">
        <f>_xlfn.XLOOKUP(Table1[[#This Row],[EmployeeID]],Table4[employeeID],Table4[employeeName])</f>
        <v>Margaret Peacock</v>
      </c>
      <c r="E220" s="1">
        <v>41704</v>
      </c>
      <c r="F220" s="1">
        <v>41732</v>
      </c>
      <c r="G220" s="1">
        <v>41711</v>
      </c>
      <c r="H220" s="3">
        <f>IF(Table1[[#This Row],[ShippedDate]]="","",IF(Table1[[#This Row],[OrderDate]]="","",Table1[[#This Row],[ShippedDate]]-Table1[[#This Row],[OrderDate]]))</f>
        <v>7</v>
      </c>
      <c r="I220" s="3">
        <v>1</v>
      </c>
      <c r="J220" s="2">
        <v>11.93</v>
      </c>
      <c r="K220" s="2">
        <f>SUMIF(order_details!A:A,Table1[[#This Row],[orderID]],order_details!F:F)</f>
        <v>216</v>
      </c>
      <c r="L220" s="9">
        <f>_xlfn.XLOOKUP(Table1[[#This Row],[orderID]],Table3[orderID],Table3[discount])</f>
        <v>0</v>
      </c>
      <c r="M220" s="2">
        <f>SUM(Table1[[#This Row],[Sales]],Table1[[#This Row],[freight]])</f>
        <v>227.93</v>
      </c>
      <c r="N220" s="3">
        <f>_xlfn.XLOOKUP(Table1[[#This Row],[orderID]],Table3[orderID],Table3[quantity])</f>
        <v>10</v>
      </c>
      <c r="O220" s="6" t="str">
        <f>_xlfn.XLOOKUP(Table1[[#This Row],[CustomerID]],customers!A:A,customers!B:B)</f>
        <v>Comércio Mineiro</v>
      </c>
      <c r="P220" s="6" t="str">
        <f>_xlfn.XLOOKUP(Table1[[#This Row],[shipperID]],Table6[shipperID],Table6[companyName])</f>
        <v>Speedy Express</v>
      </c>
      <c r="Q220">
        <f>YEAR(Table1[[#This Row],[OrderDate]])</f>
        <v>2014</v>
      </c>
      <c r="R220">
        <f>MONTH(Table1[[#This Row],[OrderDate]])</f>
        <v>3</v>
      </c>
      <c r="S220" t="str">
        <f>"Q"&amp;ROUNDUP(Table1[[#This Row],[month]]/3,0)</f>
        <v>Q1</v>
      </c>
      <c r="T220" t="str">
        <f>CONCATENATE(Table1[[#This Row],[year]],"-",Table1[[#This Row],[Quarter]])</f>
        <v>2014-Q1</v>
      </c>
      <c r="U220" s="6" t="str">
        <f>IF(H219="","Pending",IF(Table1[[#This Row],[Days to ship]]&lt;Table1[[#This Row],[RequiredDate]],"On Time","Late"))</f>
        <v>On Time</v>
      </c>
      <c r="V220">
        <f>_xlfn.XLOOKUP(Table1[[#This Row],[orderID]],Table3[orderID],Table3[unitPrice])</f>
        <v>16.8</v>
      </c>
    </row>
    <row r="221" spans="1:22" x14ac:dyDescent="0.45">
      <c r="A221" s="3">
        <v>10467</v>
      </c>
      <c r="B221" s="6" t="s">
        <v>217</v>
      </c>
      <c r="C221" s="3">
        <v>8</v>
      </c>
      <c r="D221" s="6" t="str">
        <f>_xlfn.XLOOKUP(Table1[[#This Row],[EmployeeID]],Table4[employeeID],Table4[employeeName])</f>
        <v>Laura Callahan</v>
      </c>
      <c r="E221" s="1">
        <v>41704</v>
      </c>
      <c r="F221" s="1">
        <v>41732</v>
      </c>
      <c r="G221" s="1">
        <v>41709</v>
      </c>
      <c r="H221" s="3">
        <f>IF(Table1[[#This Row],[ShippedDate]]="","",IF(Table1[[#This Row],[OrderDate]]="","",Table1[[#This Row],[ShippedDate]]-Table1[[#This Row],[OrderDate]]))</f>
        <v>5</v>
      </c>
      <c r="I221" s="3">
        <v>2</v>
      </c>
      <c r="J221" s="2">
        <v>4.93</v>
      </c>
      <c r="K221" s="2">
        <f>SUMIF(order_details!A:A,Table1[[#This Row],[orderID]],order_details!F:F)</f>
        <v>235.2</v>
      </c>
      <c r="L221" s="9">
        <f>_xlfn.XLOOKUP(Table1[[#This Row],[orderID]],Table3[orderID],Table3[discount])</f>
        <v>0</v>
      </c>
      <c r="M221" s="2">
        <f>SUM(Table1[[#This Row],[Sales]],Table1[[#This Row],[freight]])</f>
        <v>240.13</v>
      </c>
      <c r="N221" s="3">
        <f>_xlfn.XLOOKUP(Table1[[#This Row],[orderID]],Table3[orderID],Table3[quantity])</f>
        <v>28</v>
      </c>
      <c r="O221" s="6" t="str">
        <f>_xlfn.XLOOKUP(Table1[[#This Row],[CustomerID]],customers!A:A,customers!B:B)</f>
        <v>Magazzini Alimentari Riuniti</v>
      </c>
      <c r="P221" s="6" t="str">
        <f>_xlfn.XLOOKUP(Table1[[#This Row],[shipperID]],Table6[shipperID],Table6[companyName])</f>
        <v>United Package</v>
      </c>
      <c r="Q221">
        <f>YEAR(Table1[[#This Row],[OrderDate]])</f>
        <v>2014</v>
      </c>
      <c r="R221">
        <f>MONTH(Table1[[#This Row],[OrderDate]])</f>
        <v>3</v>
      </c>
      <c r="S221" t="str">
        <f>"Q"&amp;ROUNDUP(Table1[[#This Row],[month]]/3,0)</f>
        <v>Q1</v>
      </c>
      <c r="T221" t="str">
        <f>CONCATENATE(Table1[[#This Row],[year]],"-",Table1[[#This Row],[Quarter]])</f>
        <v>2014-Q1</v>
      </c>
      <c r="U221" s="6" t="str">
        <f>IF(H220="","Pending",IF(Table1[[#This Row],[Days to ship]]&lt;Table1[[#This Row],[RequiredDate]],"On Time","Late"))</f>
        <v>On Time</v>
      </c>
      <c r="V221">
        <f>_xlfn.XLOOKUP(Table1[[#This Row],[orderID]],Table3[orderID],Table3[unitPrice])</f>
        <v>3.6</v>
      </c>
    </row>
    <row r="222" spans="1:22" x14ac:dyDescent="0.45">
      <c r="A222" s="3">
        <v>10468</v>
      </c>
      <c r="B222" s="6" t="s">
        <v>191</v>
      </c>
      <c r="C222" s="3">
        <v>3</v>
      </c>
      <c r="D222" s="6" t="str">
        <f>_xlfn.XLOOKUP(Table1[[#This Row],[EmployeeID]],Table4[employeeID],Table4[employeeName])</f>
        <v>Janet Leverling</v>
      </c>
      <c r="E222" s="1">
        <v>41705</v>
      </c>
      <c r="F222" s="1">
        <v>41733</v>
      </c>
      <c r="G222" s="1">
        <v>41710</v>
      </c>
      <c r="H222" s="3">
        <f>IF(Table1[[#This Row],[ShippedDate]]="","",IF(Table1[[#This Row],[OrderDate]]="","",Table1[[#This Row],[ShippedDate]]-Table1[[#This Row],[OrderDate]]))</f>
        <v>5</v>
      </c>
      <c r="I222" s="3">
        <v>3</v>
      </c>
      <c r="J222" s="2">
        <v>44.12</v>
      </c>
      <c r="K222" s="2">
        <f>SUMIF(order_details!A:A,Table1[[#This Row],[orderID]],order_details!F:F)</f>
        <v>717.6</v>
      </c>
      <c r="L222" s="9">
        <f>_xlfn.XLOOKUP(Table1[[#This Row],[orderID]],Table3[orderID],Table3[discount])</f>
        <v>0</v>
      </c>
      <c r="M222" s="2">
        <f>SUM(Table1[[#This Row],[Sales]],Table1[[#This Row],[freight]])</f>
        <v>761.72</v>
      </c>
      <c r="N222" s="3">
        <f>_xlfn.XLOOKUP(Table1[[#This Row],[orderID]],Table3[orderID],Table3[quantity])</f>
        <v>8</v>
      </c>
      <c r="O222" s="6" t="str">
        <f>_xlfn.XLOOKUP(Table1[[#This Row],[CustomerID]],customers!A:A,customers!B:B)</f>
        <v>Königlich Essen</v>
      </c>
      <c r="P222" s="6" t="str">
        <f>_xlfn.XLOOKUP(Table1[[#This Row],[shipperID]],Table6[shipperID],Table6[companyName])</f>
        <v>Federal Shipping</v>
      </c>
      <c r="Q222">
        <f>YEAR(Table1[[#This Row],[OrderDate]])</f>
        <v>2014</v>
      </c>
      <c r="R222">
        <f>MONTH(Table1[[#This Row],[OrderDate]])</f>
        <v>3</v>
      </c>
      <c r="S222" t="str">
        <f>"Q"&amp;ROUNDUP(Table1[[#This Row],[month]]/3,0)</f>
        <v>Q1</v>
      </c>
      <c r="T222" t="str">
        <f>CONCATENATE(Table1[[#This Row],[year]],"-",Table1[[#This Row],[Quarter]])</f>
        <v>2014-Q1</v>
      </c>
      <c r="U222" s="6" t="str">
        <f>IF(H221="","Pending",IF(Table1[[#This Row],[Days to ship]]&lt;Table1[[#This Row],[RequiredDate]],"On Time","Late"))</f>
        <v>On Time</v>
      </c>
      <c r="V222">
        <f>_xlfn.XLOOKUP(Table1[[#This Row],[orderID]],Table3[orderID],Table3[unitPrice])</f>
        <v>20.7</v>
      </c>
    </row>
    <row r="223" spans="1:22" x14ac:dyDescent="0.45">
      <c r="A223" s="3">
        <v>10469</v>
      </c>
      <c r="B223" s="6" t="s">
        <v>164</v>
      </c>
      <c r="C223" s="3">
        <v>1</v>
      </c>
      <c r="D223" s="6" t="str">
        <f>_xlfn.XLOOKUP(Table1[[#This Row],[EmployeeID]],Table4[employeeID],Table4[employeeName])</f>
        <v>Nancy Davolio</v>
      </c>
      <c r="E223" s="1">
        <v>41708</v>
      </c>
      <c r="F223" s="1">
        <v>41736</v>
      </c>
      <c r="G223" s="1">
        <v>41712</v>
      </c>
      <c r="H223" s="3">
        <f>IF(Table1[[#This Row],[ShippedDate]]="","",IF(Table1[[#This Row],[OrderDate]]="","",Table1[[#This Row],[ShippedDate]]-Table1[[#This Row],[OrderDate]]))</f>
        <v>4</v>
      </c>
      <c r="I223" s="3">
        <v>1</v>
      </c>
      <c r="J223" s="2">
        <v>60.18</v>
      </c>
      <c r="K223" s="2">
        <f>SUMIF(order_details!A:A,Table1[[#This Row],[orderID]],order_details!F:F)</f>
        <v>956.67499999999995</v>
      </c>
      <c r="L223" s="9">
        <f>_xlfn.XLOOKUP(Table1[[#This Row],[orderID]],Table3[orderID],Table3[discount])</f>
        <v>0.15</v>
      </c>
      <c r="M223" s="2">
        <f>SUM(Table1[[#This Row],[Sales]],Table1[[#This Row],[freight]])</f>
        <v>1016.8549999999999</v>
      </c>
      <c r="N223" s="3">
        <f>_xlfn.XLOOKUP(Table1[[#This Row],[orderID]],Table3[orderID],Table3[quantity])</f>
        <v>40</v>
      </c>
      <c r="O223" s="6" t="str">
        <f>_xlfn.XLOOKUP(Table1[[#This Row],[CustomerID]],customers!A:A,customers!B:B)</f>
        <v>White Clover Markets</v>
      </c>
      <c r="P223" s="6" t="str">
        <f>_xlfn.XLOOKUP(Table1[[#This Row],[shipperID]],Table6[shipperID],Table6[companyName])</f>
        <v>Speedy Express</v>
      </c>
      <c r="Q223">
        <f>YEAR(Table1[[#This Row],[OrderDate]])</f>
        <v>2014</v>
      </c>
      <c r="R223">
        <f>MONTH(Table1[[#This Row],[OrderDate]])</f>
        <v>3</v>
      </c>
      <c r="S223" t="str">
        <f>"Q"&amp;ROUNDUP(Table1[[#This Row],[month]]/3,0)</f>
        <v>Q1</v>
      </c>
      <c r="T223" t="str">
        <f>CONCATENATE(Table1[[#This Row],[year]],"-",Table1[[#This Row],[Quarter]])</f>
        <v>2014-Q1</v>
      </c>
      <c r="U223" s="6" t="str">
        <f>IF(H222="","Pending",IF(Table1[[#This Row],[Days to ship]]&lt;Table1[[#This Row],[RequiredDate]],"On Time","Late"))</f>
        <v>On Time</v>
      </c>
      <c r="V223">
        <f>_xlfn.XLOOKUP(Table1[[#This Row],[orderID]],Table3[orderID],Table3[unitPrice])</f>
        <v>15.2</v>
      </c>
    </row>
    <row r="224" spans="1:22" x14ac:dyDescent="0.45">
      <c r="A224" s="3">
        <v>10470</v>
      </c>
      <c r="B224" s="6" t="s">
        <v>154</v>
      </c>
      <c r="C224" s="3">
        <v>4</v>
      </c>
      <c r="D224" s="6" t="str">
        <f>_xlfn.XLOOKUP(Table1[[#This Row],[EmployeeID]],Table4[employeeID],Table4[employeeName])</f>
        <v>Margaret Peacock</v>
      </c>
      <c r="E224" s="1">
        <v>41709</v>
      </c>
      <c r="F224" s="1">
        <v>41737</v>
      </c>
      <c r="G224" s="1">
        <v>41712</v>
      </c>
      <c r="H224" s="3">
        <f>IF(Table1[[#This Row],[ShippedDate]]="","",IF(Table1[[#This Row],[OrderDate]]="","",Table1[[#This Row],[ShippedDate]]-Table1[[#This Row],[OrderDate]]))</f>
        <v>3</v>
      </c>
      <c r="I224" s="3">
        <v>2</v>
      </c>
      <c r="J224" s="2">
        <v>64.56</v>
      </c>
      <c r="K224" s="2">
        <f>SUMIF(order_details!A:A,Table1[[#This Row],[orderID]],order_details!F:F)</f>
        <v>1820.8</v>
      </c>
      <c r="L224" s="9">
        <f>_xlfn.XLOOKUP(Table1[[#This Row],[orderID]],Table3[orderID],Table3[discount])</f>
        <v>0</v>
      </c>
      <c r="M224" s="2">
        <f>SUM(Table1[[#This Row],[Sales]],Table1[[#This Row],[freight]])</f>
        <v>1885.36</v>
      </c>
      <c r="N224" s="3">
        <f>_xlfn.XLOOKUP(Table1[[#This Row],[orderID]],Table3[orderID],Table3[quantity])</f>
        <v>30</v>
      </c>
      <c r="O224" s="6" t="str">
        <f>_xlfn.XLOOKUP(Table1[[#This Row],[CustomerID]],customers!A:A,customers!B:B)</f>
        <v>Bon app'</v>
      </c>
      <c r="P224" s="6" t="str">
        <f>_xlfn.XLOOKUP(Table1[[#This Row],[shipperID]],Table6[shipperID],Table6[companyName])</f>
        <v>United Package</v>
      </c>
      <c r="Q224">
        <f>YEAR(Table1[[#This Row],[OrderDate]])</f>
        <v>2014</v>
      </c>
      <c r="R224">
        <f>MONTH(Table1[[#This Row],[OrderDate]])</f>
        <v>3</v>
      </c>
      <c r="S224" t="str">
        <f>"Q"&amp;ROUNDUP(Table1[[#This Row],[month]]/3,0)</f>
        <v>Q1</v>
      </c>
      <c r="T224" t="str">
        <f>CONCATENATE(Table1[[#This Row],[year]],"-",Table1[[#This Row],[Quarter]])</f>
        <v>2014-Q1</v>
      </c>
      <c r="U224" s="6" t="str">
        <f>IF(H223="","Pending",IF(Table1[[#This Row],[Days to ship]]&lt;Table1[[#This Row],[RequiredDate]],"On Time","Late"))</f>
        <v>On Time</v>
      </c>
      <c r="V224">
        <f>_xlfn.XLOOKUP(Table1[[#This Row],[orderID]],Table3[orderID],Table3[unitPrice])</f>
        <v>50</v>
      </c>
    </row>
    <row r="225" spans="1:22" x14ac:dyDescent="0.45">
      <c r="A225" s="3">
        <v>10471</v>
      </c>
      <c r="B225" s="6" t="s">
        <v>193</v>
      </c>
      <c r="C225" s="3">
        <v>2</v>
      </c>
      <c r="D225" s="6" t="str">
        <f>_xlfn.XLOOKUP(Table1[[#This Row],[EmployeeID]],Table4[employeeID],Table4[employeeName])</f>
        <v>Andrew Fuller</v>
      </c>
      <c r="E225" s="1">
        <v>41709</v>
      </c>
      <c r="F225" s="1">
        <v>41737</v>
      </c>
      <c r="G225" s="1">
        <v>41716</v>
      </c>
      <c r="H225" s="3">
        <f>IF(Table1[[#This Row],[ShippedDate]]="","",IF(Table1[[#This Row],[OrderDate]]="","",Table1[[#This Row],[ShippedDate]]-Table1[[#This Row],[OrderDate]]))</f>
        <v>7</v>
      </c>
      <c r="I225" s="3">
        <v>3</v>
      </c>
      <c r="J225" s="2">
        <v>45.59</v>
      </c>
      <c r="K225" s="2">
        <f>SUMIF(order_details!A:A,Table1[[#This Row],[orderID]],order_details!F:F)</f>
        <v>1328</v>
      </c>
      <c r="L225" s="9">
        <f>_xlfn.XLOOKUP(Table1[[#This Row],[orderID]],Table3[orderID],Table3[discount])</f>
        <v>0</v>
      </c>
      <c r="M225" s="2">
        <f>SUM(Table1[[#This Row],[Sales]],Table1[[#This Row],[freight]])</f>
        <v>1373.59</v>
      </c>
      <c r="N225" s="3">
        <f>_xlfn.XLOOKUP(Table1[[#This Row],[orderID]],Table3[orderID],Table3[quantity])</f>
        <v>30</v>
      </c>
      <c r="O225" s="6" t="str">
        <f>_xlfn.XLOOKUP(Table1[[#This Row],[CustomerID]],customers!A:A,customers!B:B)</f>
        <v>B's Beverages</v>
      </c>
      <c r="P225" s="6" t="str">
        <f>_xlfn.XLOOKUP(Table1[[#This Row],[shipperID]],Table6[shipperID],Table6[companyName])</f>
        <v>Federal Shipping</v>
      </c>
      <c r="Q225">
        <f>YEAR(Table1[[#This Row],[OrderDate]])</f>
        <v>2014</v>
      </c>
      <c r="R225">
        <f>MONTH(Table1[[#This Row],[OrderDate]])</f>
        <v>3</v>
      </c>
      <c r="S225" t="str">
        <f>"Q"&amp;ROUNDUP(Table1[[#This Row],[month]]/3,0)</f>
        <v>Q1</v>
      </c>
      <c r="T225" t="str">
        <f>CONCATENATE(Table1[[#This Row],[year]],"-",Table1[[#This Row],[Quarter]])</f>
        <v>2014-Q1</v>
      </c>
      <c r="U225" s="6" t="str">
        <f>IF(H224="","Pending",IF(Table1[[#This Row],[Days to ship]]&lt;Table1[[#This Row],[RequiredDate]],"On Time","Late"))</f>
        <v>On Time</v>
      </c>
      <c r="V225">
        <f>_xlfn.XLOOKUP(Table1[[#This Row],[orderID]],Table3[orderID],Table3[unitPrice])</f>
        <v>24</v>
      </c>
    </row>
    <row r="226" spans="1:22" x14ac:dyDescent="0.45">
      <c r="A226" s="3">
        <v>10472</v>
      </c>
      <c r="B226" s="6" t="s">
        <v>226</v>
      </c>
      <c r="C226" s="3">
        <v>8</v>
      </c>
      <c r="D226" s="6" t="str">
        <f>_xlfn.XLOOKUP(Table1[[#This Row],[EmployeeID]],Table4[employeeID],Table4[employeeName])</f>
        <v>Laura Callahan</v>
      </c>
      <c r="E226" s="1">
        <v>41710</v>
      </c>
      <c r="F226" s="1">
        <v>41738</v>
      </c>
      <c r="G226" s="1">
        <v>41717</v>
      </c>
      <c r="H226" s="3">
        <f>IF(Table1[[#This Row],[ShippedDate]]="","",IF(Table1[[#This Row],[OrderDate]]="","",Table1[[#This Row],[ShippedDate]]-Table1[[#This Row],[OrderDate]]))</f>
        <v>7</v>
      </c>
      <c r="I226" s="3">
        <v>1</v>
      </c>
      <c r="J226" s="2">
        <v>4.2</v>
      </c>
      <c r="K226" s="2">
        <f>SUMIF(order_details!A:A,Table1[[#This Row],[orderID]],order_details!F:F)</f>
        <v>1036.8</v>
      </c>
      <c r="L226" s="9">
        <f>_xlfn.XLOOKUP(Table1[[#This Row],[orderID]],Table3[orderID],Table3[discount])</f>
        <v>0.05</v>
      </c>
      <c r="M226" s="2">
        <f>SUM(Table1[[#This Row],[Sales]],Table1[[#This Row],[freight]])</f>
        <v>1041</v>
      </c>
      <c r="N226" s="3">
        <f>_xlfn.XLOOKUP(Table1[[#This Row],[orderID]],Table3[orderID],Table3[quantity])</f>
        <v>80</v>
      </c>
      <c r="O226" s="6" t="str">
        <f>_xlfn.XLOOKUP(Table1[[#This Row],[CustomerID]],customers!A:A,customers!B:B)</f>
        <v>Seven Seas Imports</v>
      </c>
      <c r="P226" s="6" t="str">
        <f>_xlfn.XLOOKUP(Table1[[#This Row],[shipperID]],Table6[shipperID],Table6[companyName])</f>
        <v>Speedy Express</v>
      </c>
      <c r="Q226">
        <f>YEAR(Table1[[#This Row],[OrderDate]])</f>
        <v>2014</v>
      </c>
      <c r="R226">
        <f>MONTH(Table1[[#This Row],[OrderDate]])</f>
        <v>3</v>
      </c>
      <c r="S226" t="str">
        <f>"Q"&amp;ROUNDUP(Table1[[#This Row],[month]]/3,0)</f>
        <v>Q1</v>
      </c>
      <c r="T226" t="str">
        <f>CONCATENATE(Table1[[#This Row],[year]],"-",Table1[[#This Row],[Quarter]])</f>
        <v>2014-Q1</v>
      </c>
      <c r="U226" s="6" t="str">
        <f>IF(H225="","Pending",IF(Table1[[#This Row],[Days to ship]]&lt;Table1[[#This Row],[RequiredDate]],"On Time","Late"))</f>
        <v>On Time</v>
      </c>
      <c r="V226">
        <f>_xlfn.XLOOKUP(Table1[[#This Row],[orderID]],Table3[orderID],Table3[unitPrice])</f>
        <v>3.6</v>
      </c>
    </row>
    <row r="227" spans="1:22" x14ac:dyDescent="0.45">
      <c r="A227" s="3">
        <v>10473</v>
      </c>
      <c r="B227" s="6" t="s">
        <v>220</v>
      </c>
      <c r="C227" s="3">
        <v>1</v>
      </c>
      <c r="D227" s="6" t="str">
        <f>_xlfn.XLOOKUP(Table1[[#This Row],[EmployeeID]],Table4[employeeID],Table4[employeeName])</f>
        <v>Nancy Davolio</v>
      </c>
      <c r="E227" s="1">
        <v>41711</v>
      </c>
      <c r="F227" s="1">
        <v>41725</v>
      </c>
      <c r="G227" s="1">
        <v>41719</v>
      </c>
      <c r="H227" s="3">
        <f>IF(Table1[[#This Row],[ShippedDate]]="","",IF(Table1[[#This Row],[OrderDate]]="","",Table1[[#This Row],[ShippedDate]]-Table1[[#This Row],[OrderDate]]))</f>
        <v>8</v>
      </c>
      <c r="I227" s="3">
        <v>3</v>
      </c>
      <c r="J227" s="2">
        <v>16.37</v>
      </c>
      <c r="K227" s="2">
        <f>SUMIF(order_details!A:A,Table1[[#This Row],[orderID]],order_details!F:F)</f>
        <v>230.39999999999998</v>
      </c>
      <c r="L227" s="9">
        <f>_xlfn.XLOOKUP(Table1[[#This Row],[orderID]],Table3[orderID],Table3[discount])</f>
        <v>0</v>
      </c>
      <c r="M227" s="2">
        <f>SUM(Table1[[#This Row],[Sales]],Table1[[#This Row],[freight]])</f>
        <v>246.76999999999998</v>
      </c>
      <c r="N227" s="3">
        <f>_xlfn.XLOOKUP(Table1[[#This Row],[orderID]],Table3[orderID],Table3[quantity])</f>
        <v>12</v>
      </c>
      <c r="O227" s="6" t="str">
        <f>_xlfn.XLOOKUP(Table1[[#This Row],[CustomerID]],customers!A:A,customers!B:B)</f>
        <v>Island Trading</v>
      </c>
      <c r="P227" s="6" t="str">
        <f>_xlfn.XLOOKUP(Table1[[#This Row],[shipperID]],Table6[shipperID],Table6[companyName])</f>
        <v>Federal Shipping</v>
      </c>
      <c r="Q227">
        <f>YEAR(Table1[[#This Row],[OrderDate]])</f>
        <v>2014</v>
      </c>
      <c r="R227">
        <f>MONTH(Table1[[#This Row],[OrderDate]])</f>
        <v>3</v>
      </c>
      <c r="S227" t="str">
        <f>"Q"&amp;ROUNDUP(Table1[[#This Row],[month]]/3,0)</f>
        <v>Q1</v>
      </c>
      <c r="T227" t="str">
        <f>CONCATENATE(Table1[[#This Row],[year]],"-",Table1[[#This Row],[Quarter]])</f>
        <v>2014-Q1</v>
      </c>
      <c r="U227" s="6" t="str">
        <f>IF(H226="","Pending",IF(Table1[[#This Row],[Days to ship]]&lt;Table1[[#This Row],[RequiredDate]],"On Time","Late"))</f>
        <v>On Time</v>
      </c>
      <c r="V227">
        <f>_xlfn.XLOOKUP(Table1[[#This Row],[orderID]],Table3[orderID],Table3[unitPrice])</f>
        <v>2</v>
      </c>
    </row>
    <row r="228" spans="1:22" x14ac:dyDescent="0.45">
      <c r="A228" s="3">
        <v>10474</v>
      </c>
      <c r="B228" s="6" t="s">
        <v>157</v>
      </c>
      <c r="C228" s="3">
        <v>5</v>
      </c>
      <c r="D228" s="6" t="str">
        <f>_xlfn.XLOOKUP(Table1[[#This Row],[EmployeeID]],Table4[employeeID],Table4[employeeName])</f>
        <v>Steven Buchanan</v>
      </c>
      <c r="E228" s="1">
        <v>41711</v>
      </c>
      <c r="F228" s="1">
        <v>41739</v>
      </c>
      <c r="G228" s="1">
        <v>41719</v>
      </c>
      <c r="H228" s="3">
        <f>IF(Table1[[#This Row],[ShippedDate]]="","",IF(Table1[[#This Row],[OrderDate]]="","",Table1[[#This Row],[ShippedDate]]-Table1[[#This Row],[OrderDate]]))</f>
        <v>8</v>
      </c>
      <c r="I228" s="3">
        <v>2</v>
      </c>
      <c r="J228" s="2">
        <v>83.49</v>
      </c>
      <c r="K228" s="2">
        <f>SUMIF(order_details!A:A,Table1[[#This Row],[orderID]],order_details!F:F)</f>
        <v>1249.0999999999999</v>
      </c>
      <c r="L228" s="9">
        <f>_xlfn.XLOOKUP(Table1[[#This Row],[orderID]],Table3[orderID],Table3[discount])</f>
        <v>0</v>
      </c>
      <c r="M228" s="2">
        <f>SUM(Table1[[#This Row],[Sales]],Table1[[#This Row],[freight]])</f>
        <v>1332.59</v>
      </c>
      <c r="N228" s="3">
        <f>_xlfn.XLOOKUP(Table1[[#This Row],[orderID]],Table3[orderID],Table3[quantity])</f>
        <v>12</v>
      </c>
      <c r="O228" s="6" t="str">
        <f>_xlfn.XLOOKUP(Table1[[#This Row],[CustomerID]],customers!A:A,customers!B:B)</f>
        <v>Pericles Comidas clásicas</v>
      </c>
      <c r="P228" s="6" t="str">
        <f>_xlfn.XLOOKUP(Table1[[#This Row],[shipperID]],Table6[shipperID],Table6[companyName])</f>
        <v>United Package</v>
      </c>
      <c r="Q228">
        <f>YEAR(Table1[[#This Row],[OrderDate]])</f>
        <v>2014</v>
      </c>
      <c r="R228">
        <f>MONTH(Table1[[#This Row],[OrderDate]])</f>
        <v>3</v>
      </c>
      <c r="S228" t="str">
        <f>"Q"&amp;ROUNDUP(Table1[[#This Row],[month]]/3,0)</f>
        <v>Q1</v>
      </c>
      <c r="T228" t="str">
        <f>CONCATENATE(Table1[[#This Row],[year]],"-",Table1[[#This Row],[Quarter]])</f>
        <v>2014-Q1</v>
      </c>
      <c r="U228" s="6" t="str">
        <f>IF(H227="","Pending",IF(Table1[[#This Row],[Days to ship]]&lt;Table1[[#This Row],[RequiredDate]],"On Time","Late"))</f>
        <v>On Time</v>
      </c>
      <c r="V228">
        <f>_xlfn.XLOOKUP(Table1[[#This Row],[orderID]],Table3[orderID],Table3[unitPrice])</f>
        <v>18.600000000000001</v>
      </c>
    </row>
    <row r="229" spans="1:22" x14ac:dyDescent="0.45">
      <c r="A229" s="3">
        <v>10475</v>
      </c>
      <c r="B229" s="6" t="s">
        <v>188</v>
      </c>
      <c r="C229" s="3">
        <v>9</v>
      </c>
      <c r="D229" s="6" t="str">
        <f>_xlfn.XLOOKUP(Table1[[#This Row],[EmployeeID]],Table4[employeeID],Table4[employeeName])</f>
        <v>Anne Dodsworth</v>
      </c>
      <c r="E229" s="1">
        <v>41712</v>
      </c>
      <c r="F229" s="1">
        <v>41740</v>
      </c>
      <c r="G229" s="1">
        <v>41733</v>
      </c>
      <c r="H229" s="3">
        <f>IF(Table1[[#This Row],[ShippedDate]]="","",IF(Table1[[#This Row],[OrderDate]]="","",Table1[[#This Row],[ShippedDate]]-Table1[[#This Row],[OrderDate]]))</f>
        <v>21</v>
      </c>
      <c r="I229" s="3">
        <v>1</v>
      </c>
      <c r="J229" s="2">
        <v>68.52</v>
      </c>
      <c r="K229" s="2">
        <f>SUMIF(order_details!A:A,Table1[[#This Row],[orderID]],order_details!F:F)</f>
        <v>1505.18</v>
      </c>
      <c r="L229" s="9">
        <f>_xlfn.XLOOKUP(Table1[[#This Row],[orderID]],Table3[orderID],Table3[discount])</f>
        <v>0.15</v>
      </c>
      <c r="M229" s="2">
        <f>SUM(Table1[[#This Row],[Sales]],Table1[[#This Row],[freight]])</f>
        <v>1573.7</v>
      </c>
      <c r="N229" s="3">
        <f>_xlfn.XLOOKUP(Table1[[#This Row],[orderID]],Table3[orderID],Table3[quantity])</f>
        <v>35</v>
      </c>
      <c r="O229" s="6" t="str">
        <f>_xlfn.XLOOKUP(Table1[[#This Row],[CustomerID]],customers!A:A,customers!B:B)</f>
        <v>Suprêmes délices</v>
      </c>
      <c r="P229" s="6" t="str">
        <f>_xlfn.XLOOKUP(Table1[[#This Row],[shipperID]],Table6[shipperID],Table6[companyName])</f>
        <v>Speedy Express</v>
      </c>
      <c r="Q229">
        <f>YEAR(Table1[[#This Row],[OrderDate]])</f>
        <v>2014</v>
      </c>
      <c r="R229">
        <f>MONTH(Table1[[#This Row],[OrderDate]])</f>
        <v>3</v>
      </c>
      <c r="S229" t="str">
        <f>"Q"&amp;ROUNDUP(Table1[[#This Row],[month]]/3,0)</f>
        <v>Q1</v>
      </c>
      <c r="T229" t="str">
        <f>CONCATENATE(Table1[[#This Row],[year]],"-",Table1[[#This Row],[Quarter]])</f>
        <v>2014-Q1</v>
      </c>
      <c r="U229" s="6" t="str">
        <f>IF(H228="","Pending",IF(Table1[[#This Row],[Days to ship]]&lt;Table1[[#This Row],[RequiredDate]],"On Time","Late"))</f>
        <v>On Time</v>
      </c>
      <c r="V229">
        <f>_xlfn.XLOOKUP(Table1[[#This Row],[orderID]],Table3[orderID],Table3[unitPrice])</f>
        <v>10</v>
      </c>
    </row>
    <row r="230" spans="1:22" x14ac:dyDescent="0.45">
      <c r="A230" s="3">
        <v>10476</v>
      </c>
      <c r="B230" s="6" t="s">
        <v>174</v>
      </c>
      <c r="C230" s="3">
        <v>8</v>
      </c>
      <c r="D230" s="6" t="str">
        <f>_xlfn.XLOOKUP(Table1[[#This Row],[EmployeeID]],Table4[employeeID],Table4[employeeName])</f>
        <v>Laura Callahan</v>
      </c>
      <c r="E230" s="1">
        <v>41715</v>
      </c>
      <c r="F230" s="1">
        <v>41743</v>
      </c>
      <c r="G230" s="1">
        <v>41722</v>
      </c>
      <c r="H230" s="3">
        <f>IF(Table1[[#This Row],[ShippedDate]]="","",IF(Table1[[#This Row],[OrderDate]]="","",Table1[[#This Row],[ShippedDate]]-Table1[[#This Row],[OrderDate]]))</f>
        <v>7</v>
      </c>
      <c r="I230" s="3">
        <v>3</v>
      </c>
      <c r="J230" s="2">
        <v>4.41</v>
      </c>
      <c r="K230" s="2">
        <f>SUMIF(order_details!A:A,Table1[[#This Row],[orderID]],order_details!F:F)</f>
        <v>180.48</v>
      </c>
      <c r="L230" s="9">
        <f>_xlfn.XLOOKUP(Table1[[#This Row],[orderID]],Table3[orderID],Table3[discount])</f>
        <v>0.05</v>
      </c>
      <c r="M230" s="2">
        <f>SUM(Table1[[#This Row],[Sales]],Table1[[#This Row],[freight]])</f>
        <v>184.89</v>
      </c>
      <c r="N230" s="3">
        <f>_xlfn.XLOOKUP(Table1[[#This Row],[orderID]],Table3[orderID],Table3[quantity])</f>
        <v>2</v>
      </c>
      <c r="O230" s="6" t="str">
        <f>_xlfn.XLOOKUP(Table1[[#This Row],[CustomerID]],customers!A:A,customers!B:B)</f>
        <v>HILARION-Abastos</v>
      </c>
      <c r="P230" s="6" t="str">
        <f>_xlfn.XLOOKUP(Table1[[#This Row],[shipperID]],Table6[shipperID],Table6[companyName])</f>
        <v>Federal Shipping</v>
      </c>
      <c r="Q230">
        <f>YEAR(Table1[[#This Row],[OrderDate]])</f>
        <v>2014</v>
      </c>
      <c r="R230">
        <f>MONTH(Table1[[#This Row],[OrderDate]])</f>
        <v>3</v>
      </c>
      <c r="S230" t="str">
        <f>"Q"&amp;ROUNDUP(Table1[[#This Row],[month]]/3,0)</f>
        <v>Q1</v>
      </c>
      <c r="T230" t="str">
        <f>CONCATENATE(Table1[[#This Row],[year]],"-",Table1[[#This Row],[Quarter]])</f>
        <v>2014-Q1</v>
      </c>
      <c r="U230" s="6" t="str">
        <f>IF(H229="","Pending",IF(Table1[[#This Row],[Days to ship]]&lt;Table1[[#This Row],[RequiredDate]],"On Time","Late"))</f>
        <v>On Time</v>
      </c>
      <c r="V230">
        <f>_xlfn.XLOOKUP(Table1[[#This Row],[orderID]],Table3[orderID],Table3[unitPrice])</f>
        <v>19.2</v>
      </c>
    </row>
    <row r="231" spans="1:22" x14ac:dyDescent="0.45">
      <c r="A231" s="3">
        <v>10477</v>
      </c>
      <c r="B231" s="6" t="s">
        <v>203</v>
      </c>
      <c r="C231" s="3">
        <v>5</v>
      </c>
      <c r="D231" s="6" t="str">
        <f>_xlfn.XLOOKUP(Table1[[#This Row],[EmployeeID]],Table4[employeeID],Table4[employeeName])</f>
        <v>Steven Buchanan</v>
      </c>
      <c r="E231" s="1">
        <v>41715</v>
      </c>
      <c r="F231" s="1">
        <v>41743</v>
      </c>
      <c r="G231" s="1">
        <v>41723</v>
      </c>
      <c r="H231" s="3">
        <f>IF(Table1[[#This Row],[ShippedDate]]="","",IF(Table1[[#This Row],[OrderDate]]="","",Table1[[#This Row],[ShippedDate]]-Table1[[#This Row],[OrderDate]]))</f>
        <v>8</v>
      </c>
      <c r="I231" s="3">
        <v>2</v>
      </c>
      <c r="J231" s="2">
        <v>13.02</v>
      </c>
      <c r="K231" s="2">
        <f>SUMIF(order_details!A:A,Table1[[#This Row],[orderID]],order_details!F:F)</f>
        <v>558</v>
      </c>
      <c r="L231" s="9">
        <f>_xlfn.XLOOKUP(Table1[[#This Row],[orderID]],Table3[orderID],Table3[discount])</f>
        <v>0</v>
      </c>
      <c r="M231" s="2">
        <f>SUM(Table1[[#This Row],[Sales]],Table1[[#This Row],[freight]])</f>
        <v>571.02</v>
      </c>
      <c r="N231" s="3">
        <f>_xlfn.XLOOKUP(Table1[[#This Row],[orderID]],Table3[orderID],Table3[quantity])</f>
        <v>15</v>
      </c>
      <c r="O231" s="6" t="str">
        <f>_xlfn.XLOOKUP(Table1[[#This Row],[CustomerID]],customers!A:A,customers!B:B)</f>
        <v>Princesa Isabel Vinhos</v>
      </c>
      <c r="P231" s="6" t="str">
        <f>_xlfn.XLOOKUP(Table1[[#This Row],[shipperID]],Table6[shipperID],Table6[companyName])</f>
        <v>United Package</v>
      </c>
      <c r="Q231">
        <f>YEAR(Table1[[#This Row],[OrderDate]])</f>
        <v>2014</v>
      </c>
      <c r="R231">
        <f>MONTH(Table1[[#This Row],[OrderDate]])</f>
        <v>3</v>
      </c>
      <c r="S231" t="str">
        <f>"Q"&amp;ROUNDUP(Table1[[#This Row],[month]]/3,0)</f>
        <v>Q1</v>
      </c>
      <c r="T231" t="str">
        <f>CONCATENATE(Table1[[#This Row],[year]],"-",Table1[[#This Row],[Quarter]])</f>
        <v>2014-Q1</v>
      </c>
      <c r="U231" s="6" t="str">
        <f>IF(H230="","Pending",IF(Table1[[#This Row],[Days to ship]]&lt;Table1[[#This Row],[RequiredDate]],"On Time","Late"))</f>
        <v>On Time</v>
      </c>
      <c r="V231">
        <f>_xlfn.XLOOKUP(Table1[[#This Row],[orderID]],Table3[orderID],Table3[unitPrice])</f>
        <v>14.4</v>
      </c>
    </row>
    <row r="232" spans="1:22" x14ac:dyDescent="0.45">
      <c r="A232" s="3">
        <v>10478</v>
      </c>
      <c r="B232" s="6" t="s">
        <v>228</v>
      </c>
      <c r="C232" s="3">
        <v>2</v>
      </c>
      <c r="D232" s="6" t="str">
        <f>_xlfn.XLOOKUP(Table1[[#This Row],[EmployeeID]],Table4[employeeID],Table4[employeeName])</f>
        <v>Andrew Fuller</v>
      </c>
      <c r="E232" s="1">
        <v>41716</v>
      </c>
      <c r="F232" s="1">
        <v>41730</v>
      </c>
      <c r="G232" s="1">
        <v>41724</v>
      </c>
      <c r="H232" s="3">
        <f>IF(Table1[[#This Row],[ShippedDate]]="","",IF(Table1[[#This Row],[OrderDate]]="","",Table1[[#This Row],[ShippedDate]]-Table1[[#This Row],[OrderDate]]))</f>
        <v>8</v>
      </c>
      <c r="I232" s="3">
        <v>3</v>
      </c>
      <c r="J232" s="2">
        <v>4.8099999999999996</v>
      </c>
      <c r="K232" s="2">
        <f>SUMIF(order_details!A:A,Table1[[#This Row],[orderID]],order_details!F:F)</f>
        <v>471.2</v>
      </c>
      <c r="L232" s="9">
        <f>_xlfn.XLOOKUP(Table1[[#This Row],[orderID]],Table3[orderID],Table3[discount])</f>
        <v>0.05</v>
      </c>
      <c r="M232" s="2">
        <f>SUM(Table1[[#This Row],[Sales]],Table1[[#This Row],[freight]])</f>
        <v>476.01</v>
      </c>
      <c r="N232" s="3">
        <f>_xlfn.XLOOKUP(Table1[[#This Row],[orderID]],Table3[orderID],Table3[quantity])</f>
        <v>20</v>
      </c>
      <c r="O232" s="6" t="str">
        <f>_xlfn.XLOOKUP(Table1[[#This Row],[CustomerID]],customers!A:A,customers!B:B)</f>
        <v>Victuailles en stock</v>
      </c>
      <c r="P232" s="6" t="str">
        <f>_xlfn.XLOOKUP(Table1[[#This Row],[shipperID]],Table6[shipperID],Table6[companyName])</f>
        <v>Federal Shipping</v>
      </c>
      <c r="Q232">
        <f>YEAR(Table1[[#This Row],[OrderDate]])</f>
        <v>2014</v>
      </c>
      <c r="R232">
        <f>MONTH(Table1[[#This Row],[OrderDate]])</f>
        <v>3</v>
      </c>
      <c r="S232" t="str">
        <f>"Q"&amp;ROUNDUP(Table1[[#This Row],[month]]/3,0)</f>
        <v>Q1</v>
      </c>
      <c r="T232" t="str">
        <f>CONCATENATE(Table1[[#This Row],[year]],"-",Table1[[#This Row],[Quarter]])</f>
        <v>2014-Q1</v>
      </c>
      <c r="U232" s="6" t="str">
        <f>IF(H231="","Pending",IF(Table1[[#This Row],[Days to ship]]&lt;Table1[[#This Row],[RequiredDate]],"On Time","Late"))</f>
        <v>On Time</v>
      </c>
      <c r="V232">
        <f>_xlfn.XLOOKUP(Table1[[#This Row],[orderID]],Table3[orderID],Table3[unitPrice])</f>
        <v>24.8</v>
      </c>
    </row>
    <row r="233" spans="1:22" x14ac:dyDescent="0.45">
      <c r="A233" s="3">
        <v>10479</v>
      </c>
      <c r="B233" s="6" t="s">
        <v>153</v>
      </c>
      <c r="C233" s="3">
        <v>3</v>
      </c>
      <c r="D233" s="6" t="str">
        <f>_xlfn.XLOOKUP(Table1[[#This Row],[EmployeeID]],Table4[employeeID],Table4[employeeName])</f>
        <v>Janet Leverling</v>
      </c>
      <c r="E233" s="1">
        <v>41717</v>
      </c>
      <c r="F233" s="1">
        <v>41745</v>
      </c>
      <c r="G233" s="1">
        <v>41719</v>
      </c>
      <c r="H233" s="3">
        <f>IF(Table1[[#This Row],[ShippedDate]]="","",IF(Table1[[#This Row],[OrderDate]]="","",Table1[[#This Row],[ShippedDate]]-Table1[[#This Row],[OrderDate]]))</f>
        <v>2</v>
      </c>
      <c r="I233" s="3">
        <v>3</v>
      </c>
      <c r="J233" s="2">
        <v>708.95</v>
      </c>
      <c r="K233" s="2">
        <f>SUMIF(order_details!A:A,Table1[[#This Row],[orderID]],order_details!F:F)</f>
        <v>10495.6</v>
      </c>
      <c r="L233" s="9">
        <f>_xlfn.XLOOKUP(Table1[[#This Row],[orderID]],Table3[orderID],Table3[discount])</f>
        <v>0</v>
      </c>
      <c r="M233" s="2">
        <f>SUM(Table1[[#This Row],[Sales]],Table1[[#This Row],[freight]])</f>
        <v>11204.550000000001</v>
      </c>
      <c r="N233" s="3">
        <f>_xlfn.XLOOKUP(Table1[[#This Row],[orderID]],Table3[orderID],Table3[quantity])</f>
        <v>30</v>
      </c>
      <c r="O233" s="6" t="str">
        <f>_xlfn.XLOOKUP(Table1[[#This Row],[CustomerID]],customers!A:A,customers!B:B)</f>
        <v>Rattlesnake Canyon Grocery</v>
      </c>
      <c r="P233" s="6" t="str">
        <f>_xlfn.XLOOKUP(Table1[[#This Row],[shipperID]],Table6[shipperID],Table6[companyName])</f>
        <v>Federal Shipping</v>
      </c>
      <c r="Q233">
        <f>YEAR(Table1[[#This Row],[OrderDate]])</f>
        <v>2014</v>
      </c>
      <c r="R233">
        <f>MONTH(Table1[[#This Row],[OrderDate]])</f>
        <v>3</v>
      </c>
      <c r="S233" t="str">
        <f>"Q"&amp;ROUNDUP(Table1[[#This Row],[month]]/3,0)</f>
        <v>Q1</v>
      </c>
      <c r="T233" t="str">
        <f>CONCATENATE(Table1[[#This Row],[year]],"-",Table1[[#This Row],[Quarter]])</f>
        <v>2014-Q1</v>
      </c>
      <c r="U233" s="6" t="str">
        <f>IF(H232="","Pending",IF(Table1[[#This Row],[Days to ship]]&lt;Table1[[#This Row],[RequiredDate]],"On Time","Late"))</f>
        <v>On Time</v>
      </c>
      <c r="V233">
        <f>_xlfn.XLOOKUP(Table1[[#This Row],[orderID]],Table3[orderID],Table3[unitPrice])</f>
        <v>210.8</v>
      </c>
    </row>
    <row r="234" spans="1:22" x14ac:dyDescent="0.45">
      <c r="A234" s="3">
        <v>10480</v>
      </c>
      <c r="B234" s="6" t="s">
        <v>234</v>
      </c>
      <c r="C234" s="3">
        <v>6</v>
      </c>
      <c r="D234" s="6" t="str">
        <f>_xlfn.XLOOKUP(Table1[[#This Row],[EmployeeID]],Table4[employeeID],Table4[employeeName])</f>
        <v>Michael Suyama</v>
      </c>
      <c r="E234" s="1">
        <v>41718</v>
      </c>
      <c r="F234" s="1">
        <v>41746</v>
      </c>
      <c r="G234" s="1">
        <v>41722</v>
      </c>
      <c r="H234" s="3">
        <f>IF(Table1[[#This Row],[ShippedDate]]="","",IF(Table1[[#This Row],[OrderDate]]="","",Table1[[#This Row],[ShippedDate]]-Table1[[#This Row],[OrderDate]]))</f>
        <v>4</v>
      </c>
      <c r="I234" s="3">
        <v>2</v>
      </c>
      <c r="J234" s="2">
        <v>1.35</v>
      </c>
      <c r="K234" s="2">
        <f>SUMIF(order_details!A:A,Table1[[#This Row],[orderID]],order_details!F:F)</f>
        <v>756</v>
      </c>
      <c r="L234" s="9">
        <f>_xlfn.XLOOKUP(Table1[[#This Row],[orderID]],Table3[orderID],Table3[discount])</f>
        <v>0</v>
      </c>
      <c r="M234" s="2">
        <f>SUM(Table1[[#This Row],[Sales]],Table1[[#This Row],[freight]])</f>
        <v>757.35</v>
      </c>
      <c r="N234" s="3">
        <f>_xlfn.XLOOKUP(Table1[[#This Row],[orderID]],Table3[orderID],Table3[quantity])</f>
        <v>30</v>
      </c>
      <c r="O234" s="6" t="str">
        <f>_xlfn.XLOOKUP(Table1[[#This Row],[CustomerID]],customers!A:A,customers!B:B)</f>
        <v>Folies gourmandes</v>
      </c>
      <c r="P234" s="6" t="str">
        <f>_xlfn.XLOOKUP(Table1[[#This Row],[shipperID]],Table6[shipperID],Table6[companyName])</f>
        <v>United Package</v>
      </c>
      <c r="Q234">
        <f>YEAR(Table1[[#This Row],[OrderDate]])</f>
        <v>2014</v>
      </c>
      <c r="R234">
        <f>MONTH(Table1[[#This Row],[OrderDate]])</f>
        <v>3</v>
      </c>
      <c r="S234" t="str">
        <f>"Q"&amp;ROUNDUP(Table1[[#This Row],[month]]/3,0)</f>
        <v>Q1</v>
      </c>
      <c r="T234" t="str">
        <f>CONCATENATE(Table1[[#This Row],[year]],"-",Table1[[#This Row],[Quarter]])</f>
        <v>2014-Q1</v>
      </c>
      <c r="U234" s="6" t="str">
        <f>IF(H233="","Pending",IF(Table1[[#This Row],[Days to ship]]&lt;Table1[[#This Row],[RequiredDate]],"On Time","Late"))</f>
        <v>On Time</v>
      </c>
      <c r="V234">
        <f>_xlfn.XLOOKUP(Table1[[#This Row],[orderID]],Table3[orderID],Table3[unitPrice])</f>
        <v>7.6</v>
      </c>
    </row>
    <row r="235" spans="1:22" x14ac:dyDescent="0.45">
      <c r="A235" s="3">
        <v>10481</v>
      </c>
      <c r="B235" s="6" t="s">
        <v>170</v>
      </c>
      <c r="C235" s="3">
        <v>8</v>
      </c>
      <c r="D235" s="6" t="str">
        <f>_xlfn.XLOOKUP(Table1[[#This Row],[EmployeeID]],Table4[employeeID],Table4[employeeName])</f>
        <v>Laura Callahan</v>
      </c>
      <c r="E235" s="1">
        <v>41718</v>
      </c>
      <c r="F235" s="1">
        <v>41746</v>
      </c>
      <c r="G235" s="1">
        <v>41723</v>
      </c>
      <c r="H235" s="3">
        <f>IF(Table1[[#This Row],[ShippedDate]]="","",IF(Table1[[#This Row],[OrderDate]]="","",Table1[[#This Row],[ShippedDate]]-Table1[[#This Row],[OrderDate]]))</f>
        <v>5</v>
      </c>
      <c r="I235" s="3">
        <v>2</v>
      </c>
      <c r="J235" s="2">
        <v>64.33</v>
      </c>
      <c r="K235" s="2">
        <f>SUMIF(order_details!A:A,Table1[[#This Row],[orderID]],order_details!F:F)</f>
        <v>1472</v>
      </c>
      <c r="L235" s="9">
        <f>_xlfn.XLOOKUP(Table1[[#This Row],[orderID]],Table3[orderID],Table3[discount])</f>
        <v>0</v>
      </c>
      <c r="M235" s="2">
        <f>SUM(Table1[[#This Row],[Sales]],Table1[[#This Row],[freight]])</f>
        <v>1536.33</v>
      </c>
      <c r="N235" s="3">
        <f>_xlfn.XLOOKUP(Table1[[#This Row],[orderID]],Table3[orderID],Table3[quantity])</f>
        <v>24</v>
      </c>
      <c r="O235" s="6" t="str">
        <f>_xlfn.XLOOKUP(Table1[[#This Row],[CustomerID]],customers!A:A,customers!B:B)</f>
        <v>Ricardo Adocicados</v>
      </c>
      <c r="P235" s="6" t="str">
        <f>_xlfn.XLOOKUP(Table1[[#This Row],[shipperID]],Table6[shipperID],Table6[companyName])</f>
        <v>United Package</v>
      </c>
      <c r="Q235">
        <f>YEAR(Table1[[#This Row],[OrderDate]])</f>
        <v>2014</v>
      </c>
      <c r="R235">
        <f>MONTH(Table1[[#This Row],[OrderDate]])</f>
        <v>3</v>
      </c>
      <c r="S235" t="str">
        <f>"Q"&amp;ROUNDUP(Table1[[#This Row],[month]]/3,0)</f>
        <v>Q1</v>
      </c>
      <c r="T235" t="str">
        <f>CONCATENATE(Table1[[#This Row],[year]],"-",Table1[[#This Row],[Quarter]])</f>
        <v>2014-Q1</v>
      </c>
      <c r="U235" s="6" t="str">
        <f>IF(H234="","Pending",IF(Table1[[#This Row],[Days to ship]]&lt;Table1[[#This Row],[RequiredDate]],"On Time","Late"))</f>
        <v>On Time</v>
      </c>
      <c r="V235">
        <f>_xlfn.XLOOKUP(Table1[[#This Row],[orderID]],Table3[orderID],Table3[unitPrice])</f>
        <v>16</v>
      </c>
    </row>
    <row r="236" spans="1:22" x14ac:dyDescent="0.45">
      <c r="A236" s="3">
        <v>10482</v>
      </c>
      <c r="B236" s="6" t="s">
        <v>240</v>
      </c>
      <c r="C236" s="3">
        <v>1</v>
      </c>
      <c r="D236" s="6" t="str">
        <f>_xlfn.XLOOKUP(Table1[[#This Row],[EmployeeID]],Table4[employeeID],Table4[employeeName])</f>
        <v>Nancy Davolio</v>
      </c>
      <c r="E236" s="1">
        <v>41719</v>
      </c>
      <c r="F236" s="1">
        <v>41747</v>
      </c>
      <c r="G236" s="1">
        <v>41739</v>
      </c>
      <c r="H236" s="3">
        <f>IF(Table1[[#This Row],[ShippedDate]]="","",IF(Table1[[#This Row],[OrderDate]]="","",Table1[[#This Row],[ShippedDate]]-Table1[[#This Row],[OrderDate]]))</f>
        <v>20</v>
      </c>
      <c r="I236" s="3">
        <v>3</v>
      </c>
      <c r="J236" s="2">
        <v>7.48</v>
      </c>
      <c r="K236" s="2">
        <f>SUMIF(order_details!A:A,Table1[[#This Row],[orderID]],order_details!F:F)</f>
        <v>147</v>
      </c>
      <c r="L236" s="9">
        <f>_xlfn.XLOOKUP(Table1[[#This Row],[orderID]],Table3[orderID],Table3[discount])</f>
        <v>0</v>
      </c>
      <c r="M236" s="2">
        <f>SUM(Table1[[#This Row],[Sales]],Table1[[#This Row],[freight]])</f>
        <v>154.47999999999999</v>
      </c>
      <c r="N236" s="3">
        <f>_xlfn.XLOOKUP(Table1[[#This Row],[orderID]],Table3[orderID],Table3[quantity])</f>
        <v>10</v>
      </c>
      <c r="O236" s="6" t="str">
        <f>_xlfn.XLOOKUP(Table1[[#This Row],[CustomerID]],customers!A:A,customers!B:B)</f>
        <v>Lazy K Kountry Store</v>
      </c>
      <c r="P236" s="6" t="str">
        <f>_xlfn.XLOOKUP(Table1[[#This Row],[shipperID]],Table6[shipperID],Table6[companyName])</f>
        <v>Federal Shipping</v>
      </c>
      <c r="Q236">
        <f>YEAR(Table1[[#This Row],[OrderDate]])</f>
        <v>2014</v>
      </c>
      <c r="R236">
        <f>MONTH(Table1[[#This Row],[OrderDate]])</f>
        <v>3</v>
      </c>
      <c r="S236" t="str">
        <f>"Q"&amp;ROUNDUP(Table1[[#This Row],[month]]/3,0)</f>
        <v>Q1</v>
      </c>
      <c r="T236" t="str">
        <f>CONCATENATE(Table1[[#This Row],[year]],"-",Table1[[#This Row],[Quarter]])</f>
        <v>2014-Q1</v>
      </c>
      <c r="U236" s="6" t="str">
        <f>IF(H235="","Pending",IF(Table1[[#This Row],[Days to ship]]&lt;Table1[[#This Row],[RequiredDate]],"On Time","Late"))</f>
        <v>On Time</v>
      </c>
      <c r="V236">
        <f>_xlfn.XLOOKUP(Table1[[#This Row],[orderID]],Table3[orderID],Table3[unitPrice])</f>
        <v>14.7</v>
      </c>
    </row>
    <row r="237" spans="1:22" x14ac:dyDescent="0.45">
      <c r="A237" s="3">
        <v>10483</v>
      </c>
      <c r="B237" s="6" t="s">
        <v>164</v>
      </c>
      <c r="C237" s="3">
        <v>7</v>
      </c>
      <c r="D237" s="6" t="str">
        <f>_xlfn.XLOOKUP(Table1[[#This Row],[EmployeeID]],Table4[employeeID],Table4[employeeName])</f>
        <v>Robert King</v>
      </c>
      <c r="E237" s="1">
        <v>41722</v>
      </c>
      <c r="F237" s="1">
        <v>41750</v>
      </c>
      <c r="G237" s="1">
        <v>41754</v>
      </c>
      <c r="H237" s="3">
        <f>IF(Table1[[#This Row],[ShippedDate]]="","",IF(Table1[[#This Row],[OrderDate]]="","",Table1[[#This Row],[ShippedDate]]-Table1[[#This Row],[OrderDate]]))</f>
        <v>32</v>
      </c>
      <c r="I237" s="3">
        <v>2</v>
      </c>
      <c r="J237" s="2">
        <v>15.28</v>
      </c>
      <c r="K237" s="2">
        <f>SUMIF(order_details!A:A,Table1[[#This Row],[orderID]],order_details!F:F)</f>
        <v>668.8</v>
      </c>
      <c r="L237" s="9">
        <f>_xlfn.XLOOKUP(Table1[[#This Row],[orderID]],Table3[orderID],Table3[discount])</f>
        <v>0.05</v>
      </c>
      <c r="M237" s="2">
        <f>SUM(Table1[[#This Row],[Sales]],Table1[[#This Row],[freight]])</f>
        <v>684.07999999999993</v>
      </c>
      <c r="N237" s="3">
        <f>_xlfn.XLOOKUP(Table1[[#This Row],[orderID]],Table3[orderID],Table3[quantity])</f>
        <v>35</v>
      </c>
      <c r="O237" s="6" t="str">
        <f>_xlfn.XLOOKUP(Table1[[#This Row],[CustomerID]],customers!A:A,customers!B:B)</f>
        <v>White Clover Markets</v>
      </c>
      <c r="P237" s="6" t="str">
        <f>_xlfn.XLOOKUP(Table1[[#This Row],[shipperID]],Table6[shipperID],Table6[companyName])</f>
        <v>United Package</v>
      </c>
      <c r="Q237">
        <f>YEAR(Table1[[#This Row],[OrderDate]])</f>
        <v>2014</v>
      </c>
      <c r="R237">
        <f>MONTH(Table1[[#This Row],[OrderDate]])</f>
        <v>3</v>
      </c>
      <c r="S237" t="str">
        <f>"Q"&amp;ROUNDUP(Table1[[#This Row],[month]]/3,0)</f>
        <v>Q1</v>
      </c>
      <c r="T237" t="str">
        <f>CONCATENATE(Table1[[#This Row],[year]],"-",Table1[[#This Row],[Quarter]])</f>
        <v>2014-Q1</v>
      </c>
      <c r="U237" s="6" t="str">
        <f>IF(H236="","Pending",IF(Table1[[#This Row],[Days to ship]]&lt;Table1[[#This Row],[RequiredDate]],"On Time","Late"))</f>
        <v>On Time</v>
      </c>
      <c r="V237">
        <f>_xlfn.XLOOKUP(Table1[[#This Row],[orderID]],Table3[orderID],Table3[unitPrice])</f>
        <v>11.2</v>
      </c>
    </row>
    <row r="238" spans="1:22" x14ac:dyDescent="0.45">
      <c r="A238" s="3">
        <v>10484</v>
      </c>
      <c r="B238" s="6" t="s">
        <v>193</v>
      </c>
      <c r="C238" s="3">
        <v>3</v>
      </c>
      <c r="D238" s="6" t="str">
        <f>_xlfn.XLOOKUP(Table1[[#This Row],[EmployeeID]],Table4[employeeID],Table4[employeeName])</f>
        <v>Janet Leverling</v>
      </c>
      <c r="E238" s="1">
        <v>41722</v>
      </c>
      <c r="F238" s="1">
        <v>41750</v>
      </c>
      <c r="G238" s="1">
        <v>41730</v>
      </c>
      <c r="H238" s="3">
        <f>IF(Table1[[#This Row],[ShippedDate]]="","",IF(Table1[[#This Row],[OrderDate]]="","",Table1[[#This Row],[ShippedDate]]-Table1[[#This Row],[OrderDate]]))</f>
        <v>8</v>
      </c>
      <c r="I238" s="3">
        <v>3</v>
      </c>
      <c r="J238" s="2">
        <v>6.88</v>
      </c>
      <c r="K238" s="2">
        <f>SUMIF(order_details!A:A,Table1[[#This Row],[orderID]],order_details!F:F)</f>
        <v>386.2</v>
      </c>
      <c r="L238" s="9">
        <f>_xlfn.XLOOKUP(Table1[[#This Row],[orderID]],Table3[orderID],Table3[discount])</f>
        <v>0</v>
      </c>
      <c r="M238" s="2">
        <f>SUM(Table1[[#This Row],[Sales]],Table1[[#This Row],[freight]])</f>
        <v>393.08</v>
      </c>
      <c r="N238" s="3">
        <f>_xlfn.XLOOKUP(Table1[[#This Row],[orderID]],Table3[orderID],Table3[quantity])</f>
        <v>14</v>
      </c>
      <c r="O238" s="6" t="str">
        <f>_xlfn.XLOOKUP(Table1[[#This Row],[CustomerID]],customers!A:A,customers!B:B)</f>
        <v>B's Beverages</v>
      </c>
      <c r="P238" s="6" t="str">
        <f>_xlfn.XLOOKUP(Table1[[#This Row],[shipperID]],Table6[shipperID],Table6[companyName])</f>
        <v>Federal Shipping</v>
      </c>
      <c r="Q238">
        <f>YEAR(Table1[[#This Row],[OrderDate]])</f>
        <v>2014</v>
      </c>
      <c r="R238">
        <f>MONTH(Table1[[#This Row],[OrderDate]])</f>
        <v>3</v>
      </c>
      <c r="S238" t="str">
        <f>"Q"&amp;ROUNDUP(Table1[[#This Row],[month]]/3,0)</f>
        <v>Q1</v>
      </c>
      <c r="T238" t="str">
        <f>CONCATENATE(Table1[[#This Row],[year]],"-",Table1[[#This Row],[Quarter]])</f>
        <v>2014-Q1</v>
      </c>
      <c r="U238" s="6" t="str">
        <f>IF(H237="","Pending",IF(Table1[[#This Row],[Days to ship]]&lt;Table1[[#This Row],[RequiredDate]],"On Time","Late"))</f>
        <v>On Time</v>
      </c>
      <c r="V238">
        <f>_xlfn.XLOOKUP(Table1[[#This Row],[orderID]],Table3[orderID],Table3[unitPrice])</f>
        <v>8</v>
      </c>
    </row>
    <row r="239" spans="1:22" x14ac:dyDescent="0.45">
      <c r="A239" s="3">
        <v>10485</v>
      </c>
      <c r="B239" s="6" t="s">
        <v>187</v>
      </c>
      <c r="C239" s="3">
        <v>4</v>
      </c>
      <c r="D239" s="6" t="str">
        <f>_xlfn.XLOOKUP(Table1[[#This Row],[EmployeeID]],Table4[employeeID],Table4[employeeName])</f>
        <v>Margaret Peacock</v>
      </c>
      <c r="E239" s="1">
        <v>41723</v>
      </c>
      <c r="F239" s="1">
        <v>41737</v>
      </c>
      <c r="G239" s="1">
        <v>41729</v>
      </c>
      <c r="H239" s="3">
        <f>IF(Table1[[#This Row],[ShippedDate]]="","",IF(Table1[[#This Row],[OrderDate]]="","",Table1[[#This Row],[ShippedDate]]-Table1[[#This Row],[OrderDate]]))</f>
        <v>6</v>
      </c>
      <c r="I239" s="3">
        <v>2</v>
      </c>
      <c r="J239" s="2">
        <v>64.45</v>
      </c>
      <c r="K239" s="2">
        <f>SUMIF(order_details!A:A,Table1[[#This Row],[orderID]],order_details!F:F)</f>
        <v>1584</v>
      </c>
      <c r="L239" s="9">
        <f>_xlfn.XLOOKUP(Table1[[#This Row],[orderID]],Table3[orderID],Table3[discount])</f>
        <v>0.1</v>
      </c>
      <c r="M239" s="2">
        <f>SUM(Table1[[#This Row],[Sales]],Table1[[#This Row],[freight]])</f>
        <v>1648.45</v>
      </c>
      <c r="N239" s="3">
        <f>_xlfn.XLOOKUP(Table1[[#This Row],[orderID]],Table3[orderID],Table3[quantity])</f>
        <v>20</v>
      </c>
      <c r="O239" s="6" t="str">
        <f>_xlfn.XLOOKUP(Table1[[#This Row],[CustomerID]],customers!A:A,customers!B:B)</f>
        <v>LINO-Delicateses</v>
      </c>
      <c r="P239" s="6" t="str">
        <f>_xlfn.XLOOKUP(Table1[[#This Row],[shipperID]],Table6[shipperID],Table6[companyName])</f>
        <v>United Package</v>
      </c>
      <c r="Q239">
        <f>YEAR(Table1[[#This Row],[OrderDate]])</f>
        <v>2014</v>
      </c>
      <c r="R239">
        <f>MONTH(Table1[[#This Row],[OrderDate]])</f>
        <v>3</v>
      </c>
      <c r="S239" t="str">
        <f>"Q"&amp;ROUNDUP(Table1[[#This Row],[month]]/3,0)</f>
        <v>Q1</v>
      </c>
      <c r="T239" t="str">
        <f>CONCATENATE(Table1[[#This Row],[year]],"-",Table1[[#This Row],[Quarter]])</f>
        <v>2014-Q1</v>
      </c>
      <c r="U239" s="6" t="str">
        <f>IF(H238="","Pending",IF(Table1[[#This Row],[Days to ship]]&lt;Table1[[#This Row],[RequiredDate]],"On Time","Late"))</f>
        <v>On Time</v>
      </c>
      <c r="V239">
        <f>_xlfn.XLOOKUP(Table1[[#This Row],[orderID]],Table3[orderID],Table3[unitPrice])</f>
        <v>15.2</v>
      </c>
    </row>
    <row r="240" spans="1:22" x14ac:dyDescent="0.45">
      <c r="A240" s="3">
        <v>10486</v>
      </c>
      <c r="B240" s="6" t="s">
        <v>174</v>
      </c>
      <c r="C240" s="3">
        <v>1</v>
      </c>
      <c r="D240" s="6" t="str">
        <f>_xlfn.XLOOKUP(Table1[[#This Row],[EmployeeID]],Table4[employeeID],Table4[employeeName])</f>
        <v>Nancy Davolio</v>
      </c>
      <c r="E240" s="1">
        <v>41724</v>
      </c>
      <c r="F240" s="1">
        <v>41752</v>
      </c>
      <c r="G240" s="1">
        <v>41731</v>
      </c>
      <c r="H240" s="3">
        <f>IF(Table1[[#This Row],[ShippedDate]]="","",IF(Table1[[#This Row],[OrderDate]]="","",Table1[[#This Row],[ShippedDate]]-Table1[[#This Row],[OrderDate]]))</f>
        <v>7</v>
      </c>
      <c r="I240" s="3">
        <v>2</v>
      </c>
      <c r="J240" s="2">
        <v>30.53</v>
      </c>
      <c r="K240" s="2">
        <f>SUMIF(order_details!A:A,Table1[[#This Row],[orderID]],order_details!F:F)</f>
        <v>1272</v>
      </c>
      <c r="L240" s="9">
        <f>_xlfn.XLOOKUP(Table1[[#This Row],[orderID]],Table3[orderID],Table3[discount])</f>
        <v>0</v>
      </c>
      <c r="M240" s="2">
        <f>SUM(Table1[[#This Row],[Sales]],Table1[[#This Row],[freight]])</f>
        <v>1302.53</v>
      </c>
      <c r="N240" s="3">
        <f>_xlfn.XLOOKUP(Table1[[#This Row],[orderID]],Table3[orderID],Table3[quantity])</f>
        <v>5</v>
      </c>
      <c r="O240" s="6" t="str">
        <f>_xlfn.XLOOKUP(Table1[[#This Row],[CustomerID]],customers!A:A,customers!B:B)</f>
        <v>HILARION-Abastos</v>
      </c>
      <c r="P240" s="6" t="str">
        <f>_xlfn.XLOOKUP(Table1[[#This Row],[shipperID]],Table6[shipperID],Table6[companyName])</f>
        <v>United Package</v>
      </c>
      <c r="Q240">
        <f>YEAR(Table1[[#This Row],[OrderDate]])</f>
        <v>2014</v>
      </c>
      <c r="R240">
        <f>MONTH(Table1[[#This Row],[OrderDate]])</f>
        <v>3</v>
      </c>
      <c r="S240" t="str">
        <f>"Q"&amp;ROUNDUP(Table1[[#This Row],[month]]/3,0)</f>
        <v>Q1</v>
      </c>
      <c r="T240" t="str">
        <f>CONCATENATE(Table1[[#This Row],[year]],"-",Table1[[#This Row],[Quarter]])</f>
        <v>2014-Q1</v>
      </c>
      <c r="U240" s="6" t="str">
        <f>IF(H239="","Pending",IF(Table1[[#This Row],[Days to ship]]&lt;Table1[[#This Row],[RequiredDate]],"On Time","Late"))</f>
        <v>On Time</v>
      </c>
      <c r="V240">
        <f>_xlfn.XLOOKUP(Table1[[#This Row],[orderID]],Table3[orderID],Table3[unitPrice])</f>
        <v>16.8</v>
      </c>
    </row>
    <row r="241" spans="1:22" x14ac:dyDescent="0.45">
      <c r="A241" s="3">
        <v>10487</v>
      </c>
      <c r="B241" s="6" t="s">
        <v>162</v>
      </c>
      <c r="C241" s="3">
        <v>2</v>
      </c>
      <c r="D241" s="6" t="str">
        <f>_xlfn.XLOOKUP(Table1[[#This Row],[EmployeeID]],Table4[employeeID],Table4[employeeName])</f>
        <v>Andrew Fuller</v>
      </c>
      <c r="E241" s="1">
        <v>41724</v>
      </c>
      <c r="F241" s="1">
        <v>41752</v>
      </c>
      <c r="G241" s="1">
        <v>41726</v>
      </c>
      <c r="H241" s="3">
        <f>IF(Table1[[#This Row],[ShippedDate]]="","",IF(Table1[[#This Row],[OrderDate]]="","",Table1[[#This Row],[ShippedDate]]-Table1[[#This Row],[OrderDate]]))</f>
        <v>2</v>
      </c>
      <c r="I241" s="3">
        <v>2</v>
      </c>
      <c r="J241" s="2">
        <v>71.069999999999993</v>
      </c>
      <c r="K241" s="2">
        <f>SUMIF(order_details!A:A,Table1[[#This Row],[orderID]],order_details!F:F)</f>
        <v>889.7</v>
      </c>
      <c r="L241" s="9">
        <f>_xlfn.XLOOKUP(Table1[[#This Row],[orderID]],Table3[orderID],Table3[discount])</f>
        <v>0</v>
      </c>
      <c r="M241" s="2">
        <f>SUM(Table1[[#This Row],[Sales]],Table1[[#This Row],[freight]])</f>
        <v>960.77</v>
      </c>
      <c r="N241" s="3">
        <f>_xlfn.XLOOKUP(Table1[[#This Row],[orderID]],Table3[orderID],Table3[quantity])</f>
        <v>5</v>
      </c>
      <c r="O241" s="6" t="str">
        <f>_xlfn.XLOOKUP(Table1[[#This Row],[CustomerID]],customers!A:A,customers!B:B)</f>
        <v>Queen Cozinha</v>
      </c>
      <c r="P241" s="6" t="str">
        <f>_xlfn.XLOOKUP(Table1[[#This Row],[shipperID]],Table6[shipperID],Table6[companyName])</f>
        <v>United Package</v>
      </c>
      <c r="Q241">
        <f>YEAR(Table1[[#This Row],[OrderDate]])</f>
        <v>2014</v>
      </c>
      <c r="R241">
        <f>MONTH(Table1[[#This Row],[OrderDate]])</f>
        <v>3</v>
      </c>
      <c r="S241" t="str">
        <f>"Q"&amp;ROUNDUP(Table1[[#This Row],[month]]/3,0)</f>
        <v>Q1</v>
      </c>
      <c r="T241" t="str">
        <f>CONCATENATE(Table1[[#This Row],[year]],"-",Table1[[#This Row],[Quarter]])</f>
        <v>2014-Q1</v>
      </c>
      <c r="U241" s="6" t="str">
        <f>IF(H240="","Pending",IF(Table1[[#This Row],[Days to ship]]&lt;Table1[[#This Row],[RequiredDate]],"On Time","Late"))</f>
        <v>On Time</v>
      </c>
      <c r="V241">
        <f>_xlfn.XLOOKUP(Table1[[#This Row],[orderID]],Table3[orderID],Table3[unitPrice])</f>
        <v>7.3</v>
      </c>
    </row>
    <row r="242" spans="1:22" x14ac:dyDescent="0.45">
      <c r="A242" s="3">
        <v>10488</v>
      </c>
      <c r="B242" s="6" t="s">
        <v>201</v>
      </c>
      <c r="C242" s="3">
        <v>8</v>
      </c>
      <c r="D242" s="6" t="str">
        <f>_xlfn.XLOOKUP(Table1[[#This Row],[EmployeeID]],Table4[employeeID],Table4[employeeName])</f>
        <v>Laura Callahan</v>
      </c>
      <c r="E242" s="1">
        <v>41725</v>
      </c>
      <c r="F242" s="1">
        <v>41753</v>
      </c>
      <c r="G242" s="1">
        <v>41731</v>
      </c>
      <c r="H242" s="3">
        <f>IF(Table1[[#This Row],[ShippedDate]]="","",IF(Table1[[#This Row],[OrderDate]]="","",Table1[[#This Row],[ShippedDate]]-Table1[[#This Row],[OrderDate]]))</f>
        <v>6</v>
      </c>
      <c r="I242" s="3">
        <v>2</v>
      </c>
      <c r="J242" s="2">
        <v>4.93</v>
      </c>
      <c r="K242" s="2">
        <f>SUMIF(order_details!A:A,Table1[[#This Row],[orderID]],order_details!F:F)</f>
        <v>1512</v>
      </c>
      <c r="L242" s="9">
        <f>_xlfn.XLOOKUP(Table1[[#This Row],[orderID]],Table3[orderID],Table3[discount])</f>
        <v>0</v>
      </c>
      <c r="M242" s="2">
        <f>SUM(Table1[[#This Row],[Sales]],Table1[[#This Row],[freight]])</f>
        <v>1516.93</v>
      </c>
      <c r="N242" s="3">
        <f>_xlfn.XLOOKUP(Table1[[#This Row],[orderID]],Table3[orderID],Table3[quantity])</f>
        <v>30</v>
      </c>
      <c r="O242" s="6" t="str">
        <f>_xlfn.XLOOKUP(Table1[[#This Row],[CustomerID]],customers!A:A,customers!B:B)</f>
        <v>Frankenversand</v>
      </c>
      <c r="P242" s="6" t="str">
        <f>_xlfn.XLOOKUP(Table1[[#This Row],[shipperID]],Table6[shipperID],Table6[companyName])</f>
        <v>United Package</v>
      </c>
      <c r="Q242">
        <f>YEAR(Table1[[#This Row],[OrderDate]])</f>
        <v>2014</v>
      </c>
      <c r="R242">
        <f>MONTH(Table1[[#This Row],[OrderDate]])</f>
        <v>3</v>
      </c>
      <c r="S242" t="str">
        <f>"Q"&amp;ROUNDUP(Table1[[#This Row],[month]]/3,0)</f>
        <v>Q1</v>
      </c>
      <c r="T242" t="str">
        <f>CONCATENATE(Table1[[#This Row],[year]],"-",Table1[[#This Row],[Quarter]])</f>
        <v>2014-Q1</v>
      </c>
      <c r="U242" s="6" t="str">
        <f>IF(H241="","Pending",IF(Table1[[#This Row],[Days to ship]]&lt;Table1[[#This Row],[RequiredDate]],"On Time","Late"))</f>
        <v>On Time</v>
      </c>
      <c r="V242">
        <f>_xlfn.XLOOKUP(Table1[[#This Row],[orderID]],Table3[orderID],Table3[unitPrice])</f>
        <v>44</v>
      </c>
    </row>
    <row r="243" spans="1:22" x14ac:dyDescent="0.45">
      <c r="A243" s="3">
        <v>10489</v>
      </c>
      <c r="B243" s="6" t="s">
        <v>176</v>
      </c>
      <c r="C243" s="3">
        <v>6</v>
      </c>
      <c r="D243" s="6" t="str">
        <f>_xlfn.XLOOKUP(Table1[[#This Row],[EmployeeID]],Table4[employeeID],Table4[employeeName])</f>
        <v>Michael Suyama</v>
      </c>
      <c r="E243" s="1">
        <v>41726</v>
      </c>
      <c r="F243" s="1">
        <v>41754</v>
      </c>
      <c r="G243" s="1">
        <v>41738</v>
      </c>
      <c r="H243" s="3">
        <f>IF(Table1[[#This Row],[ShippedDate]]="","",IF(Table1[[#This Row],[OrderDate]]="","",Table1[[#This Row],[ShippedDate]]-Table1[[#This Row],[OrderDate]]))</f>
        <v>12</v>
      </c>
      <c r="I243" s="3">
        <v>2</v>
      </c>
      <c r="J243" s="2">
        <v>5.29</v>
      </c>
      <c r="K243" s="2">
        <f>SUMIF(order_details!A:A,Table1[[#This Row],[orderID]],order_details!F:F)</f>
        <v>439.20000000000005</v>
      </c>
      <c r="L243" s="9">
        <f>_xlfn.XLOOKUP(Table1[[#This Row],[orderID]],Table3[orderID],Table3[discount])</f>
        <v>0.25</v>
      </c>
      <c r="M243" s="2">
        <f>SUM(Table1[[#This Row],[Sales]],Table1[[#This Row],[freight]])</f>
        <v>444.49000000000007</v>
      </c>
      <c r="N243" s="3">
        <f>_xlfn.XLOOKUP(Table1[[#This Row],[orderID]],Table3[orderID],Table3[quantity])</f>
        <v>15</v>
      </c>
      <c r="O243" s="6" t="str">
        <f>_xlfn.XLOOKUP(Table1[[#This Row],[CustomerID]],customers!A:A,customers!B:B)</f>
        <v>Piccolo und mehr</v>
      </c>
      <c r="P243" s="6" t="str">
        <f>_xlfn.XLOOKUP(Table1[[#This Row],[shipperID]],Table6[shipperID],Table6[companyName])</f>
        <v>United Package</v>
      </c>
      <c r="Q243">
        <f>YEAR(Table1[[#This Row],[OrderDate]])</f>
        <v>2014</v>
      </c>
      <c r="R243">
        <f>MONTH(Table1[[#This Row],[OrderDate]])</f>
        <v>3</v>
      </c>
      <c r="S243" t="str">
        <f>"Q"&amp;ROUNDUP(Table1[[#This Row],[month]]/3,0)</f>
        <v>Q1</v>
      </c>
      <c r="T243" t="str">
        <f>CONCATENATE(Table1[[#This Row],[year]],"-",Table1[[#This Row],[Quarter]])</f>
        <v>2014-Q1</v>
      </c>
      <c r="U243" s="6" t="str">
        <f>IF(H242="","Pending",IF(Table1[[#This Row],[Days to ship]]&lt;Table1[[#This Row],[RequiredDate]],"On Time","Late"))</f>
        <v>On Time</v>
      </c>
      <c r="V243">
        <f>_xlfn.XLOOKUP(Table1[[#This Row],[orderID]],Table3[orderID],Table3[unitPrice])</f>
        <v>16.8</v>
      </c>
    </row>
    <row r="244" spans="1:22" x14ac:dyDescent="0.45">
      <c r="A244" s="3">
        <v>10490</v>
      </c>
      <c r="B244" s="6" t="s">
        <v>174</v>
      </c>
      <c r="C244" s="3">
        <v>7</v>
      </c>
      <c r="D244" s="6" t="str">
        <f>_xlfn.XLOOKUP(Table1[[#This Row],[EmployeeID]],Table4[employeeID],Table4[employeeName])</f>
        <v>Robert King</v>
      </c>
      <c r="E244" s="1">
        <v>41729</v>
      </c>
      <c r="F244" s="1">
        <v>41757</v>
      </c>
      <c r="G244" s="1">
        <v>41732</v>
      </c>
      <c r="H244" s="3">
        <f>IF(Table1[[#This Row],[ShippedDate]]="","",IF(Table1[[#This Row],[OrderDate]]="","",Table1[[#This Row],[ShippedDate]]-Table1[[#This Row],[OrderDate]]))</f>
        <v>3</v>
      </c>
      <c r="I244" s="3">
        <v>2</v>
      </c>
      <c r="J244" s="2">
        <v>210.19</v>
      </c>
      <c r="K244" s="2">
        <f>SUMIF(order_details!A:A,Table1[[#This Row],[orderID]],order_details!F:F)</f>
        <v>3163.2</v>
      </c>
      <c r="L244" s="9">
        <f>_xlfn.XLOOKUP(Table1[[#This Row],[orderID]],Table3[orderID],Table3[discount])</f>
        <v>0</v>
      </c>
      <c r="M244" s="2">
        <f>SUM(Table1[[#This Row],[Sales]],Table1[[#This Row],[freight]])</f>
        <v>3373.39</v>
      </c>
      <c r="N244" s="3">
        <f>_xlfn.XLOOKUP(Table1[[#This Row],[orderID]],Table3[orderID],Table3[quantity])</f>
        <v>60</v>
      </c>
      <c r="O244" s="6" t="str">
        <f>_xlfn.XLOOKUP(Table1[[#This Row],[CustomerID]],customers!A:A,customers!B:B)</f>
        <v>HILARION-Abastos</v>
      </c>
      <c r="P244" s="6" t="str">
        <f>_xlfn.XLOOKUP(Table1[[#This Row],[shipperID]],Table6[shipperID],Table6[companyName])</f>
        <v>United Package</v>
      </c>
      <c r="Q244">
        <f>YEAR(Table1[[#This Row],[OrderDate]])</f>
        <v>2014</v>
      </c>
      <c r="R244">
        <f>MONTH(Table1[[#This Row],[OrderDate]])</f>
        <v>3</v>
      </c>
      <c r="S244" t="str">
        <f>"Q"&amp;ROUNDUP(Table1[[#This Row],[month]]/3,0)</f>
        <v>Q1</v>
      </c>
      <c r="T244" t="str">
        <f>CONCATENATE(Table1[[#This Row],[year]],"-",Table1[[#This Row],[Quarter]])</f>
        <v>2014-Q1</v>
      </c>
      <c r="U244" s="6" t="str">
        <f>IF(H243="","Pending",IF(Table1[[#This Row],[Days to ship]]&lt;Table1[[#This Row],[RequiredDate]],"On Time","Late"))</f>
        <v>On Time</v>
      </c>
      <c r="V244">
        <f>_xlfn.XLOOKUP(Table1[[#This Row],[orderID]],Table3[orderID],Table3[unitPrice])</f>
        <v>44</v>
      </c>
    </row>
    <row r="245" spans="1:22" x14ac:dyDescent="0.45">
      <c r="A245" s="3">
        <v>10491</v>
      </c>
      <c r="B245" s="6" t="s">
        <v>216</v>
      </c>
      <c r="C245" s="3">
        <v>8</v>
      </c>
      <c r="D245" s="6" t="str">
        <f>_xlfn.XLOOKUP(Table1[[#This Row],[EmployeeID]],Table4[employeeID],Table4[employeeName])</f>
        <v>Laura Callahan</v>
      </c>
      <c r="E245" s="1">
        <v>41729</v>
      </c>
      <c r="F245" s="1">
        <v>41757</v>
      </c>
      <c r="G245" s="1">
        <v>41737</v>
      </c>
      <c r="H245" s="3">
        <f>IF(Table1[[#This Row],[ShippedDate]]="","",IF(Table1[[#This Row],[OrderDate]]="","",Table1[[#This Row],[ShippedDate]]-Table1[[#This Row],[OrderDate]]))</f>
        <v>8</v>
      </c>
      <c r="I245" s="3">
        <v>3</v>
      </c>
      <c r="J245" s="2">
        <v>16.96</v>
      </c>
      <c r="K245" s="2">
        <f>SUMIF(order_details!A:A,Table1[[#This Row],[orderID]],order_details!F:F)</f>
        <v>259.505</v>
      </c>
      <c r="L245" s="9">
        <f>_xlfn.XLOOKUP(Table1[[#This Row],[orderID]],Table3[orderID],Table3[discount])</f>
        <v>0.15</v>
      </c>
      <c r="M245" s="2">
        <f>SUM(Table1[[#This Row],[Sales]],Table1[[#This Row],[freight]])</f>
        <v>276.46499999999997</v>
      </c>
      <c r="N245" s="3">
        <f>_xlfn.XLOOKUP(Table1[[#This Row],[orderID]],Table3[orderID],Table3[quantity])</f>
        <v>15</v>
      </c>
      <c r="O245" s="6" t="str">
        <f>_xlfn.XLOOKUP(Table1[[#This Row],[CustomerID]],customers!A:A,customers!B:B)</f>
        <v>Furia Bacalhau e Frutos do Mar</v>
      </c>
      <c r="P245" s="6" t="str">
        <f>_xlfn.XLOOKUP(Table1[[#This Row],[shipperID]],Table6[shipperID],Table6[companyName])</f>
        <v>Federal Shipping</v>
      </c>
      <c r="Q245">
        <f>YEAR(Table1[[#This Row],[OrderDate]])</f>
        <v>2014</v>
      </c>
      <c r="R245">
        <f>MONTH(Table1[[#This Row],[OrderDate]])</f>
        <v>3</v>
      </c>
      <c r="S245" t="str">
        <f>"Q"&amp;ROUNDUP(Table1[[#This Row],[month]]/3,0)</f>
        <v>Q1</v>
      </c>
      <c r="T245" t="str">
        <f>CONCATENATE(Table1[[#This Row],[year]],"-",Table1[[#This Row],[Quarter]])</f>
        <v>2014-Q1</v>
      </c>
      <c r="U245" s="6" t="str">
        <f>IF(H244="","Pending",IF(Table1[[#This Row],[Days to ship]]&lt;Table1[[#This Row],[RequiredDate]],"On Time","Late"))</f>
        <v>On Time</v>
      </c>
      <c r="V245">
        <f>_xlfn.XLOOKUP(Table1[[#This Row],[orderID]],Table3[orderID],Table3[unitPrice])</f>
        <v>15.5</v>
      </c>
    </row>
    <row r="246" spans="1:22" x14ac:dyDescent="0.45">
      <c r="A246" s="3">
        <v>10492</v>
      </c>
      <c r="B246" s="6" t="s">
        <v>181</v>
      </c>
      <c r="C246" s="3">
        <v>3</v>
      </c>
      <c r="D246" s="6" t="str">
        <f>_xlfn.XLOOKUP(Table1[[#This Row],[EmployeeID]],Table4[employeeID],Table4[employeeName])</f>
        <v>Janet Leverling</v>
      </c>
      <c r="E246" s="1">
        <v>41730</v>
      </c>
      <c r="F246" s="1">
        <v>41758</v>
      </c>
      <c r="G246" s="1">
        <v>41740</v>
      </c>
      <c r="H246" s="3">
        <f>IF(Table1[[#This Row],[ShippedDate]]="","",IF(Table1[[#This Row],[OrderDate]]="","",Table1[[#This Row],[ShippedDate]]-Table1[[#This Row],[OrderDate]]))</f>
        <v>10</v>
      </c>
      <c r="I246" s="3">
        <v>1</v>
      </c>
      <c r="J246" s="2">
        <v>62.89</v>
      </c>
      <c r="K246" s="2">
        <f>SUMIF(order_details!A:A,Table1[[#This Row],[orderID]],order_details!F:F)</f>
        <v>851.19999999999993</v>
      </c>
      <c r="L246" s="9">
        <f>_xlfn.XLOOKUP(Table1[[#This Row],[orderID]],Table3[orderID],Table3[discount])</f>
        <v>0.05</v>
      </c>
      <c r="M246" s="2">
        <f>SUM(Table1[[#This Row],[Sales]],Table1[[#This Row],[freight]])</f>
        <v>914.08999999999992</v>
      </c>
      <c r="N246" s="3">
        <f>_xlfn.XLOOKUP(Table1[[#This Row],[orderID]],Table3[orderID],Table3[quantity])</f>
        <v>60</v>
      </c>
      <c r="O246" s="6" t="str">
        <f>_xlfn.XLOOKUP(Table1[[#This Row],[CustomerID]],customers!A:A,customers!B:B)</f>
        <v>Bottom-Dollar Markets</v>
      </c>
      <c r="P246" s="6" t="str">
        <f>_xlfn.XLOOKUP(Table1[[#This Row],[shipperID]],Table6[shipperID],Table6[companyName])</f>
        <v>Speedy Express</v>
      </c>
      <c r="Q246">
        <f>YEAR(Table1[[#This Row],[OrderDate]])</f>
        <v>2014</v>
      </c>
      <c r="R246">
        <f>MONTH(Table1[[#This Row],[OrderDate]])</f>
        <v>4</v>
      </c>
      <c r="S246" t="str">
        <f>"Q"&amp;ROUNDUP(Table1[[#This Row],[month]]/3,0)</f>
        <v>Q2</v>
      </c>
      <c r="T246" t="str">
        <f>CONCATENATE(Table1[[#This Row],[year]],"-",Table1[[#This Row],[Quarter]])</f>
        <v>2014-Q2</v>
      </c>
      <c r="U246" s="6" t="str">
        <f>IF(H245="","Pending",IF(Table1[[#This Row],[Days to ship]]&lt;Table1[[#This Row],[RequiredDate]],"On Time","Late"))</f>
        <v>On Time</v>
      </c>
      <c r="V246">
        <f>_xlfn.XLOOKUP(Table1[[#This Row],[orderID]],Table3[orderID],Table3[unitPrice])</f>
        <v>11.2</v>
      </c>
    </row>
    <row r="247" spans="1:22" x14ac:dyDescent="0.45">
      <c r="A247" s="3">
        <v>10493</v>
      </c>
      <c r="B247" s="6" t="s">
        <v>178</v>
      </c>
      <c r="C247" s="3">
        <v>4</v>
      </c>
      <c r="D247" s="6" t="str">
        <f>_xlfn.XLOOKUP(Table1[[#This Row],[EmployeeID]],Table4[employeeID],Table4[employeeName])</f>
        <v>Margaret Peacock</v>
      </c>
      <c r="E247" s="1">
        <v>41731</v>
      </c>
      <c r="F247" s="1">
        <v>41759</v>
      </c>
      <c r="G247" s="1">
        <v>41739</v>
      </c>
      <c r="H247" s="3">
        <f>IF(Table1[[#This Row],[ShippedDate]]="","",IF(Table1[[#This Row],[OrderDate]]="","",Table1[[#This Row],[ShippedDate]]-Table1[[#This Row],[OrderDate]]))</f>
        <v>8</v>
      </c>
      <c r="I247" s="3">
        <v>3</v>
      </c>
      <c r="J247" s="2">
        <v>10.64</v>
      </c>
      <c r="K247" s="2">
        <f>SUMIF(order_details!A:A,Table1[[#This Row],[orderID]],order_details!F:F)</f>
        <v>608.40000000000009</v>
      </c>
      <c r="L247" s="9">
        <f>_xlfn.XLOOKUP(Table1[[#This Row],[orderID]],Table3[orderID],Table3[discount])</f>
        <v>0.1</v>
      </c>
      <c r="M247" s="2">
        <f>SUM(Table1[[#This Row],[Sales]],Table1[[#This Row],[freight]])</f>
        <v>619.04000000000008</v>
      </c>
      <c r="N247" s="3">
        <f>_xlfn.XLOOKUP(Table1[[#This Row],[orderID]],Table3[orderID],Table3[quantity])</f>
        <v>15</v>
      </c>
      <c r="O247" s="6" t="str">
        <f>_xlfn.XLOOKUP(Table1[[#This Row],[CustomerID]],customers!A:A,customers!B:B)</f>
        <v>La maison d'Asie</v>
      </c>
      <c r="P247" s="6" t="str">
        <f>_xlfn.XLOOKUP(Table1[[#This Row],[shipperID]],Table6[shipperID],Table6[companyName])</f>
        <v>Federal Shipping</v>
      </c>
      <c r="Q247">
        <f>YEAR(Table1[[#This Row],[OrderDate]])</f>
        <v>2014</v>
      </c>
      <c r="R247">
        <f>MONTH(Table1[[#This Row],[OrderDate]])</f>
        <v>4</v>
      </c>
      <c r="S247" t="str">
        <f>"Q"&amp;ROUNDUP(Table1[[#This Row],[month]]/3,0)</f>
        <v>Q2</v>
      </c>
      <c r="T247" t="str">
        <f>CONCATENATE(Table1[[#This Row],[year]],"-",Table1[[#This Row],[Quarter]])</f>
        <v>2014-Q2</v>
      </c>
      <c r="U247" s="6" t="str">
        <f>IF(H246="","Pending",IF(Table1[[#This Row],[Days to ship]]&lt;Table1[[#This Row],[RequiredDate]],"On Time","Late"))</f>
        <v>On Time</v>
      </c>
      <c r="V247">
        <f>_xlfn.XLOOKUP(Table1[[#This Row],[orderID]],Table3[orderID],Table3[unitPrice])</f>
        <v>16.8</v>
      </c>
    </row>
    <row r="248" spans="1:22" x14ac:dyDescent="0.45">
      <c r="A248" s="3">
        <v>10494</v>
      </c>
      <c r="B248" s="6" t="s">
        <v>185</v>
      </c>
      <c r="C248" s="3">
        <v>4</v>
      </c>
      <c r="D248" s="6" t="str">
        <f>_xlfn.XLOOKUP(Table1[[#This Row],[EmployeeID]],Table4[employeeID],Table4[employeeName])</f>
        <v>Margaret Peacock</v>
      </c>
      <c r="E248" s="1">
        <v>41731</v>
      </c>
      <c r="F248" s="1">
        <v>41759</v>
      </c>
      <c r="G248" s="1">
        <v>41738</v>
      </c>
      <c r="H248" s="3">
        <f>IF(Table1[[#This Row],[ShippedDate]]="","",IF(Table1[[#This Row],[OrderDate]]="","",Table1[[#This Row],[ShippedDate]]-Table1[[#This Row],[OrderDate]]))</f>
        <v>7</v>
      </c>
      <c r="I248" s="3">
        <v>2</v>
      </c>
      <c r="J248" s="2">
        <v>65.989999999999995</v>
      </c>
      <c r="K248" s="2">
        <f>SUMIF(order_details!A:A,Table1[[#This Row],[orderID]],order_details!F:F)</f>
        <v>912</v>
      </c>
      <c r="L248" s="9">
        <f>_xlfn.XLOOKUP(Table1[[#This Row],[orderID]],Table3[orderID],Table3[discount])</f>
        <v>0</v>
      </c>
      <c r="M248" s="2">
        <f>SUM(Table1[[#This Row],[Sales]],Table1[[#This Row],[freight]])</f>
        <v>977.99</v>
      </c>
      <c r="N248" s="3">
        <f>_xlfn.XLOOKUP(Table1[[#This Row],[orderID]],Table3[orderID],Table3[quantity])</f>
        <v>30</v>
      </c>
      <c r="O248" s="6" t="str">
        <f>_xlfn.XLOOKUP(Table1[[#This Row],[CustomerID]],customers!A:A,customers!B:B)</f>
        <v>Comércio Mineiro</v>
      </c>
      <c r="P248" s="6" t="str">
        <f>_xlfn.XLOOKUP(Table1[[#This Row],[shipperID]],Table6[shipperID],Table6[companyName])</f>
        <v>United Package</v>
      </c>
      <c r="Q248">
        <f>YEAR(Table1[[#This Row],[OrderDate]])</f>
        <v>2014</v>
      </c>
      <c r="R248">
        <f>MONTH(Table1[[#This Row],[OrderDate]])</f>
        <v>4</v>
      </c>
      <c r="S248" t="str">
        <f>"Q"&amp;ROUNDUP(Table1[[#This Row],[month]]/3,0)</f>
        <v>Q2</v>
      </c>
      <c r="T248" t="str">
        <f>CONCATENATE(Table1[[#This Row],[year]],"-",Table1[[#This Row],[Quarter]])</f>
        <v>2014-Q2</v>
      </c>
      <c r="U248" s="6" t="str">
        <f>IF(H247="","Pending",IF(Table1[[#This Row],[Days to ship]]&lt;Table1[[#This Row],[RequiredDate]],"On Time","Late"))</f>
        <v>On Time</v>
      </c>
      <c r="V248">
        <f>_xlfn.XLOOKUP(Table1[[#This Row],[orderID]],Table3[orderID],Table3[unitPrice])</f>
        <v>30.4</v>
      </c>
    </row>
    <row r="249" spans="1:22" x14ac:dyDescent="0.45">
      <c r="A249" s="3">
        <v>10495</v>
      </c>
      <c r="B249" s="6" t="s">
        <v>233</v>
      </c>
      <c r="C249" s="3">
        <v>3</v>
      </c>
      <c r="D249" s="6" t="str">
        <f>_xlfn.XLOOKUP(Table1[[#This Row],[EmployeeID]],Table4[employeeID],Table4[employeeName])</f>
        <v>Janet Leverling</v>
      </c>
      <c r="E249" s="1">
        <v>41732</v>
      </c>
      <c r="F249" s="1">
        <v>41760</v>
      </c>
      <c r="G249" s="1">
        <v>41740</v>
      </c>
      <c r="H249" s="3">
        <f>IF(Table1[[#This Row],[ShippedDate]]="","",IF(Table1[[#This Row],[OrderDate]]="","",Table1[[#This Row],[ShippedDate]]-Table1[[#This Row],[OrderDate]]))</f>
        <v>8</v>
      </c>
      <c r="I249" s="3">
        <v>3</v>
      </c>
      <c r="J249" s="2">
        <v>4.6500000000000004</v>
      </c>
      <c r="K249" s="2">
        <f>SUMIF(order_details!A:A,Table1[[#This Row],[orderID]],order_details!F:F)</f>
        <v>278</v>
      </c>
      <c r="L249" s="9">
        <f>_xlfn.XLOOKUP(Table1[[#This Row],[orderID]],Table3[orderID],Table3[discount])</f>
        <v>0</v>
      </c>
      <c r="M249" s="2">
        <f>SUM(Table1[[#This Row],[Sales]],Table1[[#This Row],[freight]])</f>
        <v>282.64999999999998</v>
      </c>
      <c r="N249" s="3">
        <f>_xlfn.XLOOKUP(Table1[[#This Row],[orderID]],Table3[orderID],Table3[quantity])</f>
        <v>10</v>
      </c>
      <c r="O249" s="6" t="str">
        <f>_xlfn.XLOOKUP(Table1[[#This Row],[CustomerID]],customers!A:A,customers!B:B)</f>
        <v>Laughing Bacchus Wine Cellars</v>
      </c>
      <c r="P249" s="6" t="str">
        <f>_xlfn.XLOOKUP(Table1[[#This Row],[shipperID]],Table6[shipperID],Table6[companyName])</f>
        <v>Federal Shipping</v>
      </c>
      <c r="Q249">
        <f>YEAR(Table1[[#This Row],[OrderDate]])</f>
        <v>2014</v>
      </c>
      <c r="R249">
        <f>MONTH(Table1[[#This Row],[OrderDate]])</f>
        <v>4</v>
      </c>
      <c r="S249" t="str">
        <f>"Q"&amp;ROUNDUP(Table1[[#This Row],[month]]/3,0)</f>
        <v>Q2</v>
      </c>
      <c r="T249" t="str">
        <f>CONCATENATE(Table1[[#This Row],[year]],"-",Table1[[#This Row],[Quarter]])</f>
        <v>2014-Q2</v>
      </c>
      <c r="U249" s="6" t="str">
        <f>IF(H248="","Pending",IF(Table1[[#This Row],[Days to ship]]&lt;Table1[[#This Row],[RequiredDate]],"On Time","Late"))</f>
        <v>On Time</v>
      </c>
      <c r="V249">
        <f>_xlfn.XLOOKUP(Table1[[#This Row],[orderID]],Table3[orderID],Table3[unitPrice])</f>
        <v>7.2</v>
      </c>
    </row>
    <row r="250" spans="1:22" x14ac:dyDescent="0.45">
      <c r="A250" s="3">
        <v>10496</v>
      </c>
      <c r="B250" s="6" t="s">
        <v>230</v>
      </c>
      <c r="C250" s="3">
        <v>7</v>
      </c>
      <c r="D250" s="6" t="str">
        <f>_xlfn.XLOOKUP(Table1[[#This Row],[EmployeeID]],Table4[employeeID],Table4[employeeName])</f>
        <v>Robert King</v>
      </c>
      <c r="E250" s="1">
        <v>41733</v>
      </c>
      <c r="F250" s="1">
        <v>41761</v>
      </c>
      <c r="G250" s="1">
        <v>41736</v>
      </c>
      <c r="H250" s="3">
        <f>IF(Table1[[#This Row],[ShippedDate]]="","",IF(Table1[[#This Row],[OrderDate]]="","",Table1[[#This Row],[ShippedDate]]-Table1[[#This Row],[OrderDate]]))</f>
        <v>3</v>
      </c>
      <c r="I250" s="3">
        <v>2</v>
      </c>
      <c r="J250" s="2">
        <v>46.77</v>
      </c>
      <c r="K250" s="2">
        <f>SUMIF(order_details!A:A,Table1[[#This Row],[orderID]],order_details!F:F)</f>
        <v>190</v>
      </c>
      <c r="L250" s="9">
        <f>_xlfn.XLOOKUP(Table1[[#This Row],[orderID]],Table3[orderID],Table3[discount])</f>
        <v>0.05</v>
      </c>
      <c r="M250" s="2">
        <f>SUM(Table1[[#This Row],[Sales]],Table1[[#This Row],[freight]])</f>
        <v>236.77</v>
      </c>
      <c r="N250" s="3">
        <f>_xlfn.XLOOKUP(Table1[[#This Row],[orderID]],Table3[orderID],Table3[quantity])</f>
        <v>20</v>
      </c>
      <c r="O250" s="6" t="str">
        <f>_xlfn.XLOOKUP(Table1[[#This Row],[CustomerID]],customers!A:A,customers!B:B)</f>
        <v>Tradição Hipermercados</v>
      </c>
      <c r="P250" s="6" t="str">
        <f>_xlfn.XLOOKUP(Table1[[#This Row],[shipperID]],Table6[shipperID],Table6[companyName])</f>
        <v>United Package</v>
      </c>
      <c r="Q250">
        <f>YEAR(Table1[[#This Row],[OrderDate]])</f>
        <v>2014</v>
      </c>
      <c r="R250">
        <f>MONTH(Table1[[#This Row],[OrderDate]])</f>
        <v>4</v>
      </c>
      <c r="S250" t="str">
        <f>"Q"&amp;ROUNDUP(Table1[[#This Row],[month]]/3,0)</f>
        <v>Q2</v>
      </c>
      <c r="T250" t="str">
        <f>CONCATENATE(Table1[[#This Row],[year]],"-",Table1[[#This Row],[Quarter]])</f>
        <v>2014-Q2</v>
      </c>
      <c r="U250" s="6" t="str">
        <f>IF(H249="","Pending",IF(Table1[[#This Row],[Days to ship]]&lt;Table1[[#This Row],[RequiredDate]],"On Time","Late"))</f>
        <v>On Time</v>
      </c>
      <c r="V250">
        <f>_xlfn.XLOOKUP(Table1[[#This Row],[orderID]],Table3[orderID],Table3[unitPrice])</f>
        <v>10</v>
      </c>
    </row>
    <row r="251" spans="1:22" x14ac:dyDescent="0.45">
      <c r="A251" s="3">
        <v>10497</v>
      </c>
      <c r="B251" s="6" t="s">
        <v>160</v>
      </c>
      <c r="C251" s="3">
        <v>7</v>
      </c>
      <c r="D251" s="6" t="str">
        <f>_xlfn.XLOOKUP(Table1[[#This Row],[EmployeeID]],Table4[employeeID],Table4[employeeName])</f>
        <v>Robert King</v>
      </c>
      <c r="E251" s="1">
        <v>41733</v>
      </c>
      <c r="F251" s="1">
        <v>41761</v>
      </c>
      <c r="G251" s="1">
        <v>41736</v>
      </c>
      <c r="H251" s="3">
        <f>IF(Table1[[#This Row],[ShippedDate]]="","",IF(Table1[[#This Row],[OrderDate]]="","",Table1[[#This Row],[ShippedDate]]-Table1[[#This Row],[OrderDate]]))</f>
        <v>3</v>
      </c>
      <c r="I251" s="3">
        <v>1</v>
      </c>
      <c r="J251" s="2">
        <v>36.21</v>
      </c>
      <c r="K251" s="2">
        <f>SUMIF(order_details!A:A,Table1[[#This Row],[orderID]],order_details!F:F)</f>
        <v>1380.6</v>
      </c>
      <c r="L251" s="9">
        <f>_xlfn.XLOOKUP(Table1[[#This Row],[orderID]],Table3[orderID],Table3[discount])</f>
        <v>0</v>
      </c>
      <c r="M251" s="2">
        <f>SUM(Table1[[#This Row],[Sales]],Table1[[#This Row],[freight]])</f>
        <v>1416.81</v>
      </c>
      <c r="N251" s="3">
        <f>_xlfn.XLOOKUP(Table1[[#This Row],[orderID]],Table3[orderID],Table3[quantity])</f>
        <v>14</v>
      </c>
      <c r="O251" s="6" t="str">
        <f>_xlfn.XLOOKUP(Table1[[#This Row],[CustomerID]],customers!A:A,customers!B:B)</f>
        <v>Lehmanns Marktstand</v>
      </c>
      <c r="P251" s="6" t="str">
        <f>_xlfn.XLOOKUP(Table1[[#This Row],[shipperID]],Table6[shipperID],Table6[companyName])</f>
        <v>Speedy Express</v>
      </c>
      <c r="Q251">
        <f>YEAR(Table1[[#This Row],[OrderDate]])</f>
        <v>2014</v>
      </c>
      <c r="R251">
        <f>MONTH(Table1[[#This Row],[OrderDate]])</f>
        <v>4</v>
      </c>
      <c r="S251" t="str">
        <f>"Q"&amp;ROUNDUP(Table1[[#This Row],[month]]/3,0)</f>
        <v>Q2</v>
      </c>
      <c r="T251" t="str">
        <f>CONCATENATE(Table1[[#This Row],[year]],"-",Table1[[#This Row],[Quarter]])</f>
        <v>2014-Q2</v>
      </c>
      <c r="U251" s="6" t="str">
        <f>IF(H250="","Pending",IF(Table1[[#This Row],[Days to ship]]&lt;Table1[[#This Row],[RequiredDate]],"On Time","Late"))</f>
        <v>On Time</v>
      </c>
      <c r="V251">
        <f>_xlfn.XLOOKUP(Table1[[#This Row],[orderID]],Table3[orderID],Table3[unitPrice])</f>
        <v>30.4</v>
      </c>
    </row>
    <row r="252" spans="1:22" x14ac:dyDescent="0.45">
      <c r="A252" s="3">
        <v>10498</v>
      </c>
      <c r="B252" s="6" t="s">
        <v>174</v>
      </c>
      <c r="C252" s="3">
        <v>8</v>
      </c>
      <c r="D252" s="6" t="str">
        <f>_xlfn.XLOOKUP(Table1[[#This Row],[EmployeeID]],Table4[employeeID],Table4[employeeName])</f>
        <v>Laura Callahan</v>
      </c>
      <c r="E252" s="1">
        <v>41736</v>
      </c>
      <c r="F252" s="1">
        <v>41764</v>
      </c>
      <c r="G252" s="1">
        <v>41740</v>
      </c>
      <c r="H252" s="3">
        <f>IF(Table1[[#This Row],[ShippedDate]]="","",IF(Table1[[#This Row],[OrderDate]]="","",Table1[[#This Row],[ShippedDate]]-Table1[[#This Row],[OrderDate]]))</f>
        <v>4</v>
      </c>
      <c r="I252" s="3">
        <v>2</v>
      </c>
      <c r="J252" s="2">
        <v>29.75</v>
      </c>
      <c r="K252" s="2">
        <f>SUMIF(order_details!A:A,Table1[[#This Row],[orderID]],order_details!F:F)</f>
        <v>575</v>
      </c>
      <c r="L252" s="9">
        <f>_xlfn.XLOOKUP(Table1[[#This Row],[orderID]],Table3[orderID],Table3[discount])</f>
        <v>0</v>
      </c>
      <c r="M252" s="2">
        <f>SUM(Table1[[#This Row],[Sales]],Table1[[#This Row],[freight]])</f>
        <v>604.75</v>
      </c>
      <c r="N252" s="3">
        <f>_xlfn.XLOOKUP(Table1[[#This Row],[orderID]],Table3[orderID],Table3[quantity])</f>
        <v>14</v>
      </c>
      <c r="O252" s="6" t="str">
        <f>_xlfn.XLOOKUP(Table1[[#This Row],[CustomerID]],customers!A:A,customers!B:B)</f>
        <v>HILARION-Abastos</v>
      </c>
      <c r="P252" s="6" t="str">
        <f>_xlfn.XLOOKUP(Table1[[#This Row],[shipperID]],Table6[shipperID],Table6[companyName])</f>
        <v>United Package</v>
      </c>
      <c r="Q252">
        <f>YEAR(Table1[[#This Row],[OrderDate]])</f>
        <v>2014</v>
      </c>
      <c r="R252">
        <f>MONTH(Table1[[#This Row],[OrderDate]])</f>
        <v>4</v>
      </c>
      <c r="S252" t="str">
        <f>"Q"&amp;ROUNDUP(Table1[[#This Row],[month]]/3,0)</f>
        <v>Q2</v>
      </c>
      <c r="T252" t="str">
        <f>CONCATENATE(Table1[[#This Row],[year]],"-",Table1[[#This Row],[Quarter]])</f>
        <v>2014-Q2</v>
      </c>
      <c r="U252" s="6" t="str">
        <f>IF(H251="","Pending",IF(Table1[[#This Row],[Days to ship]]&lt;Table1[[#This Row],[RequiredDate]],"On Time","Late"))</f>
        <v>On Time</v>
      </c>
      <c r="V252">
        <f>_xlfn.XLOOKUP(Table1[[#This Row],[orderID]],Table3[orderID],Table3[unitPrice])</f>
        <v>4.5</v>
      </c>
    </row>
    <row r="253" spans="1:22" x14ac:dyDescent="0.45">
      <c r="A253" s="3">
        <v>10499</v>
      </c>
      <c r="B253" s="6" t="s">
        <v>159</v>
      </c>
      <c r="C253" s="3">
        <v>4</v>
      </c>
      <c r="D253" s="6" t="str">
        <f>_xlfn.XLOOKUP(Table1[[#This Row],[EmployeeID]],Table4[employeeID],Table4[employeeName])</f>
        <v>Margaret Peacock</v>
      </c>
      <c r="E253" s="1">
        <v>41737</v>
      </c>
      <c r="F253" s="1">
        <v>41765</v>
      </c>
      <c r="G253" s="1">
        <v>41745</v>
      </c>
      <c r="H253" s="3">
        <f>IF(Table1[[#This Row],[ShippedDate]]="","",IF(Table1[[#This Row],[OrderDate]]="","",Table1[[#This Row],[ShippedDate]]-Table1[[#This Row],[OrderDate]]))</f>
        <v>8</v>
      </c>
      <c r="I253" s="3">
        <v>2</v>
      </c>
      <c r="J253" s="2">
        <v>102.02</v>
      </c>
      <c r="K253" s="2">
        <f>SUMIF(order_details!A:A,Table1[[#This Row],[orderID]],order_details!F:F)</f>
        <v>1412</v>
      </c>
      <c r="L253" s="9">
        <f>_xlfn.XLOOKUP(Table1[[#This Row],[orderID]],Table3[orderID],Table3[discount])</f>
        <v>0</v>
      </c>
      <c r="M253" s="2">
        <f>SUM(Table1[[#This Row],[Sales]],Table1[[#This Row],[freight]])</f>
        <v>1514.02</v>
      </c>
      <c r="N253" s="3">
        <f>_xlfn.XLOOKUP(Table1[[#This Row],[orderID]],Table3[orderID],Table3[quantity])</f>
        <v>20</v>
      </c>
      <c r="O253" s="6" t="str">
        <f>_xlfn.XLOOKUP(Table1[[#This Row],[CustomerID]],customers!A:A,customers!B:B)</f>
        <v>LILA-Supermercado</v>
      </c>
      <c r="P253" s="6" t="str">
        <f>_xlfn.XLOOKUP(Table1[[#This Row],[shipperID]],Table6[shipperID],Table6[companyName])</f>
        <v>United Package</v>
      </c>
      <c r="Q253">
        <f>YEAR(Table1[[#This Row],[OrderDate]])</f>
        <v>2014</v>
      </c>
      <c r="R253">
        <f>MONTH(Table1[[#This Row],[OrderDate]])</f>
        <v>4</v>
      </c>
      <c r="S253" t="str">
        <f>"Q"&amp;ROUNDUP(Table1[[#This Row],[month]]/3,0)</f>
        <v>Q2</v>
      </c>
      <c r="T253" t="str">
        <f>CONCATENATE(Table1[[#This Row],[year]],"-",Table1[[#This Row],[Quarter]])</f>
        <v>2014-Q2</v>
      </c>
      <c r="U253" s="6" t="str">
        <f>IF(H252="","Pending",IF(Table1[[#This Row],[Days to ship]]&lt;Table1[[#This Row],[RequiredDate]],"On Time","Late"))</f>
        <v>On Time</v>
      </c>
      <c r="V253">
        <f>_xlfn.XLOOKUP(Table1[[#This Row],[orderID]],Table3[orderID],Table3[unitPrice])</f>
        <v>45.6</v>
      </c>
    </row>
    <row r="254" spans="1:22" x14ac:dyDescent="0.45">
      <c r="A254" s="3">
        <v>10500</v>
      </c>
      <c r="B254" s="6" t="s">
        <v>178</v>
      </c>
      <c r="C254" s="3">
        <v>6</v>
      </c>
      <c r="D254" s="6" t="str">
        <f>_xlfn.XLOOKUP(Table1[[#This Row],[EmployeeID]],Table4[employeeID],Table4[employeeName])</f>
        <v>Michael Suyama</v>
      </c>
      <c r="E254" s="1">
        <v>41738</v>
      </c>
      <c r="F254" s="1">
        <v>41766</v>
      </c>
      <c r="G254" s="1">
        <v>41746</v>
      </c>
      <c r="H254" s="3">
        <f>IF(Table1[[#This Row],[ShippedDate]]="","",IF(Table1[[#This Row],[OrderDate]]="","",Table1[[#This Row],[ShippedDate]]-Table1[[#This Row],[OrderDate]]))</f>
        <v>8</v>
      </c>
      <c r="I254" s="3">
        <v>1</v>
      </c>
      <c r="J254" s="2">
        <v>42.68</v>
      </c>
      <c r="K254" s="2">
        <f>SUMIF(order_details!A:A,Table1[[#This Row],[orderID]],order_details!F:F)</f>
        <v>523.26</v>
      </c>
      <c r="L254" s="9">
        <f>_xlfn.XLOOKUP(Table1[[#This Row],[orderID]],Table3[orderID],Table3[discount])</f>
        <v>0.05</v>
      </c>
      <c r="M254" s="2">
        <f>SUM(Table1[[#This Row],[Sales]],Table1[[#This Row],[freight]])</f>
        <v>565.93999999999994</v>
      </c>
      <c r="N254" s="3">
        <f>_xlfn.XLOOKUP(Table1[[#This Row],[orderID]],Table3[orderID],Table3[quantity])</f>
        <v>12</v>
      </c>
      <c r="O254" s="6" t="str">
        <f>_xlfn.XLOOKUP(Table1[[#This Row],[CustomerID]],customers!A:A,customers!B:B)</f>
        <v>La maison d'Asie</v>
      </c>
      <c r="P254" s="6" t="str">
        <f>_xlfn.XLOOKUP(Table1[[#This Row],[shipperID]],Table6[shipperID],Table6[companyName])</f>
        <v>Speedy Express</v>
      </c>
      <c r="Q254">
        <f>YEAR(Table1[[#This Row],[OrderDate]])</f>
        <v>2014</v>
      </c>
      <c r="R254">
        <f>MONTH(Table1[[#This Row],[OrderDate]])</f>
        <v>4</v>
      </c>
      <c r="S254" t="str">
        <f>"Q"&amp;ROUNDUP(Table1[[#This Row],[month]]/3,0)</f>
        <v>Q2</v>
      </c>
      <c r="T254" t="str">
        <f>CONCATENATE(Table1[[#This Row],[year]],"-",Table1[[#This Row],[Quarter]])</f>
        <v>2014-Q2</v>
      </c>
      <c r="U254" s="6" t="str">
        <f>IF(H253="","Pending",IF(Table1[[#This Row],[Days to ship]]&lt;Table1[[#This Row],[RequiredDate]],"On Time","Late"))</f>
        <v>On Time</v>
      </c>
      <c r="V254">
        <f>_xlfn.XLOOKUP(Table1[[#This Row],[orderID]],Table3[orderID],Table3[unitPrice])</f>
        <v>15.5</v>
      </c>
    </row>
    <row r="255" spans="1:22" x14ac:dyDescent="0.45">
      <c r="A255" s="3">
        <v>10501</v>
      </c>
      <c r="B255" s="6" t="s">
        <v>171</v>
      </c>
      <c r="C255" s="3">
        <v>9</v>
      </c>
      <c r="D255" s="6" t="str">
        <f>_xlfn.XLOOKUP(Table1[[#This Row],[EmployeeID]],Table4[employeeID],Table4[employeeName])</f>
        <v>Anne Dodsworth</v>
      </c>
      <c r="E255" s="1">
        <v>41738</v>
      </c>
      <c r="F255" s="1">
        <v>41766</v>
      </c>
      <c r="G255" s="1">
        <v>41745</v>
      </c>
      <c r="H255" s="3">
        <f>IF(Table1[[#This Row],[ShippedDate]]="","",IF(Table1[[#This Row],[OrderDate]]="","",Table1[[#This Row],[ShippedDate]]-Table1[[#This Row],[OrderDate]]))</f>
        <v>7</v>
      </c>
      <c r="I255" s="3">
        <v>3</v>
      </c>
      <c r="J255" s="2">
        <v>8.85</v>
      </c>
      <c r="K255" s="2">
        <f>SUMIF(order_details!A:A,Table1[[#This Row],[orderID]],order_details!F:F)</f>
        <v>149</v>
      </c>
      <c r="L255" s="9">
        <f>_xlfn.XLOOKUP(Table1[[#This Row],[orderID]],Table3[orderID],Table3[discount])</f>
        <v>0</v>
      </c>
      <c r="M255" s="2">
        <f>SUM(Table1[[#This Row],[Sales]],Table1[[#This Row],[freight]])</f>
        <v>157.85</v>
      </c>
      <c r="N255" s="3">
        <f>_xlfn.XLOOKUP(Table1[[#This Row],[orderID]],Table3[orderID],Table3[quantity])</f>
        <v>20</v>
      </c>
      <c r="O255" s="6" t="str">
        <f>_xlfn.XLOOKUP(Table1[[#This Row],[CustomerID]],customers!A:A,customers!B:B)</f>
        <v>Blauer See Delikatessen</v>
      </c>
      <c r="P255" s="6" t="str">
        <f>_xlfn.XLOOKUP(Table1[[#This Row],[shipperID]],Table6[shipperID],Table6[companyName])</f>
        <v>Federal Shipping</v>
      </c>
      <c r="Q255">
        <f>YEAR(Table1[[#This Row],[OrderDate]])</f>
        <v>2014</v>
      </c>
      <c r="R255">
        <f>MONTH(Table1[[#This Row],[OrderDate]])</f>
        <v>4</v>
      </c>
      <c r="S255" t="str">
        <f>"Q"&amp;ROUNDUP(Table1[[#This Row],[month]]/3,0)</f>
        <v>Q2</v>
      </c>
      <c r="T255" t="str">
        <f>CONCATENATE(Table1[[#This Row],[year]],"-",Table1[[#This Row],[Quarter]])</f>
        <v>2014-Q2</v>
      </c>
      <c r="U255" s="6" t="str">
        <f>IF(H254="","Pending",IF(Table1[[#This Row],[Days to ship]]&lt;Table1[[#This Row],[RequiredDate]],"On Time","Late"))</f>
        <v>On Time</v>
      </c>
      <c r="V255">
        <f>_xlfn.XLOOKUP(Table1[[#This Row],[orderID]],Table3[orderID],Table3[unitPrice])</f>
        <v>7.45</v>
      </c>
    </row>
    <row r="256" spans="1:22" x14ac:dyDescent="0.45">
      <c r="A256" s="3">
        <v>10502</v>
      </c>
      <c r="B256" s="6" t="s">
        <v>157</v>
      </c>
      <c r="C256" s="3">
        <v>2</v>
      </c>
      <c r="D256" s="6" t="str">
        <f>_xlfn.XLOOKUP(Table1[[#This Row],[EmployeeID]],Table4[employeeID],Table4[employeeName])</f>
        <v>Andrew Fuller</v>
      </c>
      <c r="E256" s="1">
        <v>41739</v>
      </c>
      <c r="F256" s="1">
        <v>41767</v>
      </c>
      <c r="G256" s="1">
        <v>41758</v>
      </c>
      <c r="H256" s="3">
        <f>IF(Table1[[#This Row],[ShippedDate]]="","",IF(Table1[[#This Row],[OrderDate]]="","",Table1[[#This Row],[ShippedDate]]-Table1[[#This Row],[OrderDate]]))</f>
        <v>19</v>
      </c>
      <c r="I256" s="3">
        <v>1</v>
      </c>
      <c r="J256" s="2">
        <v>69.319999999999993</v>
      </c>
      <c r="K256" s="2">
        <f>SUMIF(order_details!A:A,Table1[[#This Row],[orderID]],order_details!F:F)</f>
        <v>816.3</v>
      </c>
      <c r="L256" s="9">
        <f>_xlfn.XLOOKUP(Table1[[#This Row],[orderID]],Table3[orderID],Table3[discount])</f>
        <v>0</v>
      </c>
      <c r="M256" s="2">
        <f>SUM(Table1[[#This Row],[Sales]],Table1[[#This Row],[freight]])</f>
        <v>885.61999999999989</v>
      </c>
      <c r="N256" s="3">
        <f>_xlfn.XLOOKUP(Table1[[#This Row],[orderID]],Table3[orderID],Table3[quantity])</f>
        <v>21</v>
      </c>
      <c r="O256" s="6" t="str">
        <f>_xlfn.XLOOKUP(Table1[[#This Row],[CustomerID]],customers!A:A,customers!B:B)</f>
        <v>Pericles Comidas clásicas</v>
      </c>
      <c r="P256" s="6" t="str">
        <f>_xlfn.XLOOKUP(Table1[[#This Row],[shipperID]],Table6[shipperID],Table6[companyName])</f>
        <v>Speedy Express</v>
      </c>
      <c r="Q256">
        <f>YEAR(Table1[[#This Row],[OrderDate]])</f>
        <v>2014</v>
      </c>
      <c r="R256">
        <f>MONTH(Table1[[#This Row],[OrderDate]])</f>
        <v>4</v>
      </c>
      <c r="S256" t="str">
        <f>"Q"&amp;ROUNDUP(Table1[[#This Row],[month]]/3,0)</f>
        <v>Q2</v>
      </c>
      <c r="T256" t="str">
        <f>CONCATENATE(Table1[[#This Row],[year]],"-",Table1[[#This Row],[Quarter]])</f>
        <v>2014-Q2</v>
      </c>
      <c r="U256" s="6" t="str">
        <f>IF(H255="","Pending",IF(Table1[[#This Row],[Days to ship]]&lt;Table1[[#This Row],[RequiredDate]],"On Time","Late"))</f>
        <v>On Time</v>
      </c>
      <c r="V256">
        <f>_xlfn.XLOOKUP(Table1[[#This Row],[orderID]],Table3[orderID],Table3[unitPrice])</f>
        <v>9.5</v>
      </c>
    </row>
    <row r="257" spans="1:22" x14ac:dyDescent="0.45">
      <c r="A257" s="3">
        <v>10503</v>
      </c>
      <c r="B257" s="6" t="s">
        <v>166</v>
      </c>
      <c r="C257" s="3">
        <v>6</v>
      </c>
      <c r="D257" s="6" t="str">
        <f>_xlfn.XLOOKUP(Table1[[#This Row],[EmployeeID]],Table4[employeeID],Table4[employeeName])</f>
        <v>Michael Suyama</v>
      </c>
      <c r="E257" s="1">
        <v>41740</v>
      </c>
      <c r="F257" s="1">
        <v>41768</v>
      </c>
      <c r="G257" s="1">
        <v>41745</v>
      </c>
      <c r="H257" s="3">
        <f>IF(Table1[[#This Row],[ShippedDate]]="","",IF(Table1[[#This Row],[OrderDate]]="","",Table1[[#This Row],[ShippedDate]]-Table1[[#This Row],[OrderDate]]))</f>
        <v>5</v>
      </c>
      <c r="I257" s="3">
        <v>2</v>
      </c>
      <c r="J257" s="2">
        <v>16.739999999999998</v>
      </c>
      <c r="K257" s="2">
        <f>SUMIF(order_details!A:A,Table1[[#This Row],[orderID]],order_details!F:F)</f>
        <v>2048.5</v>
      </c>
      <c r="L257" s="9">
        <f>_xlfn.XLOOKUP(Table1[[#This Row],[orderID]],Table3[orderID],Table3[discount])</f>
        <v>0</v>
      </c>
      <c r="M257" s="2">
        <f>SUM(Table1[[#This Row],[Sales]],Table1[[#This Row],[freight]])</f>
        <v>2065.2399999999998</v>
      </c>
      <c r="N257" s="3">
        <f>_xlfn.XLOOKUP(Table1[[#This Row],[orderID]],Table3[orderID],Table3[quantity])</f>
        <v>70</v>
      </c>
      <c r="O257" s="6" t="str">
        <f>_xlfn.XLOOKUP(Table1[[#This Row],[CustomerID]],customers!A:A,customers!B:B)</f>
        <v>Hungry Owl All-Night Grocers</v>
      </c>
      <c r="P257" s="6" t="str">
        <f>_xlfn.XLOOKUP(Table1[[#This Row],[shipperID]],Table6[shipperID],Table6[companyName])</f>
        <v>United Package</v>
      </c>
      <c r="Q257">
        <f>YEAR(Table1[[#This Row],[OrderDate]])</f>
        <v>2014</v>
      </c>
      <c r="R257">
        <f>MONTH(Table1[[#This Row],[OrderDate]])</f>
        <v>4</v>
      </c>
      <c r="S257" t="str">
        <f>"Q"&amp;ROUNDUP(Table1[[#This Row],[month]]/3,0)</f>
        <v>Q2</v>
      </c>
      <c r="T257" t="str">
        <f>CONCATENATE(Table1[[#This Row],[year]],"-",Table1[[#This Row],[Quarter]])</f>
        <v>2014-Q2</v>
      </c>
      <c r="U257" s="6" t="str">
        <f>IF(H256="","Pending",IF(Table1[[#This Row],[Days to ship]]&lt;Table1[[#This Row],[RequiredDate]],"On Time","Late"))</f>
        <v>On Time</v>
      </c>
      <c r="V257">
        <f>_xlfn.XLOOKUP(Table1[[#This Row],[orderID]],Table3[orderID],Table3[unitPrice])</f>
        <v>23.25</v>
      </c>
    </row>
    <row r="258" spans="1:22" x14ac:dyDescent="0.45">
      <c r="A258" s="3">
        <v>10504</v>
      </c>
      <c r="B258" s="6" t="s">
        <v>164</v>
      </c>
      <c r="C258" s="3">
        <v>4</v>
      </c>
      <c r="D258" s="6" t="str">
        <f>_xlfn.XLOOKUP(Table1[[#This Row],[EmployeeID]],Table4[employeeID],Table4[employeeName])</f>
        <v>Margaret Peacock</v>
      </c>
      <c r="E258" s="1">
        <v>41740</v>
      </c>
      <c r="F258" s="1">
        <v>41768</v>
      </c>
      <c r="G258" s="1">
        <v>41747</v>
      </c>
      <c r="H258" s="3">
        <f>IF(Table1[[#This Row],[ShippedDate]]="","",IF(Table1[[#This Row],[OrderDate]]="","",Table1[[#This Row],[ShippedDate]]-Table1[[#This Row],[OrderDate]]))</f>
        <v>7</v>
      </c>
      <c r="I258" s="3">
        <v>3</v>
      </c>
      <c r="J258" s="2">
        <v>59.13</v>
      </c>
      <c r="K258" s="2">
        <f>SUMIF(order_details!A:A,Table1[[#This Row],[orderID]],order_details!F:F)</f>
        <v>1388.5</v>
      </c>
      <c r="L258" s="9">
        <f>_xlfn.XLOOKUP(Table1[[#This Row],[orderID]],Table3[orderID],Table3[discount])</f>
        <v>0</v>
      </c>
      <c r="M258" s="2">
        <f>SUM(Table1[[#This Row],[Sales]],Table1[[#This Row],[freight]])</f>
        <v>1447.63</v>
      </c>
      <c r="N258" s="3">
        <f>_xlfn.XLOOKUP(Table1[[#This Row],[orderID]],Table3[orderID],Table3[quantity])</f>
        <v>12</v>
      </c>
      <c r="O258" s="6" t="str">
        <f>_xlfn.XLOOKUP(Table1[[#This Row],[CustomerID]],customers!A:A,customers!B:B)</f>
        <v>White Clover Markets</v>
      </c>
      <c r="P258" s="6" t="str">
        <f>_xlfn.XLOOKUP(Table1[[#This Row],[shipperID]],Table6[shipperID],Table6[companyName])</f>
        <v>Federal Shipping</v>
      </c>
      <c r="Q258">
        <f>YEAR(Table1[[#This Row],[OrderDate]])</f>
        <v>2014</v>
      </c>
      <c r="R258">
        <f>MONTH(Table1[[#This Row],[OrderDate]])</f>
        <v>4</v>
      </c>
      <c r="S258" t="str">
        <f>"Q"&amp;ROUNDUP(Table1[[#This Row],[month]]/3,0)</f>
        <v>Q2</v>
      </c>
      <c r="T258" t="str">
        <f>CONCATENATE(Table1[[#This Row],[year]],"-",Table1[[#This Row],[Quarter]])</f>
        <v>2014-Q2</v>
      </c>
      <c r="U258" s="6" t="str">
        <f>IF(H257="","Pending",IF(Table1[[#This Row],[Days to ship]]&lt;Table1[[#This Row],[RequiredDate]],"On Time","Late"))</f>
        <v>On Time</v>
      </c>
      <c r="V258">
        <f>_xlfn.XLOOKUP(Table1[[#This Row],[orderID]],Table3[orderID],Table3[unitPrice])</f>
        <v>19</v>
      </c>
    </row>
    <row r="259" spans="1:22" x14ac:dyDescent="0.45">
      <c r="A259" s="3">
        <v>10505</v>
      </c>
      <c r="B259" s="6" t="s">
        <v>238</v>
      </c>
      <c r="C259" s="3">
        <v>3</v>
      </c>
      <c r="D259" s="6" t="str">
        <f>_xlfn.XLOOKUP(Table1[[#This Row],[EmployeeID]],Table4[employeeID],Table4[employeeName])</f>
        <v>Janet Leverling</v>
      </c>
      <c r="E259" s="1">
        <v>41743</v>
      </c>
      <c r="F259" s="1">
        <v>41771</v>
      </c>
      <c r="G259" s="1">
        <v>41750</v>
      </c>
      <c r="H259" s="3">
        <f>IF(Table1[[#This Row],[ShippedDate]]="","",IF(Table1[[#This Row],[OrderDate]]="","",Table1[[#This Row],[ShippedDate]]-Table1[[#This Row],[OrderDate]]))</f>
        <v>7</v>
      </c>
      <c r="I259" s="3">
        <v>3</v>
      </c>
      <c r="J259" s="2">
        <v>7.13</v>
      </c>
      <c r="K259" s="2">
        <f>SUMIF(order_details!A:A,Table1[[#This Row],[orderID]],order_details!F:F)</f>
        <v>147.89999999999998</v>
      </c>
      <c r="L259" s="9">
        <f>_xlfn.XLOOKUP(Table1[[#This Row],[orderID]],Table3[orderID],Table3[discount])</f>
        <v>0</v>
      </c>
      <c r="M259" s="2">
        <f>SUM(Table1[[#This Row],[Sales]],Table1[[#This Row],[freight]])</f>
        <v>155.02999999999997</v>
      </c>
      <c r="N259" s="3">
        <f>_xlfn.XLOOKUP(Table1[[#This Row],[orderID]],Table3[orderID],Table3[quantity])</f>
        <v>3</v>
      </c>
      <c r="O259" s="6" t="str">
        <f>_xlfn.XLOOKUP(Table1[[#This Row],[CustomerID]],customers!A:A,customers!B:B)</f>
        <v>Mère Paillarde</v>
      </c>
      <c r="P259" s="6" t="str">
        <f>_xlfn.XLOOKUP(Table1[[#This Row],[shipperID]],Table6[shipperID],Table6[companyName])</f>
        <v>Federal Shipping</v>
      </c>
      <c r="Q259">
        <f>YEAR(Table1[[#This Row],[OrderDate]])</f>
        <v>2014</v>
      </c>
      <c r="R259">
        <f>MONTH(Table1[[#This Row],[OrderDate]])</f>
        <v>4</v>
      </c>
      <c r="S259" t="str">
        <f>"Q"&amp;ROUNDUP(Table1[[#This Row],[month]]/3,0)</f>
        <v>Q2</v>
      </c>
      <c r="T259" t="str">
        <f>CONCATENATE(Table1[[#This Row],[year]],"-",Table1[[#This Row],[Quarter]])</f>
        <v>2014-Q2</v>
      </c>
      <c r="U259" s="6" t="str">
        <f>IF(H258="","Pending",IF(Table1[[#This Row],[Days to ship]]&lt;Table1[[#This Row],[RequiredDate]],"On Time","Late"))</f>
        <v>On Time</v>
      </c>
      <c r="V259">
        <f>_xlfn.XLOOKUP(Table1[[#This Row],[orderID]],Table3[orderID],Table3[unitPrice])</f>
        <v>49.3</v>
      </c>
    </row>
    <row r="260" spans="1:22" x14ac:dyDescent="0.45">
      <c r="A260" s="3">
        <v>10506</v>
      </c>
      <c r="B260" s="6" t="s">
        <v>191</v>
      </c>
      <c r="C260" s="3">
        <v>9</v>
      </c>
      <c r="D260" s="6" t="str">
        <f>_xlfn.XLOOKUP(Table1[[#This Row],[EmployeeID]],Table4[employeeID],Table4[employeeName])</f>
        <v>Anne Dodsworth</v>
      </c>
      <c r="E260" s="1">
        <v>41744</v>
      </c>
      <c r="F260" s="1">
        <v>41772</v>
      </c>
      <c r="G260" s="1">
        <v>41761</v>
      </c>
      <c r="H260" s="3">
        <f>IF(Table1[[#This Row],[ShippedDate]]="","",IF(Table1[[#This Row],[OrderDate]]="","",Table1[[#This Row],[ShippedDate]]-Table1[[#This Row],[OrderDate]]))</f>
        <v>17</v>
      </c>
      <c r="I260" s="3">
        <v>2</v>
      </c>
      <c r="J260" s="2">
        <v>21.19</v>
      </c>
      <c r="K260" s="2">
        <f>SUMIF(order_details!A:A,Table1[[#This Row],[orderID]],order_details!F:F)</f>
        <v>415.8</v>
      </c>
      <c r="L260" s="9">
        <f>_xlfn.XLOOKUP(Table1[[#This Row],[orderID]],Table3[orderID],Table3[discount])</f>
        <v>0.1</v>
      </c>
      <c r="M260" s="2">
        <f>SUM(Table1[[#This Row],[Sales]],Table1[[#This Row],[freight]])</f>
        <v>436.99</v>
      </c>
      <c r="N260" s="3">
        <f>_xlfn.XLOOKUP(Table1[[#This Row],[orderID]],Table3[orderID],Table3[quantity])</f>
        <v>18</v>
      </c>
      <c r="O260" s="6" t="str">
        <f>_xlfn.XLOOKUP(Table1[[#This Row],[CustomerID]],customers!A:A,customers!B:B)</f>
        <v>Königlich Essen</v>
      </c>
      <c r="P260" s="6" t="str">
        <f>_xlfn.XLOOKUP(Table1[[#This Row],[shipperID]],Table6[shipperID],Table6[companyName])</f>
        <v>United Package</v>
      </c>
      <c r="Q260">
        <f>YEAR(Table1[[#This Row],[OrderDate]])</f>
        <v>2014</v>
      </c>
      <c r="R260">
        <f>MONTH(Table1[[#This Row],[OrderDate]])</f>
        <v>4</v>
      </c>
      <c r="S260" t="str">
        <f>"Q"&amp;ROUNDUP(Table1[[#This Row],[month]]/3,0)</f>
        <v>Q2</v>
      </c>
      <c r="T260" t="str">
        <f>CONCATENATE(Table1[[#This Row],[year]],"-",Table1[[#This Row],[Quarter]])</f>
        <v>2014-Q2</v>
      </c>
      <c r="U260" s="6" t="str">
        <f>IF(H259="","Pending",IF(Table1[[#This Row],[Days to ship]]&lt;Table1[[#This Row],[RequiredDate]],"On Time","Late"))</f>
        <v>On Time</v>
      </c>
      <c r="V260">
        <f>_xlfn.XLOOKUP(Table1[[#This Row],[orderID]],Table3[orderID],Table3[unitPrice])</f>
        <v>14</v>
      </c>
    </row>
    <row r="261" spans="1:22" x14ac:dyDescent="0.45">
      <c r="A261" s="3">
        <v>10507</v>
      </c>
      <c r="B261" s="6" t="s">
        <v>227</v>
      </c>
      <c r="C261" s="3">
        <v>7</v>
      </c>
      <c r="D261" s="6" t="str">
        <f>_xlfn.XLOOKUP(Table1[[#This Row],[EmployeeID]],Table4[employeeID],Table4[employeeName])</f>
        <v>Robert King</v>
      </c>
      <c r="E261" s="1">
        <v>41744</v>
      </c>
      <c r="F261" s="1">
        <v>41772</v>
      </c>
      <c r="G261" s="1">
        <v>41751</v>
      </c>
      <c r="H261" s="3">
        <f>IF(Table1[[#This Row],[ShippedDate]]="","",IF(Table1[[#This Row],[OrderDate]]="","",Table1[[#This Row],[ShippedDate]]-Table1[[#This Row],[OrderDate]]))</f>
        <v>7</v>
      </c>
      <c r="I261" s="3">
        <v>1</v>
      </c>
      <c r="J261" s="2">
        <v>47.45</v>
      </c>
      <c r="K261" s="2">
        <f>SUMIF(order_details!A:A,Table1[[#This Row],[orderID]],order_details!F:F)</f>
        <v>749.0625</v>
      </c>
      <c r="L261" s="9">
        <f>_xlfn.XLOOKUP(Table1[[#This Row],[orderID]],Table3[orderID],Table3[discount])</f>
        <v>0.15</v>
      </c>
      <c r="M261" s="2">
        <f>SUM(Table1[[#This Row],[Sales]],Table1[[#This Row],[freight]])</f>
        <v>796.51250000000005</v>
      </c>
      <c r="N261" s="3">
        <f>_xlfn.XLOOKUP(Table1[[#This Row],[orderID]],Table3[orderID],Table3[quantity])</f>
        <v>15</v>
      </c>
      <c r="O261" s="6" t="str">
        <f>_xlfn.XLOOKUP(Table1[[#This Row],[CustomerID]],customers!A:A,customers!B:B)</f>
        <v>Antonio Moreno Taquería</v>
      </c>
      <c r="P261" s="6" t="str">
        <f>_xlfn.XLOOKUP(Table1[[#This Row],[shipperID]],Table6[shipperID],Table6[companyName])</f>
        <v>Speedy Express</v>
      </c>
      <c r="Q261">
        <f>YEAR(Table1[[#This Row],[OrderDate]])</f>
        <v>2014</v>
      </c>
      <c r="R261">
        <f>MONTH(Table1[[#This Row],[OrderDate]])</f>
        <v>4</v>
      </c>
      <c r="S261" t="str">
        <f>"Q"&amp;ROUNDUP(Table1[[#This Row],[month]]/3,0)</f>
        <v>Q2</v>
      </c>
      <c r="T261" t="str">
        <f>CONCATENATE(Table1[[#This Row],[year]],"-",Table1[[#This Row],[Quarter]])</f>
        <v>2014-Q2</v>
      </c>
      <c r="U261" s="6" t="str">
        <f>IF(H260="","Pending",IF(Table1[[#This Row],[Days to ship]]&lt;Table1[[#This Row],[RequiredDate]],"On Time","Late"))</f>
        <v>On Time</v>
      </c>
      <c r="V261">
        <f>_xlfn.XLOOKUP(Table1[[#This Row],[orderID]],Table3[orderID],Table3[unitPrice])</f>
        <v>46</v>
      </c>
    </row>
    <row r="262" spans="1:22" x14ac:dyDescent="0.45">
      <c r="A262" s="3">
        <v>10508</v>
      </c>
      <c r="B262" s="6" t="s">
        <v>195</v>
      </c>
      <c r="C262" s="3">
        <v>1</v>
      </c>
      <c r="D262" s="6" t="str">
        <f>_xlfn.XLOOKUP(Table1[[#This Row],[EmployeeID]],Table4[employeeID],Table4[employeeName])</f>
        <v>Nancy Davolio</v>
      </c>
      <c r="E262" s="1">
        <v>41745</v>
      </c>
      <c r="F262" s="1">
        <v>41773</v>
      </c>
      <c r="G262" s="1">
        <v>41772</v>
      </c>
      <c r="H262" s="3">
        <f>IF(Table1[[#This Row],[ShippedDate]]="","",IF(Table1[[#This Row],[OrderDate]]="","",Table1[[#This Row],[ShippedDate]]-Table1[[#This Row],[OrderDate]]))</f>
        <v>27</v>
      </c>
      <c r="I262" s="3">
        <v>2</v>
      </c>
      <c r="J262" s="2">
        <v>4.99</v>
      </c>
      <c r="K262" s="2">
        <f>SUMIF(order_details!A:A,Table1[[#This Row],[orderID]],order_details!F:F)</f>
        <v>240</v>
      </c>
      <c r="L262" s="9">
        <f>_xlfn.XLOOKUP(Table1[[#This Row],[orderID]],Table3[orderID],Table3[discount])</f>
        <v>0</v>
      </c>
      <c r="M262" s="2">
        <f>SUM(Table1[[#This Row],[Sales]],Table1[[#This Row],[freight]])</f>
        <v>244.99</v>
      </c>
      <c r="N262" s="3">
        <f>_xlfn.XLOOKUP(Table1[[#This Row],[orderID]],Table3[orderID],Table3[quantity])</f>
        <v>10</v>
      </c>
      <c r="O262" s="6" t="str">
        <f>_xlfn.XLOOKUP(Table1[[#This Row],[CustomerID]],customers!A:A,customers!B:B)</f>
        <v>Ottilies Käseladen</v>
      </c>
      <c r="P262" s="6" t="str">
        <f>_xlfn.XLOOKUP(Table1[[#This Row],[shipperID]],Table6[shipperID],Table6[companyName])</f>
        <v>United Package</v>
      </c>
      <c r="Q262">
        <f>YEAR(Table1[[#This Row],[OrderDate]])</f>
        <v>2014</v>
      </c>
      <c r="R262">
        <f>MONTH(Table1[[#This Row],[OrderDate]])</f>
        <v>4</v>
      </c>
      <c r="S262" t="str">
        <f>"Q"&amp;ROUNDUP(Table1[[#This Row],[month]]/3,0)</f>
        <v>Q2</v>
      </c>
      <c r="T262" t="str">
        <f>CONCATENATE(Table1[[#This Row],[year]],"-",Table1[[#This Row],[Quarter]])</f>
        <v>2014-Q2</v>
      </c>
      <c r="U262" s="6" t="str">
        <f>IF(H261="","Pending",IF(Table1[[#This Row],[Days to ship]]&lt;Table1[[#This Row],[RequiredDate]],"On Time","Late"))</f>
        <v>On Time</v>
      </c>
      <c r="V262">
        <f>_xlfn.XLOOKUP(Table1[[#This Row],[orderID]],Table3[orderID],Table3[unitPrice])</f>
        <v>6</v>
      </c>
    </row>
    <row r="263" spans="1:22" x14ac:dyDescent="0.45">
      <c r="A263" s="3">
        <v>10509</v>
      </c>
      <c r="B263" s="6" t="s">
        <v>171</v>
      </c>
      <c r="C263" s="3">
        <v>4</v>
      </c>
      <c r="D263" s="6" t="str">
        <f>_xlfn.XLOOKUP(Table1[[#This Row],[EmployeeID]],Table4[employeeID],Table4[employeeName])</f>
        <v>Margaret Peacock</v>
      </c>
      <c r="E263" s="1">
        <v>41746</v>
      </c>
      <c r="F263" s="1">
        <v>41774</v>
      </c>
      <c r="G263" s="1">
        <v>41758</v>
      </c>
      <c r="H263" s="3">
        <f>IF(Table1[[#This Row],[ShippedDate]]="","",IF(Table1[[#This Row],[OrderDate]]="","",Table1[[#This Row],[ShippedDate]]-Table1[[#This Row],[OrderDate]]))</f>
        <v>12</v>
      </c>
      <c r="I263" s="3">
        <v>1</v>
      </c>
      <c r="J263" s="2">
        <v>0.15</v>
      </c>
      <c r="K263" s="2">
        <f>SUMIF(order_details!A:A,Table1[[#This Row],[orderID]],order_details!F:F)</f>
        <v>136.80000000000001</v>
      </c>
      <c r="L263" s="9">
        <f>_xlfn.XLOOKUP(Table1[[#This Row],[orderID]],Table3[orderID],Table3[discount])</f>
        <v>0</v>
      </c>
      <c r="M263" s="2">
        <f>SUM(Table1[[#This Row],[Sales]],Table1[[#This Row],[freight]])</f>
        <v>136.95000000000002</v>
      </c>
      <c r="N263" s="3">
        <f>_xlfn.XLOOKUP(Table1[[#This Row],[orderID]],Table3[orderID],Table3[quantity])</f>
        <v>3</v>
      </c>
      <c r="O263" s="6" t="str">
        <f>_xlfn.XLOOKUP(Table1[[#This Row],[CustomerID]],customers!A:A,customers!B:B)</f>
        <v>Blauer See Delikatessen</v>
      </c>
      <c r="P263" s="6" t="str">
        <f>_xlfn.XLOOKUP(Table1[[#This Row],[shipperID]],Table6[shipperID],Table6[companyName])</f>
        <v>Speedy Express</v>
      </c>
      <c r="Q263">
        <f>YEAR(Table1[[#This Row],[OrderDate]])</f>
        <v>2014</v>
      </c>
      <c r="R263">
        <f>MONTH(Table1[[#This Row],[OrderDate]])</f>
        <v>4</v>
      </c>
      <c r="S263" t="str">
        <f>"Q"&amp;ROUNDUP(Table1[[#This Row],[month]]/3,0)</f>
        <v>Q2</v>
      </c>
      <c r="T263" t="str">
        <f>CONCATENATE(Table1[[#This Row],[year]],"-",Table1[[#This Row],[Quarter]])</f>
        <v>2014-Q2</v>
      </c>
      <c r="U263" s="6" t="str">
        <f>IF(H262="","Pending",IF(Table1[[#This Row],[Days to ship]]&lt;Table1[[#This Row],[RequiredDate]],"On Time","Late"))</f>
        <v>On Time</v>
      </c>
      <c r="V263">
        <f>_xlfn.XLOOKUP(Table1[[#This Row],[orderID]],Table3[orderID],Table3[unitPrice])</f>
        <v>45.6</v>
      </c>
    </row>
    <row r="264" spans="1:22" x14ac:dyDescent="0.45">
      <c r="A264" s="3">
        <v>10510</v>
      </c>
      <c r="B264" s="6" t="s">
        <v>165</v>
      </c>
      <c r="C264" s="3">
        <v>6</v>
      </c>
      <c r="D264" s="6" t="str">
        <f>_xlfn.XLOOKUP(Table1[[#This Row],[EmployeeID]],Table4[employeeID],Table4[employeeName])</f>
        <v>Michael Suyama</v>
      </c>
      <c r="E264" s="1">
        <v>41747</v>
      </c>
      <c r="F264" s="1">
        <v>41775</v>
      </c>
      <c r="G264" s="1">
        <v>41757</v>
      </c>
      <c r="H264" s="3">
        <f>IF(Table1[[#This Row],[ShippedDate]]="","",IF(Table1[[#This Row],[OrderDate]]="","",Table1[[#This Row],[ShippedDate]]-Table1[[#This Row],[OrderDate]]))</f>
        <v>10</v>
      </c>
      <c r="I264" s="3">
        <v>3</v>
      </c>
      <c r="J264" s="2">
        <v>367.63</v>
      </c>
      <c r="K264" s="2">
        <f>SUMIF(order_details!A:A,Table1[[#This Row],[orderID]],order_details!F:F)</f>
        <v>4707.5400000000009</v>
      </c>
      <c r="L264" s="9">
        <f>_xlfn.XLOOKUP(Table1[[#This Row],[orderID]],Table3[orderID],Table3[discount])</f>
        <v>0</v>
      </c>
      <c r="M264" s="2">
        <f>SUM(Table1[[#This Row],[Sales]],Table1[[#This Row],[freight]])</f>
        <v>5075.170000000001</v>
      </c>
      <c r="N264" s="3">
        <f>_xlfn.XLOOKUP(Table1[[#This Row],[orderID]],Table3[orderID],Table3[quantity])</f>
        <v>36</v>
      </c>
      <c r="O264" s="6" t="str">
        <f>_xlfn.XLOOKUP(Table1[[#This Row],[CustomerID]],customers!A:A,customers!B:B)</f>
        <v>Save-a-lot Markets</v>
      </c>
      <c r="P264" s="6" t="str">
        <f>_xlfn.XLOOKUP(Table1[[#This Row],[shipperID]],Table6[shipperID],Table6[companyName])</f>
        <v>Federal Shipping</v>
      </c>
      <c r="Q264">
        <f>YEAR(Table1[[#This Row],[OrderDate]])</f>
        <v>2014</v>
      </c>
      <c r="R264">
        <f>MONTH(Table1[[#This Row],[OrderDate]])</f>
        <v>4</v>
      </c>
      <c r="S264" t="str">
        <f>"Q"&amp;ROUNDUP(Table1[[#This Row],[month]]/3,0)</f>
        <v>Q2</v>
      </c>
      <c r="T264" t="str">
        <f>CONCATENATE(Table1[[#This Row],[year]],"-",Table1[[#This Row],[Quarter]])</f>
        <v>2014-Q2</v>
      </c>
      <c r="U264" s="6" t="str">
        <f>IF(H263="","Pending",IF(Table1[[#This Row],[Days to ship]]&lt;Table1[[#This Row],[RequiredDate]],"On Time","Late"))</f>
        <v>On Time</v>
      </c>
      <c r="V264">
        <f>_xlfn.XLOOKUP(Table1[[#This Row],[orderID]],Table3[orderID],Table3[unitPrice])</f>
        <v>123.79</v>
      </c>
    </row>
    <row r="265" spans="1:22" x14ac:dyDescent="0.45">
      <c r="A265" s="3">
        <v>10511</v>
      </c>
      <c r="B265" s="6" t="s">
        <v>154</v>
      </c>
      <c r="C265" s="3">
        <v>4</v>
      </c>
      <c r="D265" s="6" t="str">
        <f>_xlfn.XLOOKUP(Table1[[#This Row],[EmployeeID]],Table4[employeeID],Table4[employeeName])</f>
        <v>Margaret Peacock</v>
      </c>
      <c r="E265" s="1">
        <v>41747</v>
      </c>
      <c r="F265" s="1">
        <v>41775</v>
      </c>
      <c r="G265" s="1">
        <v>41750</v>
      </c>
      <c r="H265" s="3">
        <f>IF(Table1[[#This Row],[ShippedDate]]="","",IF(Table1[[#This Row],[OrderDate]]="","",Table1[[#This Row],[ShippedDate]]-Table1[[#This Row],[OrderDate]]))</f>
        <v>3</v>
      </c>
      <c r="I265" s="3">
        <v>3</v>
      </c>
      <c r="J265" s="2">
        <v>350.64</v>
      </c>
      <c r="K265" s="2">
        <f>SUMIF(order_details!A:A,Table1[[#This Row],[orderID]],order_details!F:F)</f>
        <v>2550</v>
      </c>
      <c r="L265" s="9">
        <f>_xlfn.XLOOKUP(Table1[[#This Row],[orderID]],Table3[orderID],Table3[discount])</f>
        <v>0.15</v>
      </c>
      <c r="M265" s="2">
        <f>SUM(Table1[[#This Row],[Sales]],Table1[[#This Row],[freight]])</f>
        <v>2900.64</v>
      </c>
      <c r="N265" s="3">
        <f>_xlfn.XLOOKUP(Table1[[#This Row],[orderID]],Table3[orderID],Table3[quantity])</f>
        <v>50</v>
      </c>
      <c r="O265" s="6" t="str">
        <f>_xlfn.XLOOKUP(Table1[[#This Row],[CustomerID]],customers!A:A,customers!B:B)</f>
        <v>Bon app'</v>
      </c>
      <c r="P265" s="6" t="str">
        <f>_xlfn.XLOOKUP(Table1[[#This Row],[shipperID]],Table6[shipperID],Table6[companyName])</f>
        <v>Federal Shipping</v>
      </c>
      <c r="Q265">
        <f>YEAR(Table1[[#This Row],[OrderDate]])</f>
        <v>2014</v>
      </c>
      <c r="R265">
        <f>MONTH(Table1[[#This Row],[OrderDate]])</f>
        <v>4</v>
      </c>
      <c r="S265" t="str">
        <f>"Q"&amp;ROUNDUP(Table1[[#This Row],[month]]/3,0)</f>
        <v>Q2</v>
      </c>
      <c r="T265" t="str">
        <f>CONCATENATE(Table1[[#This Row],[year]],"-",Table1[[#This Row],[Quarter]])</f>
        <v>2014-Q2</v>
      </c>
      <c r="U265" s="6" t="str">
        <f>IF(H264="","Pending",IF(Table1[[#This Row],[Days to ship]]&lt;Table1[[#This Row],[RequiredDate]],"On Time","Late"))</f>
        <v>On Time</v>
      </c>
      <c r="V265">
        <f>_xlfn.XLOOKUP(Table1[[#This Row],[orderID]],Table3[orderID],Table3[unitPrice])</f>
        <v>22</v>
      </c>
    </row>
    <row r="266" spans="1:22" x14ac:dyDescent="0.45">
      <c r="A266" s="3">
        <v>10512</v>
      </c>
      <c r="B266" s="6" t="s">
        <v>237</v>
      </c>
      <c r="C266" s="3">
        <v>7</v>
      </c>
      <c r="D266" s="6" t="str">
        <f>_xlfn.XLOOKUP(Table1[[#This Row],[EmployeeID]],Table4[employeeID],Table4[employeeName])</f>
        <v>Robert King</v>
      </c>
      <c r="E266" s="1">
        <v>41750</v>
      </c>
      <c r="F266" s="1">
        <v>41778</v>
      </c>
      <c r="G266" s="1">
        <v>41753</v>
      </c>
      <c r="H266" s="3">
        <f>IF(Table1[[#This Row],[ShippedDate]]="","",IF(Table1[[#This Row],[OrderDate]]="","",Table1[[#This Row],[ShippedDate]]-Table1[[#This Row],[OrderDate]]))</f>
        <v>3</v>
      </c>
      <c r="I266" s="3">
        <v>2</v>
      </c>
      <c r="J266" s="2">
        <v>3.53</v>
      </c>
      <c r="K266" s="2">
        <f>SUMIF(order_details!A:A,Table1[[#This Row],[orderID]],order_details!F:F)</f>
        <v>525.29999999999995</v>
      </c>
      <c r="L266" s="9">
        <f>_xlfn.XLOOKUP(Table1[[#This Row],[orderID]],Table3[orderID],Table3[discount])</f>
        <v>0.15</v>
      </c>
      <c r="M266" s="2">
        <f>SUM(Table1[[#This Row],[Sales]],Table1[[#This Row],[freight]])</f>
        <v>528.82999999999993</v>
      </c>
      <c r="N266" s="3">
        <f>_xlfn.XLOOKUP(Table1[[#This Row],[orderID]],Table3[orderID],Table3[quantity])</f>
        <v>10</v>
      </c>
      <c r="O266" s="6" t="str">
        <f>_xlfn.XLOOKUP(Table1[[#This Row],[CustomerID]],customers!A:A,customers!B:B)</f>
        <v>Familia Arquibaldo</v>
      </c>
      <c r="P266" s="6" t="str">
        <f>_xlfn.XLOOKUP(Table1[[#This Row],[shipperID]],Table6[shipperID],Table6[companyName])</f>
        <v>United Package</v>
      </c>
      <c r="Q266">
        <f>YEAR(Table1[[#This Row],[OrderDate]])</f>
        <v>2014</v>
      </c>
      <c r="R266">
        <f>MONTH(Table1[[#This Row],[OrderDate]])</f>
        <v>4</v>
      </c>
      <c r="S266" t="str">
        <f>"Q"&amp;ROUNDUP(Table1[[#This Row],[month]]/3,0)</f>
        <v>Q2</v>
      </c>
      <c r="T266" t="str">
        <f>CONCATENATE(Table1[[#This Row],[year]],"-",Table1[[#This Row],[Quarter]])</f>
        <v>2014-Q2</v>
      </c>
      <c r="U266" s="6" t="str">
        <f>IF(H265="","Pending",IF(Table1[[#This Row],[Days to ship]]&lt;Table1[[#This Row],[RequiredDate]],"On Time","Late"))</f>
        <v>On Time</v>
      </c>
      <c r="V266">
        <f>_xlfn.XLOOKUP(Table1[[#This Row],[orderID]],Table3[orderID],Table3[unitPrice])</f>
        <v>4.5</v>
      </c>
    </row>
    <row r="267" spans="1:22" x14ac:dyDescent="0.45">
      <c r="A267" s="3">
        <v>10513</v>
      </c>
      <c r="B267" s="6" t="s">
        <v>182</v>
      </c>
      <c r="C267" s="3">
        <v>7</v>
      </c>
      <c r="D267" s="6" t="str">
        <f>_xlfn.XLOOKUP(Table1[[#This Row],[EmployeeID]],Table4[employeeID],Table4[employeeName])</f>
        <v>Robert King</v>
      </c>
      <c r="E267" s="1">
        <v>41751</v>
      </c>
      <c r="F267" s="1">
        <v>41793</v>
      </c>
      <c r="G267" s="1">
        <v>41757</v>
      </c>
      <c r="H267" s="3">
        <f>IF(Table1[[#This Row],[ShippedDate]]="","",IF(Table1[[#This Row],[OrderDate]]="","",Table1[[#This Row],[ShippedDate]]-Table1[[#This Row],[OrderDate]]))</f>
        <v>6</v>
      </c>
      <c r="I267" s="3">
        <v>1</v>
      </c>
      <c r="J267" s="2">
        <v>105.65</v>
      </c>
      <c r="K267" s="2">
        <f>SUMIF(order_details!A:A,Table1[[#This Row],[orderID]],order_details!F:F)</f>
        <v>1942</v>
      </c>
      <c r="L267" s="9">
        <f>_xlfn.XLOOKUP(Table1[[#This Row],[orderID]],Table3[orderID],Table3[discount])</f>
        <v>0.2</v>
      </c>
      <c r="M267" s="2">
        <f>SUM(Table1[[#This Row],[Sales]],Table1[[#This Row],[freight]])</f>
        <v>2047.65</v>
      </c>
      <c r="N267" s="3">
        <f>_xlfn.XLOOKUP(Table1[[#This Row],[orderID]],Table3[orderID],Table3[quantity])</f>
        <v>40</v>
      </c>
      <c r="O267" s="6" t="str">
        <f>_xlfn.XLOOKUP(Table1[[#This Row],[CustomerID]],customers!A:A,customers!B:B)</f>
        <v>Die Wandernde Kuh</v>
      </c>
      <c r="P267" s="6" t="str">
        <f>_xlfn.XLOOKUP(Table1[[#This Row],[shipperID]],Table6[shipperID],Table6[companyName])</f>
        <v>Speedy Express</v>
      </c>
      <c r="Q267">
        <f>YEAR(Table1[[#This Row],[OrderDate]])</f>
        <v>2014</v>
      </c>
      <c r="R267">
        <f>MONTH(Table1[[#This Row],[OrderDate]])</f>
        <v>4</v>
      </c>
      <c r="S267" t="str">
        <f>"Q"&amp;ROUNDUP(Table1[[#This Row],[month]]/3,0)</f>
        <v>Q2</v>
      </c>
      <c r="T267" t="str">
        <f>CONCATENATE(Table1[[#This Row],[year]],"-",Table1[[#This Row],[Quarter]])</f>
        <v>2014-Q2</v>
      </c>
      <c r="U267" s="6" t="str">
        <f>IF(H266="","Pending",IF(Table1[[#This Row],[Days to ship]]&lt;Table1[[#This Row],[RequiredDate]],"On Time","Late"))</f>
        <v>On Time</v>
      </c>
      <c r="V267">
        <f>_xlfn.XLOOKUP(Table1[[#This Row],[orderID]],Table3[orderID],Table3[unitPrice])</f>
        <v>10</v>
      </c>
    </row>
    <row r="268" spans="1:22" x14ac:dyDescent="0.45">
      <c r="A268" s="3">
        <v>10514</v>
      </c>
      <c r="B268" s="6" t="s">
        <v>158</v>
      </c>
      <c r="C268" s="3">
        <v>3</v>
      </c>
      <c r="D268" s="6" t="str">
        <f>_xlfn.XLOOKUP(Table1[[#This Row],[EmployeeID]],Table4[employeeID],Table4[employeeName])</f>
        <v>Janet Leverling</v>
      </c>
      <c r="E268" s="1">
        <v>41751</v>
      </c>
      <c r="F268" s="1">
        <v>41779</v>
      </c>
      <c r="G268" s="1">
        <v>41775</v>
      </c>
      <c r="H268" s="3">
        <f>IF(Table1[[#This Row],[ShippedDate]]="","",IF(Table1[[#This Row],[OrderDate]]="","",Table1[[#This Row],[ShippedDate]]-Table1[[#This Row],[OrderDate]]))</f>
        <v>24</v>
      </c>
      <c r="I268" s="3">
        <v>2</v>
      </c>
      <c r="J268" s="2">
        <v>789.95</v>
      </c>
      <c r="K268" s="2">
        <f>SUMIF(order_details!A:A,Table1[[#This Row],[orderID]],order_details!F:F)</f>
        <v>8623.4500000000007</v>
      </c>
      <c r="L268" s="9">
        <f>_xlfn.XLOOKUP(Table1[[#This Row],[orderID]],Table3[orderID],Table3[discount])</f>
        <v>0</v>
      </c>
      <c r="M268" s="2">
        <f>SUM(Table1[[#This Row],[Sales]],Table1[[#This Row],[freight]])</f>
        <v>9413.4000000000015</v>
      </c>
      <c r="N268" s="3">
        <f>_xlfn.XLOOKUP(Table1[[#This Row],[orderID]],Table3[orderID],Table3[quantity])</f>
        <v>39</v>
      </c>
      <c r="O268" s="6" t="str">
        <f>_xlfn.XLOOKUP(Table1[[#This Row],[CustomerID]],customers!A:A,customers!B:B)</f>
        <v>Ernst Handel</v>
      </c>
      <c r="P268" s="6" t="str">
        <f>_xlfn.XLOOKUP(Table1[[#This Row],[shipperID]],Table6[shipperID],Table6[companyName])</f>
        <v>United Package</v>
      </c>
      <c r="Q268">
        <f>YEAR(Table1[[#This Row],[OrderDate]])</f>
        <v>2014</v>
      </c>
      <c r="R268">
        <f>MONTH(Table1[[#This Row],[OrderDate]])</f>
        <v>4</v>
      </c>
      <c r="S268" t="str">
        <f>"Q"&amp;ROUNDUP(Table1[[#This Row],[month]]/3,0)</f>
        <v>Q2</v>
      </c>
      <c r="T268" t="str">
        <f>CONCATENATE(Table1[[#This Row],[year]],"-",Table1[[#This Row],[Quarter]])</f>
        <v>2014-Q2</v>
      </c>
      <c r="U268" s="6" t="str">
        <f>IF(H267="","Pending",IF(Table1[[#This Row],[Days to ship]]&lt;Table1[[#This Row],[RequiredDate]],"On Time","Late"))</f>
        <v>On Time</v>
      </c>
      <c r="V268">
        <f>_xlfn.XLOOKUP(Table1[[#This Row],[orderID]],Table3[orderID],Table3[unitPrice])</f>
        <v>81</v>
      </c>
    </row>
    <row r="269" spans="1:22" x14ac:dyDescent="0.45">
      <c r="A269" s="3">
        <v>10515</v>
      </c>
      <c r="B269" s="6" t="s">
        <v>194</v>
      </c>
      <c r="C269" s="3">
        <v>2</v>
      </c>
      <c r="D269" s="6" t="str">
        <f>_xlfn.XLOOKUP(Table1[[#This Row],[EmployeeID]],Table4[employeeID],Table4[employeeName])</f>
        <v>Andrew Fuller</v>
      </c>
      <c r="E269" s="1">
        <v>41752</v>
      </c>
      <c r="F269" s="1">
        <v>41766</v>
      </c>
      <c r="G269" s="1">
        <v>41782</v>
      </c>
      <c r="H269" s="3">
        <f>IF(Table1[[#This Row],[ShippedDate]]="","",IF(Table1[[#This Row],[OrderDate]]="","",Table1[[#This Row],[ShippedDate]]-Table1[[#This Row],[OrderDate]]))</f>
        <v>30</v>
      </c>
      <c r="I269" s="3">
        <v>1</v>
      </c>
      <c r="J269" s="2">
        <v>204.47</v>
      </c>
      <c r="K269" s="2">
        <f>SUMIF(order_details!A:A,Table1[[#This Row],[orderID]],order_details!F:F)</f>
        <v>9921.2999999999993</v>
      </c>
      <c r="L269" s="9">
        <f>_xlfn.XLOOKUP(Table1[[#This Row],[orderID]],Table3[orderID],Table3[discount])</f>
        <v>0.15</v>
      </c>
      <c r="M269" s="2">
        <f>SUM(Table1[[#This Row],[Sales]],Table1[[#This Row],[freight]])</f>
        <v>10125.769999999999</v>
      </c>
      <c r="N269" s="3">
        <f>_xlfn.XLOOKUP(Table1[[#This Row],[orderID]],Table3[orderID],Table3[quantity])</f>
        <v>16</v>
      </c>
      <c r="O269" s="6" t="str">
        <f>_xlfn.XLOOKUP(Table1[[#This Row],[CustomerID]],customers!A:A,customers!B:B)</f>
        <v>QUICK-Stop</v>
      </c>
      <c r="P269" s="6" t="str">
        <f>_xlfn.XLOOKUP(Table1[[#This Row],[shipperID]],Table6[shipperID],Table6[companyName])</f>
        <v>Speedy Express</v>
      </c>
      <c r="Q269">
        <f>YEAR(Table1[[#This Row],[OrderDate]])</f>
        <v>2014</v>
      </c>
      <c r="R269">
        <f>MONTH(Table1[[#This Row],[OrderDate]])</f>
        <v>4</v>
      </c>
      <c r="S269" t="str">
        <f>"Q"&amp;ROUNDUP(Table1[[#This Row],[month]]/3,0)</f>
        <v>Q2</v>
      </c>
      <c r="T269" t="str">
        <f>CONCATENATE(Table1[[#This Row],[year]],"-",Table1[[#This Row],[Quarter]])</f>
        <v>2014-Q2</v>
      </c>
      <c r="U269" s="6" t="str">
        <f>IF(H268="","Pending",IF(Table1[[#This Row],[Days to ship]]&lt;Table1[[#This Row],[RequiredDate]],"On Time","Late"))</f>
        <v>On Time</v>
      </c>
      <c r="V269">
        <f>_xlfn.XLOOKUP(Table1[[#This Row],[orderID]],Table3[orderID],Table3[unitPrice])</f>
        <v>97</v>
      </c>
    </row>
    <row r="270" spans="1:22" x14ac:dyDescent="0.45">
      <c r="A270" s="3">
        <v>10516</v>
      </c>
      <c r="B270" s="6" t="s">
        <v>166</v>
      </c>
      <c r="C270" s="3">
        <v>2</v>
      </c>
      <c r="D270" s="6" t="str">
        <f>_xlfn.XLOOKUP(Table1[[#This Row],[EmployeeID]],Table4[employeeID],Table4[employeeName])</f>
        <v>Andrew Fuller</v>
      </c>
      <c r="E270" s="1">
        <v>41753</v>
      </c>
      <c r="F270" s="1">
        <v>41781</v>
      </c>
      <c r="G270" s="1">
        <v>41760</v>
      </c>
      <c r="H270" s="3">
        <f>IF(Table1[[#This Row],[ShippedDate]]="","",IF(Table1[[#This Row],[OrderDate]]="","",Table1[[#This Row],[ShippedDate]]-Table1[[#This Row],[OrderDate]]))</f>
        <v>7</v>
      </c>
      <c r="I270" s="3">
        <v>3</v>
      </c>
      <c r="J270" s="2">
        <v>62.78</v>
      </c>
      <c r="K270" s="2">
        <f>SUMIF(order_details!A:A,Table1[[#This Row],[orderID]],order_details!F:F)</f>
        <v>2381.0500000000002</v>
      </c>
      <c r="L270" s="9">
        <f>_xlfn.XLOOKUP(Table1[[#This Row],[orderID]],Table3[orderID],Table3[discount])</f>
        <v>0.1</v>
      </c>
      <c r="M270" s="2">
        <f>SUM(Table1[[#This Row],[Sales]],Table1[[#This Row],[freight]])</f>
        <v>2443.8300000000004</v>
      </c>
      <c r="N270" s="3">
        <f>_xlfn.XLOOKUP(Table1[[#This Row],[orderID]],Table3[orderID],Table3[quantity])</f>
        <v>25</v>
      </c>
      <c r="O270" s="6" t="str">
        <f>_xlfn.XLOOKUP(Table1[[#This Row],[CustomerID]],customers!A:A,customers!B:B)</f>
        <v>Hungry Owl All-Night Grocers</v>
      </c>
      <c r="P270" s="6" t="str">
        <f>_xlfn.XLOOKUP(Table1[[#This Row],[shipperID]],Table6[shipperID],Table6[companyName])</f>
        <v>Federal Shipping</v>
      </c>
      <c r="Q270">
        <f>YEAR(Table1[[#This Row],[OrderDate]])</f>
        <v>2014</v>
      </c>
      <c r="R270">
        <f>MONTH(Table1[[#This Row],[OrderDate]])</f>
        <v>4</v>
      </c>
      <c r="S270" t="str">
        <f>"Q"&amp;ROUNDUP(Table1[[#This Row],[month]]/3,0)</f>
        <v>Q2</v>
      </c>
      <c r="T270" t="str">
        <f>CONCATENATE(Table1[[#This Row],[year]],"-",Table1[[#This Row],[Quarter]])</f>
        <v>2014-Q2</v>
      </c>
      <c r="U270" s="6" t="str">
        <f>IF(H269="","Pending",IF(Table1[[#This Row],[Days to ship]]&lt;Table1[[#This Row],[RequiredDate]],"On Time","Late"))</f>
        <v>On Time</v>
      </c>
      <c r="V270">
        <f>_xlfn.XLOOKUP(Table1[[#This Row],[orderID]],Table3[orderID],Table3[unitPrice])</f>
        <v>62.5</v>
      </c>
    </row>
    <row r="271" spans="1:22" x14ac:dyDescent="0.45">
      <c r="A271" s="3">
        <v>10517</v>
      </c>
      <c r="B271" s="6" t="s">
        <v>172</v>
      </c>
      <c r="C271" s="3">
        <v>3</v>
      </c>
      <c r="D271" s="6" t="str">
        <f>_xlfn.XLOOKUP(Table1[[#This Row],[EmployeeID]],Table4[employeeID],Table4[employeeName])</f>
        <v>Janet Leverling</v>
      </c>
      <c r="E271" s="1">
        <v>41753</v>
      </c>
      <c r="F271" s="1">
        <v>41781</v>
      </c>
      <c r="G271" s="1">
        <v>41758</v>
      </c>
      <c r="H271" s="3">
        <f>IF(Table1[[#This Row],[ShippedDate]]="","",IF(Table1[[#This Row],[OrderDate]]="","",Table1[[#This Row],[ShippedDate]]-Table1[[#This Row],[OrderDate]]))</f>
        <v>5</v>
      </c>
      <c r="I271" s="3">
        <v>3</v>
      </c>
      <c r="J271" s="2">
        <v>32.07</v>
      </c>
      <c r="K271" s="2">
        <f>SUMIF(order_details!A:A,Table1[[#This Row],[orderID]],order_details!F:F)</f>
        <v>352</v>
      </c>
      <c r="L271" s="9">
        <f>_xlfn.XLOOKUP(Table1[[#This Row],[orderID]],Table3[orderID],Table3[discount])</f>
        <v>0</v>
      </c>
      <c r="M271" s="2">
        <f>SUM(Table1[[#This Row],[Sales]],Table1[[#This Row],[freight]])</f>
        <v>384.07</v>
      </c>
      <c r="N271" s="3">
        <f>_xlfn.XLOOKUP(Table1[[#This Row],[orderID]],Table3[orderID],Table3[quantity])</f>
        <v>6</v>
      </c>
      <c r="O271" s="6" t="str">
        <f>_xlfn.XLOOKUP(Table1[[#This Row],[CustomerID]],customers!A:A,customers!B:B)</f>
        <v>North/South</v>
      </c>
      <c r="P271" s="6" t="str">
        <f>_xlfn.XLOOKUP(Table1[[#This Row],[shipperID]],Table6[shipperID],Table6[companyName])</f>
        <v>Federal Shipping</v>
      </c>
      <c r="Q271">
        <f>YEAR(Table1[[#This Row],[OrderDate]])</f>
        <v>2014</v>
      </c>
      <c r="R271">
        <f>MONTH(Table1[[#This Row],[OrderDate]])</f>
        <v>4</v>
      </c>
      <c r="S271" t="str">
        <f>"Q"&amp;ROUNDUP(Table1[[#This Row],[month]]/3,0)</f>
        <v>Q2</v>
      </c>
      <c r="T271" t="str">
        <f>CONCATENATE(Table1[[#This Row],[year]],"-",Table1[[#This Row],[Quarter]])</f>
        <v>2014-Q2</v>
      </c>
      <c r="U271" s="6" t="str">
        <f>IF(H270="","Pending",IF(Table1[[#This Row],[Days to ship]]&lt;Table1[[#This Row],[RequiredDate]],"On Time","Late"))</f>
        <v>On Time</v>
      </c>
      <c r="V271">
        <f>_xlfn.XLOOKUP(Table1[[#This Row],[orderID]],Table3[orderID],Table3[unitPrice])</f>
        <v>7</v>
      </c>
    </row>
    <row r="272" spans="1:22" x14ac:dyDescent="0.45">
      <c r="A272" s="3">
        <v>10518</v>
      </c>
      <c r="B272" s="6" t="s">
        <v>161</v>
      </c>
      <c r="C272" s="3">
        <v>4</v>
      </c>
      <c r="D272" s="6" t="str">
        <f>_xlfn.XLOOKUP(Table1[[#This Row],[EmployeeID]],Table4[employeeID],Table4[employeeName])</f>
        <v>Margaret Peacock</v>
      </c>
      <c r="E272" s="1">
        <v>41754</v>
      </c>
      <c r="F272" s="1">
        <v>41768</v>
      </c>
      <c r="G272" s="1">
        <v>41764</v>
      </c>
      <c r="H272" s="3">
        <f>IF(Table1[[#This Row],[ShippedDate]]="","",IF(Table1[[#This Row],[OrderDate]]="","",Table1[[#This Row],[ShippedDate]]-Table1[[#This Row],[OrderDate]]))</f>
        <v>10</v>
      </c>
      <c r="I272" s="3">
        <v>2</v>
      </c>
      <c r="J272" s="2">
        <v>218.15</v>
      </c>
      <c r="K272" s="2">
        <f>SUMIF(order_details!A:A,Table1[[#This Row],[orderID]],order_details!F:F)</f>
        <v>4150.05</v>
      </c>
      <c r="L272" s="9">
        <f>_xlfn.XLOOKUP(Table1[[#This Row],[orderID]],Table3[orderID],Table3[discount])</f>
        <v>0</v>
      </c>
      <c r="M272" s="2">
        <f>SUM(Table1[[#This Row],[Sales]],Table1[[#This Row],[freight]])</f>
        <v>4368.2</v>
      </c>
      <c r="N272" s="3">
        <f>_xlfn.XLOOKUP(Table1[[#This Row],[orderID]],Table3[orderID],Table3[quantity])</f>
        <v>5</v>
      </c>
      <c r="O272" s="6" t="str">
        <f>_xlfn.XLOOKUP(Table1[[#This Row],[CustomerID]],customers!A:A,customers!B:B)</f>
        <v>Tortuga Restaurante</v>
      </c>
      <c r="P272" s="6" t="str">
        <f>_xlfn.XLOOKUP(Table1[[#This Row],[shipperID]],Table6[shipperID],Table6[companyName])</f>
        <v>United Package</v>
      </c>
      <c r="Q272">
        <f>YEAR(Table1[[#This Row],[OrderDate]])</f>
        <v>2014</v>
      </c>
      <c r="R272">
        <f>MONTH(Table1[[#This Row],[OrderDate]])</f>
        <v>4</v>
      </c>
      <c r="S272" t="str">
        <f>"Q"&amp;ROUNDUP(Table1[[#This Row],[month]]/3,0)</f>
        <v>Q2</v>
      </c>
      <c r="T272" t="str">
        <f>CONCATENATE(Table1[[#This Row],[year]],"-",Table1[[#This Row],[Quarter]])</f>
        <v>2014-Q2</v>
      </c>
      <c r="U272" s="6" t="str">
        <f>IF(H271="","Pending",IF(Table1[[#This Row],[Days to ship]]&lt;Table1[[#This Row],[RequiredDate]],"On Time","Late"))</f>
        <v>On Time</v>
      </c>
      <c r="V272">
        <f>_xlfn.XLOOKUP(Table1[[#This Row],[orderID]],Table3[orderID],Table3[unitPrice])</f>
        <v>4.5</v>
      </c>
    </row>
    <row r="273" spans="1:22" x14ac:dyDescent="0.45">
      <c r="A273" s="3">
        <v>10519</v>
      </c>
      <c r="B273" s="6" t="s">
        <v>186</v>
      </c>
      <c r="C273" s="3">
        <v>6</v>
      </c>
      <c r="D273" s="6" t="str">
        <f>_xlfn.XLOOKUP(Table1[[#This Row],[EmployeeID]],Table4[employeeID],Table4[employeeName])</f>
        <v>Michael Suyama</v>
      </c>
      <c r="E273" s="1">
        <v>41757</v>
      </c>
      <c r="F273" s="1">
        <v>41785</v>
      </c>
      <c r="G273" s="1">
        <v>41760</v>
      </c>
      <c r="H273" s="3">
        <f>IF(Table1[[#This Row],[ShippedDate]]="","",IF(Table1[[#This Row],[OrderDate]]="","",Table1[[#This Row],[ShippedDate]]-Table1[[#This Row],[OrderDate]]))</f>
        <v>3</v>
      </c>
      <c r="I273" s="3">
        <v>3</v>
      </c>
      <c r="J273" s="2">
        <v>91.76</v>
      </c>
      <c r="K273" s="2">
        <f>SUMIF(order_details!A:A,Table1[[#This Row],[orderID]],order_details!F:F)</f>
        <v>2314.1999999999998</v>
      </c>
      <c r="L273" s="9">
        <f>_xlfn.XLOOKUP(Table1[[#This Row],[orderID]],Table3[orderID],Table3[discount])</f>
        <v>0.05</v>
      </c>
      <c r="M273" s="2">
        <f>SUM(Table1[[#This Row],[Sales]],Table1[[#This Row],[freight]])</f>
        <v>2405.96</v>
      </c>
      <c r="N273" s="3">
        <f>_xlfn.XLOOKUP(Table1[[#This Row],[orderID]],Table3[orderID],Table3[quantity])</f>
        <v>16</v>
      </c>
      <c r="O273" s="6" t="str">
        <f>_xlfn.XLOOKUP(Table1[[#This Row],[CustomerID]],customers!A:A,customers!B:B)</f>
        <v>Chop-suey Chinese</v>
      </c>
      <c r="P273" s="6" t="str">
        <f>_xlfn.XLOOKUP(Table1[[#This Row],[shipperID]],Table6[shipperID],Table6[companyName])</f>
        <v>Federal Shipping</v>
      </c>
      <c r="Q273">
        <f>YEAR(Table1[[#This Row],[OrderDate]])</f>
        <v>2014</v>
      </c>
      <c r="R273">
        <f>MONTH(Table1[[#This Row],[OrderDate]])</f>
        <v>4</v>
      </c>
      <c r="S273" t="str">
        <f>"Q"&amp;ROUNDUP(Table1[[#This Row],[month]]/3,0)</f>
        <v>Q2</v>
      </c>
      <c r="T273" t="str">
        <f>CONCATENATE(Table1[[#This Row],[year]],"-",Table1[[#This Row],[Quarter]])</f>
        <v>2014-Q2</v>
      </c>
      <c r="U273" s="6" t="str">
        <f>IF(H272="","Pending",IF(Table1[[#This Row],[Days to ship]]&lt;Table1[[#This Row],[RequiredDate]],"On Time","Late"))</f>
        <v>On Time</v>
      </c>
      <c r="V273">
        <f>_xlfn.XLOOKUP(Table1[[#This Row],[orderID]],Table3[orderID],Table3[unitPrice])</f>
        <v>31</v>
      </c>
    </row>
    <row r="274" spans="1:22" x14ac:dyDescent="0.45">
      <c r="A274" s="3">
        <v>10520</v>
      </c>
      <c r="B274" s="6" t="s">
        <v>199</v>
      </c>
      <c r="C274" s="3">
        <v>7</v>
      </c>
      <c r="D274" s="6" t="str">
        <f>_xlfn.XLOOKUP(Table1[[#This Row],[EmployeeID]],Table4[employeeID],Table4[employeeName])</f>
        <v>Robert King</v>
      </c>
      <c r="E274" s="1">
        <v>41758</v>
      </c>
      <c r="F274" s="1">
        <v>41786</v>
      </c>
      <c r="G274" s="1">
        <v>41760</v>
      </c>
      <c r="H274" s="3">
        <f>IF(Table1[[#This Row],[ShippedDate]]="","",IF(Table1[[#This Row],[OrderDate]]="","",Table1[[#This Row],[ShippedDate]]-Table1[[#This Row],[OrderDate]]))</f>
        <v>2</v>
      </c>
      <c r="I274" s="3">
        <v>1</v>
      </c>
      <c r="J274" s="2">
        <v>13.37</v>
      </c>
      <c r="K274" s="2">
        <f>SUMIF(order_details!A:A,Table1[[#This Row],[orderID]],order_details!F:F)</f>
        <v>200</v>
      </c>
      <c r="L274" s="9">
        <f>_xlfn.XLOOKUP(Table1[[#This Row],[orderID]],Table3[orderID],Table3[discount])</f>
        <v>0</v>
      </c>
      <c r="M274" s="2">
        <f>SUM(Table1[[#This Row],[Sales]],Table1[[#This Row],[freight]])</f>
        <v>213.37</v>
      </c>
      <c r="N274" s="3">
        <f>_xlfn.XLOOKUP(Table1[[#This Row],[orderID]],Table3[orderID],Table3[quantity])</f>
        <v>8</v>
      </c>
      <c r="O274" s="6" t="str">
        <f>_xlfn.XLOOKUP(Table1[[#This Row],[CustomerID]],customers!A:A,customers!B:B)</f>
        <v>Santé Gourmet</v>
      </c>
      <c r="P274" s="6" t="str">
        <f>_xlfn.XLOOKUP(Table1[[#This Row],[shipperID]],Table6[shipperID],Table6[companyName])</f>
        <v>Speedy Express</v>
      </c>
      <c r="Q274">
        <f>YEAR(Table1[[#This Row],[OrderDate]])</f>
        <v>2014</v>
      </c>
      <c r="R274">
        <f>MONTH(Table1[[#This Row],[OrderDate]])</f>
        <v>4</v>
      </c>
      <c r="S274" t="str">
        <f>"Q"&amp;ROUNDUP(Table1[[#This Row],[month]]/3,0)</f>
        <v>Q2</v>
      </c>
      <c r="T274" t="str">
        <f>CONCATENATE(Table1[[#This Row],[year]],"-",Table1[[#This Row],[Quarter]])</f>
        <v>2014-Q2</v>
      </c>
      <c r="U274" s="6" t="str">
        <f>IF(H273="","Pending",IF(Table1[[#This Row],[Days to ship]]&lt;Table1[[#This Row],[RequiredDate]],"On Time","Late"))</f>
        <v>On Time</v>
      </c>
      <c r="V274">
        <f>_xlfn.XLOOKUP(Table1[[#This Row],[orderID]],Table3[orderID],Table3[unitPrice])</f>
        <v>4.5</v>
      </c>
    </row>
    <row r="275" spans="1:22" x14ac:dyDescent="0.45">
      <c r="A275" s="3">
        <v>10521</v>
      </c>
      <c r="B275" s="6" t="s">
        <v>175</v>
      </c>
      <c r="C275" s="3">
        <v>8</v>
      </c>
      <c r="D275" s="6" t="str">
        <f>_xlfn.XLOOKUP(Table1[[#This Row],[EmployeeID]],Table4[employeeID],Table4[employeeName])</f>
        <v>Laura Callahan</v>
      </c>
      <c r="E275" s="1">
        <v>41758</v>
      </c>
      <c r="F275" s="1">
        <v>41786</v>
      </c>
      <c r="G275" s="1">
        <v>41761</v>
      </c>
      <c r="H275" s="3">
        <f>IF(Table1[[#This Row],[ShippedDate]]="","",IF(Table1[[#This Row],[OrderDate]]="","",Table1[[#This Row],[ShippedDate]]-Table1[[#This Row],[OrderDate]]))</f>
        <v>3</v>
      </c>
      <c r="I275" s="3">
        <v>2</v>
      </c>
      <c r="J275" s="2">
        <v>17.22</v>
      </c>
      <c r="K275" s="2">
        <f>SUMIF(order_details!A:A,Table1[[#This Row],[orderID]],order_details!F:F)</f>
        <v>225.5</v>
      </c>
      <c r="L275" s="9">
        <f>_xlfn.XLOOKUP(Table1[[#This Row],[orderID]],Table3[orderID],Table3[discount])</f>
        <v>0</v>
      </c>
      <c r="M275" s="2">
        <f>SUM(Table1[[#This Row],[Sales]],Table1[[#This Row],[freight]])</f>
        <v>242.72</v>
      </c>
      <c r="N275" s="3">
        <f>_xlfn.XLOOKUP(Table1[[#This Row],[orderID]],Table3[orderID],Table3[quantity])</f>
        <v>3</v>
      </c>
      <c r="O275" s="6" t="str">
        <f>_xlfn.XLOOKUP(Table1[[#This Row],[CustomerID]],customers!A:A,customers!B:B)</f>
        <v>Cactus Comidas para llevar</v>
      </c>
      <c r="P275" s="6" t="str">
        <f>_xlfn.XLOOKUP(Table1[[#This Row],[shipperID]],Table6[shipperID],Table6[companyName])</f>
        <v>United Package</v>
      </c>
      <c r="Q275">
        <f>YEAR(Table1[[#This Row],[OrderDate]])</f>
        <v>2014</v>
      </c>
      <c r="R275">
        <f>MONTH(Table1[[#This Row],[OrderDate]])</f>
        <v>4</v>
      </c>
      <c r="S275" t="str">
        <f>"Q"&amp;ROUNDUP(Table1[[#This Row],[month]]/3,0)</f>
        <v>Q2</v>
      </c>
      <c r="T275" t="str">
        <f>CONCATENATE(Table1[[#This Row],[year]],"-",Table1[[#This Row],[Quarter]])</f>
        <v>2014-Q2</v>
      </c>
      <c r="U275" s="6" t="str">
        <f>IF(H274="","Pending",IF(Table1[[#This Row],[Days to ship]]&lt;Table1[[#This Row],[RequiredDate]],"On Time","Late"))</f>
        <v>On Time</v>
      </c>
      <c r="V275">
        <f>_xlfn.XLOOKUP(Table1[[#This Row],[orderID]],Table3[orderID],Table3[unitPrice])</f>
        <v>18</v>
      </c>
    </row>
    <row r="276" spans="1:22" x14ac:dyDescent="0.45">
      <c r="A276" s="3">
        <v>10522</v>
      </c>
      <c r="B276" s="6" t="s">
        <v>160</v>
      </c>
      <c r="C276" s="3">
        <v>4</v>
      </c>
      <c r="D276" s="6" t="str">
        <f>_xlfn.XLOOKUP(Table1[[#This Row],[EmployeeID]],Table4[employeeID],Table4[employeeName])</f>
        <v>Margaret Peacock</v>
      </c>
      <c r="E276" s="1">
        <v>41759</v>
      </c>
      <c r="F276" s="1">
        <v>41787</v>
      </c>
      <c r="G276" s="1">
        <v>41765</v>
      </c>
      <c r="H276" s="3">
        <f>IF(Table1[[#This Row],[ShippedDate]]="","",IF(Table1[[#This Row],[OrderDate]]="","",Table1[[#This Row],[ShippedDate]]-Table1[[#This Row],[OrderDate]]))</f>
        <v>6</v>
      </c>
      <c r="I276" s="3">
        <v>1</v>
      </c>
      <c r="J276" s="2">
        <v>45.33</v>
      </c>
      <c r="K276" s="2">
        <f>SUMIF(order_details!A:A,Table1[[#This Row],[orderID]],order_details!F:F)</f>
        <v>2318.2399999999998</v>
      </c>
      <c r="L276" s="9">
        <f>_xlfn.XLOOKUP(Table1[[#This Row],[orderID]],Table3[orderID],Table3[discount])</f>
        <v>0.2</v>
      </c>
      <c r="M276" s="2">
        <f>SUM(Table1[[#This Row],[Sales]],Table1[[#This Row],[freight]])</f>
        <v>2363.5699999999997</v>
      </c>
      <c r="N276" s="3">
        <f>_xlfn.XLOOKUP(Table1[[#This Row],[orderID]],Table3[orderID],Table3[quantity])</f>
        <v>40</v>
      </c>
      <c r="O276" s="6" t="str">
        <f>_xlfn.XLOOKUP(Table1[[#This Row],[CustomerID]],customers!A:A,customers!B:B)</f>
        <v>Lehmanns Marktstand</v>
      </c>
      <c r="P276" s="6" t="str">
        <f>_xlfn.XLOOKUP(Table1[[#This Row],[shipperID]],Table6[shipperID],Table6[companyName])</f>
        <v>Speedy Express</v>
      </c>
      <c r="Q276">
        <f>YEAR(Table1[[#This Row],[OrderDate]])</f>
        <v>2014</v>
      </c>
      <c r="R276">
        <f>MONTH(Table1[[#This Row],[OrderDate]])</f>
        <v>4</v>
      </c>
      <c r="S276" t="str">
        <f>"Q"&amp;ROUNDUP(Table1[[#This Row],[month]]/3,0)</f>
        <v>Q2</v>
      </c>
      <c r="T276" t="str">
        <f>CONCATENATE(Table1[[#This Row],[year]],"-",Table1[[#This Row],[Quarter]])</f>
        <v>2014-Q2</v>
      </c>
      <c r="U276" s="6" t="str">
        <f>IF(H275="","Pending",IF(Table1[[#This Row],[Days to ship]]&lt;Table1[[#This Row],[RequiredDate]],"On Time","Late"))</f>
        <v>On Time</v>
      </c>
      <c r="V276">
        <f>_xlfn.XLOOKUP(Table1[[#This Row],[orderID]],Table3[orderID],Table3[unitPrice])</f>
        <v>18</v>
      </c>
    </row>
    <row r="277" spans="1:22" x14ac:dyDescent="0.45">
      <c r="A277" s="3">
        <v>10523</v>
      </c>
      <c r="B277" s="6" t="s">
        <v>226</v>
      </c>
      <c r="C277" s="3">
        <v>7</v>
      </c>
      <c r="D277" s="6" t="str">
        <f>_xlfn.XLOOKUP(Table1[[#This Row],[EmployeeID]],Table4[employeeID],Table4[employeeName])</f>
        <v>Robert King</v>
      </c>
      <c r="E277" s="1">
        <v>41760</v>
      </c>
      <c r="F277" s="1">
        <v>41788</v>
      </c>
      <c r="G277" s="1">
        <v>41789</v>
      </c>
      <c r="H277" s="3">
        <f>IF(Table1[[#This Row],[ShippedDate]]="","",IF(Table1[[#This Row],[OrderDate]]="","",Table1[[#This Row],[ShippedDate]]-Table1[[#This Row],[OrderDate]]))</f>
        <v>29</v>
      </c>
      <c r="I277" s="3">
        <v>2</v>
      </c>
      <c r="J277" s="2">
        <v>77.63</v>
      </c>
      <c r="K277" s="2">
        <f>SUMIF(order_details!A:A,Table1[[#This Row],[orderID]],order_details!F:F)</f>
        <v>2444.31</v>
      </c>
      <c r="L277" s="9">
        <f>_xlfn.XLOOKUP(Table1[[#This Row],[orderID]],Table3[orderID],Table3[discount])</f>
        <v>0.1</v>
      </c>
      <c r="M277" s="2">
        <f>SUM(Table1[[#This Row],[Sales]],Table1[[#This Row],[freight]])</f>
        <v>2521.94</v>
      </c>
      <c r="N277" s="3">
        <f>_xlfn.XLOOKUP(Table1[[#This Row],[orderID]],Table3[orderID],Table3[quantity])</f>
        <v>25</v>
      </c>
      <c r="O277" s="6" t="str">
        <f>_xlfn.XLOOKUP(Table1[[#This Row],[CustomerID]],customers!A:A,customers!B:B)</f>
        <v>Seven Seas Imports</v>
      </c>
      <c r="P277" s="6" t="str">
        <f>_xlfn.XLOOKUP(Table1[[#This Row],[shipperID]],Table6[shipperID],Table6[companyName])</f>
        <v>United Package</v>
      </c>
      <c r="Q277">
        <f>YEAR(Table1[[#This Row],[OrderDate]])</f>
        <v>2014</v>
      </c>
      <c r="R277">
        <f>MONTH(Table1[[#This Row],[OrderDate]])</f>
        <v>5</v>
      </c>
      <c r="S277" t="str">
        <f>"Q"&amp;ROUNDUP(Table1[[#This Row],[month]]/3,0)</f>
        <v>Q2</v>
      </c>
      <c r="T277" t="str">
        <f>CONCATENATE(Table1[[#This Row],[year]],"-",Table1[[#This Row],[Quarter]])</f>
        <v>2014-Q2</v>
      </c>
      <c r="U277" s="6" t="str">
        <f>IF(H276="","Pending",IF(Table1[[#This Row],[Days to ship]]&lt;Table1[[#This Row],[RequiredDate]],"On Time","Late"))</f>
        <v>On Time</v>
      </c>
      <c r="V277">
        <f>_xlfn.XLOOKUP(Table1[[#This Row],[orderID]],Table3[orderID],Table3[unitPrice])</f>
        <v>39</v>
      </c>
    </row>
    <row r="278" spans="1:22" x14ac:dyDescent="0.45">
      <c r="A278" s="3">
        <v>10524</v>
      </c>
      <c r="B278" s="6" t="s">
        <v>223</v>
      </c>
      <c r="C278" s="3">
        <v>1</v>
      </c>
      <c r="D278" s="6" t="str">
        <f>_xlfn.XLOOKUP(Table1[[#This Row],[EmployeeID]],Table4[employeeID],Table4[employeeName])</f>
        <v>Nancy Davolio</v>
      </c>
      <c r="E278" s="1">
        <v>41760</v>
      </c>
      <c r="F278" s="1">
        <v>41788</v>
      </c>
      <c r="G278" s="1">
        <v>41766</v>
      </c>
      <c r="H278" s="3">
        <f>IF(Table1[[#This Row],[ShippedDate]]="","",IF(Table1[[#This Row],[OrderDate]]="","",Table1[[#This Row],[ShippedDate]]-Table1[[#This Row],[OrderDate]]))</f>
        <v>6</v>
      </c>
      <c r="I278" s="3">
        <v>2</v>
      </c>
      <c r="J278" s="2">
        <v>244.79</v>
      </c>
      <c r="K278" s="2">
        <f>SUMIF(order_details!A:A,Table1[[#This Row],[orderID]],order_details!F:F)</f>
        <v>3192.65</v>
      </c>
      <c r="L278" s="9">
        <f>_xlfn.XLOOKUP(Table1[[#This Row],[orderID]],Table3[orderID],Table3[discount])</f>
        <v>0</v>
      </c>
      <c r="M278" s="2">
        <f>SUM(Table1[[#This Row],[Sales]],Table1[[#This Row],[freight]])</f>
        <v>3437.44</v>
      </c>
      <c r="N278" s="3">
        <f>_xlfn.XLOOKUP(Table1[[#This Row],[orderID]],Table3[orderID],Table3[quantity])</f>
        <v>2</v>
      </c>
      <c r="O278" s="6" t="str">
        <f>_xlfn.XLOOKUP(Table1[[#This Row],[CustomerID]],customers!A:A,customers!B:B)</f>
        <v>Berglunds snabbköp</v>
      </c>
      <c r="P278" s="6" t="str">
        <f>_xlfn.XLOOKUP(Table1[[#This Row],[shipperID]],Table6[shipperID],Table6[companyName])</f>
        <v>United Package</v>
      </c>
      <c r="Q278">
        <f>YEAR(Table1[[#This Row],[OrderDate]])</f>
        <v>2014</v>
      </c>
      <c r="R278">
        <f>MONTH(Table1[[#This Row],[OrderDate]])</f>
        <v>5</v>
      </c>
      <c r="S278" t="str">
        <f>"Q"&amp;ROUNDUP(Table1[[#This Row],[month]]/3,0)</f>
        <v>Q2</v>
      </c>
      <c r="T278" t="str">
        <f>CONCATENATE(Table1[[#This Row],[year]],"-",Table1[[#This Row],[Quarter]])</f>
        <v>2014-Q2</v>
      </c>
      <c r="U278" s="6" t="str">
        <f>IF(H277="","Pending",IF(Table1[[#This Row],[Days to ship]]&lt;Table1[[#This Row],[RequiredDate]],"On Time","Late"))</f>
        <v>On Time</v>
      </c>
      <c r="V278">
        <f>_xlfn.XLOOKUP(Table1[[#This Row],[orderID]],Table3[orderID],Table3[unitPrice])</f>
        <v>31</v>
      </c>
    </row>
    <row r="279" spans="1:22" x14ac:dyDescent="0.45">
      <c r="A279" s="3">
        <v>10525</v>
      </c>
      <c r="B279" s="6" t="s">
        <v>154</v>
      </c>
      <c r="C279" s="3">
        <v>1</v>
      </c>
      <c r="D279" s="6" t="str">
        <f>_xlfn.XLOOKUP(Table1[[#This Row],[EmployeeID]],Table4[employeeID],Table4[employeeName])</f>
        <v>Nancy Davolio</v>
      </c>
      <c r="E279" s="1">
        <v>41761</v>
      </c>
      <c r="F279" s="1">
        <v>41789</v>
      </c>
      <c r="G279" s="1">
        <v>41782</v>
      </c>
      <c r="H279" s="3">
        <f>IF(Table1[[#This Row],[ShippedDate]]="","",IF(Table1[[#This Row],[OrderDate]]="","",Table1[[#This Row],[ShippedDate]]-Table1[[#This Row],[OrderDate]]))</f>
        <v>21</v>
      </c>
      <c r="I279" s="3">
        <v>2</v>
      </c>
      <c r="J279" s="2">
        <v>11.06</v>
      </c>
      <c r="K279" s="2">
        <f>SUMIF(order_details!A:A,Table1[[#This Row],[orderID]],order_details!F:F)</f>
        <v>818.4</v>
      </c>
      <c r="L279" s="9">
        <f>_xlfn.XLOOKUP(Table1[[#This Row],[orderID]],Table3[orderID],Table3[discount])</f>
        <v>0</v>
      </c>
      <c r="M279" s="2">
        <f>SUM(Table1[[#This Row],[Sales]],Table1[[#This Row],[freight]])</f>
        <v>829.45999999999992</v>
      </c>
      <c r="N279" s="3">
        <f>_xlfn.XLOOKUP(Table1[[#This Row],[orderID]],Table3[orderID],Table3[quantity])</f>
        <v>30</v>
      </c>
      <c r="O279" s="6" t="str">
        <f>_xlfn.XLOOKUP(Table1[[#This Row],[CustomerID]],customers!A:A,customers!B:B)</f>
        <v>Bon app'</v>
      </c>
      <c r="P279" s="6" t="str">
        <f>_xlfn.XLOOKUP(Table1[[#This Row],[shipperID]],Table6[shipperID],Table6[companyName])</f>
        <v>United Package</v>
      </c>
      <c r="Q279">
        <f>YEAR(Table1[[#This Row],[OrderDate]])</f>
        <v>2014</v>
      </c>
      <c r="R279">
        <f>MONTH(Table1[[#This Row],[OrderDate]])</f>
        <v>5</v>
      </c>
      <c r="S279" t="str">
        <f>"Q"&amp;ROUNDUP(Table1[[#This Row],[month]]/3,0)</f>
        <v>Q2</v>
      </c>
      <c r="T279" t="str">
        <f>CONCATENATE(Table1[[#This Row],[year]],"-",Table1[[#This Row],[Quarter]])</f>
        <v>2014-Q2</v>
      </c>
      <c r="U279" s="6" t="str">
        <f>IF(H278="","Pending",IF(Table1[[#This Row],[Days to ship]]&lt;Table1[[#This Row],[RequiredDate]],"On Time","Late"))</f>
        <v>On Time</v>
      </c>
      <c r="V279">
        <f>_xlfn.XLOOKUP(Table1[[#This Row],[orderID]],Table3[orderID],Table3[unitPrice])</f>
        <v>19</v>
      </c>
    </row>
    <row r="280" spans="1:22" x14ac:dyDescent="0.45">
      <c r="A280" s="3">
        <v>10526</v>
      </c>
      <c r="B280" s="6" t="s">
        <v>192</v>
      </c>
      <c r="C280" s="3">
        <v>4</v>
      </c>
      <c r="D280" s="6" t="str">
        <f>_xlfn.XLOOKUP(Table1[[#This Row],[EmployeeID]],Table4[employeeID],Table4[employeeName])</f>
        <v>Margaret Peacock</v>
      </c>
      <c r="E280" s="1">
        <v>41764</v>
      </c>
      <c r="F280" s="1">
        <v>41792</v>
      </c>
      <c r="G280" s="1">
        <v>41774</v>
      </c>
      <c r="H280" s="3">
        <f>IF(Table1[[#This Row],[ShippedDate]]="","",IF(Table1[[#This Row],[OrderDate]]="","",Table1[[#This Row],[ShippedDate]]-Table1[[#This Row],[OrderDate]]))</f>
        <v>10</v>
      </c>
      <c r="I280" s="3">
        <v>2</v>
      </c>
      <c r="J280" s="2">
        <v>58.59</v>
      </c>
      <c r="K280" s="2">
        <f>SUMIF(order_details!A:A,Table1[[#This Row],[orderID]],order_details!F:F)</f>
        <v>1151.4000000000001</v>
      </c>
      <c r="L280" s="9">
        <f>_xlfn.XLOOKUP(Table1[[#This Row],[orderID]],Table3[orderID],Table3[discount])</f>
        <v>0.15</v>
      </c>
      <c r="M280" s="2">
        <f>SUM(Table1[[#This Row],[Sales]],Table1[[#This Row],[freight]])</f>
        <v>1209.99</v>
      </c>
      <c r="N280" s="3">
        <f>_xlfn.XLOOKUP(Table1[[#This Row],[orderID]],Table3[orderID],Table3[quantity])</f>
        <v>8</v>
      </c>
      <c r="O280" s="6" t="str">
        <f>_xlfn.XLOOKUP(Table1[[#This Row],[CustomerID]],customers!A:A,customers!B:B)</f>
        <v>Wartian Herkku</v>
      </c>
      <c r="P280" s="6" t="str">
        <f>_xlfn.XLOOKUP(Table1[[#This Row],[shipperID]],Table6[shipperID],Table6[companyName])</f>
        <v>United Package</v>
      </c>
      <c r="Q280">
        <f>YEAR(Table1[[#This Row],[OrderDate]])</f>
        <v>2014</v>
      </c>
      <c r="R280">
        <f>MONTH(Table1[[#This Row],[OrderDate]])</f>
        <v>5</v>
      </c>
      <c r="S280" t="str">
        <f>"Q"&amp;ROUNDUP(Table1[[#This Row],[month]]/3,0)</f>
        <v>Q2</v>
      </c>
      <c r="T280" t="str">
        <f>CONCATENATE(Table1[[#This Row],[year]],"-",Table1[[#This Row],[Quarter]])</f>
        <v>2014-Q2</v>
      </c>
      <c r="U280" s="6" t="str">
        <f>IF(H279="","Pending",IF(Table1[[#This Row],[Days to ship]]&lt;Table1[[#This Row],[RequiredDate]],"On Time","Late"))</f>
        <v>On Time</v>
      </c>
      <c r="V280">
        <f>_xlfn.XLOOKUP(Table1[[#This Row],[orderID]],Table3[orderID],Table3[unitPrice])</f>
        <v>18</v>
      </c>
    </row>
    <row r="281" spans="1:22" x14ac:dyDescent="0.45">
      <c r="A281" s="3">
        <v>10527</v>
      </c>
      <c r="B281" s="6" t="s">
        <v>194</v>
      </c>
      <c r="C281" s="3">
        <v>7</v>
      </c>
      <c r="D281" s="6" t="str">
        <f>_xlfn.XLOOKUP(Table1[[#This Row],[EmployeeID]],Table4[employeeID],Table4[employeeName])</f>
        <v>Robert King</v>
      </c>
      <c r="E281" s="1">
        <v>41764</v>
      </c>
      <c r="F281" s="1">
        <v>41792</v>
      </c>
      <c r="G281" s="1">
        <v>41766</v>
      </c>
      <c r="H281" s="3">
        <f>IF(Table1[[#This Row],[ShippedDate]]="","",IF(Table1[[#This Row],[OrderDate]]="","",Table1[[#This Row],[ShippedDate]]-Table1[[#This Row],[OrderDate]]))</f>
        <v>2</v>
      </c>
      <c r="I281" s="3">
        <v>1</v>
      </c>
      <c r="J281" s="2">
        <v>41.9</v>
      </c>
      <c r="K281" s="2">
        <f>SUMIF(order_details!A:A,Table1[[#This Row],[orderID]],order_details!F:F)</f>
        <v>1503</v>
      </c>
      <c r="L281" s="9">
        <f>_xlfn.XLOOKUP(Table1[[#This Row],[orderID]],Table3[orderID],Table3[discount])</f>
        <v>0.1</v>
      </c>
      <c r="M281" s="2">
        <f>SUM(Table1[[#This Row],[Sales]],Table1[[#This Row],[freight]])</f>
        <v>1544.9</v>
      </c>
      <c r="N281" s="3">
        <f>_xlfn.XLOOKUP(Table1[[#This Row],[orderID]],Table3[orderID],Table3[quantity])</f>
        <v>50</v>
      </c>
      <c r="O281" s="6" t="str">
        <f>_xlfn.XLOOKUP(Table1[[#This Row],[CustomerID]],customers!A:A,customers!B:B)</f>
        <v>QUICK-Stop</v>
      </c>
      <c r="P281" s="6" t="str">
        <f>_xlfn.XLOOKUP(Table1[[#This Row],[shipperID]],Table6[shipperID],Table6[companyName])</f>
        <v>Speedy Express</v>
      </c>
      <c r="Q281">
        <f>YEAR(Table1[[#This Row],[OrderDate]])</f>
        <v>2014</v>
      </c>
      <c r="R281">
        <f>MONTH(Table1[[#This Row],[OrderDate]])</f>
        <v>5</v>
      </c>
      <c r="S281" t="str">
        <f>"Q"&amp;ROUNDUP(Table1[[#This Row],[month]]/3,0)</f>
        <v>Q2</v>
      </c>
      <c r="T281" t="str">
        <f>CONCATENATE(Table1[[#This Row],[year]],"-",Table1[[#This Row],[Quarter]])</f>
        <v>2014-Q2</v>
      </c>
      <c r="U281" s="6" t="str">
        <f>IF(H280="","Pending",IF(Table1[[#This Row],[Days to ship]]&lt;Table1[[#This Row],[RequiredDate]],"On Time","Late"))</f>
        <v>On Time</v>
      </c>
      <c r="V281">
        <f>_xlfn.XLOOKUP(Table1[[#This Row],[orderID]],Table3[orderID],Table3[unitPrice])</f>
        <v>22</v>
      </c>
    </row>
    <row r="282" spans="1:22" x14ac:dyDescent="0.45">
      <c r="A282" s="3">
        <v>10528</v>
      </c>
      <c r="B282" s="6" t="s">
        <v>168</v>
      </c>
      <c r="C282" s="3">
        <v>6</v>
      </c>
      <c r="D282" s="6" t="str">
        <f>_xlfn.XLOOKUP(Table1[[#This Row],[EmployeeID]],Table4[employeeID],Table4[employeeName])</f>
        <v>Michael Suyama</v>
      </c>
      <c r="E282" s="1">
        <v>41765</v>
      </c>
      <c r="F282" s="1">
        <v>41779</v>
      </c>
      <c r="G282" s="1">
        <v>41768</v>
      </c>
      <c r="H282" s="3">
        <f>IF(Table1[[#This Row],[ShippedDate]]="","",IF(Table1[[#This Row],[OrderDate]]="","",Table1[[#This Row],[ShippedDate]]-Table1[[#This Row],[OrderDate]]))</f>
        <v>3</v>
      </c>
      <c r="I282" s="3">
        <v>2</v>
      </c>
      <c r="J282" s="2">
        <v>3.35</v>
      </c>
      <c r="K282" s="2">
        <f>SUMIF(order_details!A:A,Table1[[#This Row],[orderID]],order_details!F:F)</f>
        <v>392.2</v>
      </c>
      <c r="L282" s="9">
        <f>_xlfn.XLOOKUP(Table1[[#This Row],[orderID]],Table3[orderID],Table3[discount])</f>
        <v>0</v>
      </c>
      <c r="M282" s="2">
        <f>SUM(Table1[[#This Row],[Sales]],Table1[[#This Row],[freight]])</f>
        <v>395.55</v>
      </c>
      <c r="N282" s="3">
        <f>_xlfn.XLOOKUP(Table1[[#This Row],[orderID]],Table3[orderID],Table3[quantity])</f>
        <v>3</v>
      </c>
      <c r="O282" s="6" t="str">
        <f>_xlfn.XLOOKUP(Table1[[#This Row],[CustomerID]],customers!A:A,customers!B:B)</f>
        <v>Great Lakes Food Market</v>
      </c>
      <c r="P282" s="6" t="str">
        <f>_xlfn.XLOOKUP(Table1[[#This Row],[shipperID]],Table6[shipperID],Table6[companyName])</f>
        <v>United Package</v>
      </c>
      <c r="Q282">
        <f>YEAR(Table1[[#This Row],[OrderDate]])</f>
        <v>2014</v>
      </c>
      <c r="R282">
        <f>MONTH(Table1[[#This Row],[OrderDate]])</f>
        <v>5</v>
      </c>
      <c r="S282" t="str">
        <f>"Q"&amp;ROUNDUP(Table1[[#This Row],[month]]/3,0)</f>
        <v>Q2</v>
      </c>
      <c r="T282" t="str">
        <f>CONCATENATE(Table1[[#This Row],[year]],"-",Table1[[#This Row],[Quarter]])</f>
        <v>2014-Q2</v>
      </c>
      <c r="U282" s="6" t="str">
        <f>IF(H281="","Pending",IF(Table1[[#This Row],[Days to ship]]&lt;Table1[[#This Row],[RequiredDate]],"On Time","Late"))</f>
        <v>On Time</v>
      </c>
      <c r="V282">
        <f>_xlfn.XLOOKUP(Table1[[#This Row],[orderID]],Table3[orderID],Table3[unitPrice])</f>
        <v>21</v>
      </c>
    </row>
    <row r="283" spans="1:22" x14ac:dyDescent="0.45">
      <c r="A283" s="3">
        <v>10529</v>
      </c>
      <c r="B283" s="6" t="s">
        <v>205</v>
      </c>
      <c r="C283" s="3">
        <v>5</v>
      </c>
      <c r="D283" s="6" t="str">
        <f>_xlfn.XLOOKUP(Table1[[#This Row],[EmployeeID]],Table4[employeeID],Table4[employeeName])</f>
        <v>Steven Buchanan</v>
      </c>
      <c r="E283" s="1">
        <v>41766</v>
      </c>
      <c r="F283" s="1">
        <v>41794</v>
      </c>
      <c r="G283" s="1">
        <v>41768</v>
      </c>
      <c r="H283" s="3">
        <f>IF(Table1[[#This Row],[ShippedDate]]="","",IF(Table1[[#This Row],[OrderDate]]="","",Table1[[#This Row],[ShippedDate]]-Table1[[#This Row],[OrderDate]]))</f>
        <v>2</v>
      </c>
      <c r="I283" s="3">
        <v>2</v>
      </c>
      <c r="J283" s="2">
        <v>66.69</v>
      </c>
      <c r="K283" s="2">
        <f>SUMIF(order_details!A:A,Table1[[#This Row],[orderID]],order_details!F:F)</f>
        <v>946</v>
      </c>
      <c r="L283" s="9">
        <f>_xlfn.XLOOKUP(Table1[[#This Row],[orderID]],Table3[orderID],Table3[discount])</f>
        <v>0</v>
      </c>
      <c r="M283" s="2">
        <f>SUM(Table1[[#This Row],[Sales]],Table1[[#This Row],[freight]])</f>
        <v>1012.69</v>
      </c>
      <c r="N283" s="3">
        <f>_xlfn.XLOOKUP(Table1[[#This Row],[orderID]],Table3[orderID],Table3[quantity])</f>
        <v>14</v>
      </c>
      <c r="O283" s="6" t="str">
        <f>_xlfn.XLOOKUP(Table1[[#This Row],[CustomerID]],customers!A:A,customers!B:B)</f>
        <v>Maison Dewey</v>
      </c>
      <c r="P283" s="6" t="str">
        <f>_xlfn.XLOOKUP(Table1[[#This Row],[shipperID]],Table6[shipperID],Table6[companyName])</f>
        <v>United Package</v>
      </c>
      <c r="Q283">
        <f>YEAR(Table1[[#This Row],[OrderDate]])</f>
        <v>2014</v>
      </c>
      <c r="R283">
        <f>MONTH(Table1[[#This Row],[OrderDate]])</f>
        <v>5</v>
      </c>
      <c r="S283" t="str">
        <f>"Q"&amp;ROUNDUP(Table1[[#This Row],[month]]/3,0)</f>
        <v>Q2</v>
      </c>
      <c r="T283" t="str">
        <f>CONCATENATE(Table1[[#This Row],[year]],"-",Table1[[#This Row],[Quarter]])</f>
        <v>2014-Q2</v>
      </c>
      <c r="U283" s="6" t="str">
        <f>IF(H282="","Pending",IF(Table1[[#This Row],[Days to ship]]&lt;Table1[[#This Row],[RequiredDate]],"On Time","Late"))</f>
        <v>On Time</v>
      </c>
      <c r="V283">
        <f>_xlfn.XLOOKUP(Table1[[#This Row],[orderID]],Table3[orderID],Table3[unitPrice])</f>
        <v>24</v>
      </c>
    </row>
    <row r="284" spans="1:22" x14ac:dyDescent="0.45">
      <c r="A284" s="3">
        <v>10530</v>
      </c>
      <c r="B284" s="6" t="s">
        <v>176</v>
      </c>
      <c r="C284" s="3">
        <v>3</v>
      </c>
      <c r="D284" s="6" t="str">
        <f>_xlfn.XLOOKUP(Table1[[#This Row],[EmployeeID]],Table4[employeeID],Table4[employeeName])</f>
        <v>Janet Leverling</v>
      </c>
      <c r="E284" s="1">
        <v>41767</v>
      </c>
      <c r="F284" s="1">
        <v>41795</v>
      </c>
      <c r="G284" s="1">
        <v>41771</v>
      </c>
      <c r="H284" s="3">
        <f>IF(Table1[[#This Row],[ShippedDate]]="","",IF(Table1[[#This Row],[OrderDate]]="","",Table1[[#This Row],[ShippedDate]]-Table1[[#This Row],[OrderDate]]))</f>
        <v>4</v>
      </c>
      <c r="I284" s="3">
        <v>2</v>
      </c>
      <c r="J284" s="2">
        <v>339.22</v>
      </c>
      <c r="K284" s="2">
        <f>SUMIF(order_details!A:A,Table1[[#This Row],[orderID]],order_details!F:F)</f>
        <v>4180</v>
      </c>
      <c r="L284" s="9">
        <f>_xlfn.XLOOKUP(Table1[[#This Row],[orderID]],Table3[orderID],Table3[discount])</f>
        <v>0</v>
      </c>
      <c r="M284" s="2">
        <f>SUM(Table1[[#This Row],[Sales]],Table1[[#This Row],[freight]])</f>
        <v>4519.22</v>
      </c>
      <c r="N284" s="3">
        <f>_xlfn.XLOOKUP(Table1[[#This Row],[orderID]],Table3[orderID],Table3[quantity])</f>
        <v>40</v>
      </c>
      <c r="O284" s="6" t="str">
        <f>_xlfn.XLOOKUP(Table1[[#This Row],[CustomerID]],customers!A:A,customers!B:B)</f>
        <v>Piccolo und mehr</v>
      </c>
      <c r="P284" s="6" t="str">
        <f>_xlfn.XLOOKUP(Table1[[#This Row],[shipperID]],Table6[shipperID],Table6[companyName])</f>
        <v>United Package</v>
      </c>
      <c r="Q284">
        <f>YEAR(Table1[[#This Row],[OrderDate]])</f>
        <v>2014</v>
      </c>
      <c r="R284">
        <f>MONTH(Table1[[#This Row],[OrderDate]])</f>
        <v>5</v>
      </c>
      <c r="S284" t="str">
        <f>"Q"&amp;ROUNDUP(Table1[[#This Row],[month]]/3,0)</f>
        <v>Q2</v>
      </c>
      <c r="T284" t="str">
        <f>CONCATENATE(Table1[[#This Row],[year]],"-",Table1[[#This Row],[Quarter]])</f>
        <v>2014-Q2</v>
      </c>
      <c r="U284" s="6" t="str">
        <f>IF(H283="","Pending",IF(Table1[[#This Row],[Days to ship]]&lt;Table1[[#This Row],[RequiredDate]],"On Time","Late"))</f>
        <v>On Time</v>
      </c>
      <c r="V284">
        <f>_xlfn.XLOOKUP(Table1[[#This Row],[orderID]],Table3[orderID],Table3[unitPrice])</f>
        <v>39</v>
      </c>
    </row>
    <row r="285" spans="1:22" x14ac:dyDescent="0.45">
      <c r="A285" s="3">
        <v>10531</v>
      </c>
      <c r="B285" s="6" t="s">
        <v>210</v>
      </c>
      <c r="C285" s="3">
        <v>7</v>
      </c>
      <c r="D285" s="6" t="str">
        <f>_xlfn.XLOOKUP(Table1[[#This Row],[EmployeeID]],Table4[employeeID],Table4[employeeName])</f>
        <v>Robert King</v>
      </c>
      <c r="E285" s="1">
        <v>41767</v>
      </c>
      <c r="F285" s="1">
        <v>41795</v>
      </c>
      <c r="G285" s="1">
        <v>41778</v>
      </c>
      <c r="H285" s="3">
        <f>IF(Table1[[#This Row],[ShippedDate]]="","",IF(Table1[[#This Row],[OrderDate]]="","",Table1[[#This Row],[ShippedDate]]-Table1[[#This Row],[OrderDate]]))</f>
        <v>11</v>
      </c>
      <c r="I285" s="3">
        <v>1</v>
      </c>
      <c r="J285" s="2">
        <v>8.1199999999999992</v>
      </c>
      <c r="K285" s="2">
        <f>SUMIF(order_details!A:A,Table1[[#This Row],[orderID]],order_details!F:F)</f>
        <v>110</v>
      </c>
      <c r="L285" s="9">
        <f>_xlfn.XLOOKUP(Table1[[#This Row],[orderID]],Table3[orderID],Table3[discount])</f>
        <v>0</v>
      </c>
      <c r="M285" s="2">
        <f>SUM(Table1[[#This Row],[Sales]],Table1[[#This Row],[freight]])</f>
        <v>118.12</v>
      </c>
      <c r="N285" s="3">
        <f>_xlfn.XLOOKUP(Table1[[#This Row],[orderID]],Table3[orderID],Table3[quantity])</f>
        <v>2</v>
      </c>
      <c r="O285" s="6" t="str">
        <f>_xlfn.XLOOKUP(Table1[[#This Row],[CustomerID]],customers!A:A,customers!B:B)</f>
        <v>Océano Atlántico Ltda.</v>
      </c>
      <c r="P285" s="6" t="str">
        <f>_xlfn.XLOOKUP(Table1[[#This Row],[shipperID]],Table6[shipperID],Table6[companyName])</f>
        <v>Speedy Express</v>
      </c>
      <c r="Q285">
        <f>YEAR(Table1[[#This Row],[OrderDate]])</f>
        <v>2014</v>
      </c>
      <c r="R285">
        <f>MONTH(Table1[[#This Row],[OrderDate]])</f>
        <v>5</v>
      </c>
      <c r="S285" t="str">
        <f>"Q"&amp;ROUNDUP(Table1[[#This Row],[month]]/3,0)</f>
        <v>Q2</v>
      </c>
      <c r="T285" t="str">
        <f>CONCATENATE(Table1[[#This Row],[year]],"-",Table1[[#This Row],[Quarter]])</f>
        <v>2014-Q2</v>
      </c>
      <c r="U285" s="6" t="str">
        <f>IF(H284="","Pending",IF(Table1[[#This Row],[Days to ship]]&lt;Table1[[#This Row],[RequiredDate]],"On Time","Late"))</f>
        <v>On Time</v>
      </c>
      <c r="V285">
        <f>_xlfn.XLOOKUP(Table1[[#This Row],[orderID]],Table3[orderID],Table3[unitPrice])</f>
        <v>55</v>
      </c>
    </row>
    <row r="286" spans="1:22" x14ac:dyDescent="0.45">
      <c r="A286" s="3">
        <v>10532</v>
      </c>
      <c r="B286" s="6" t="s">
        <v>173</v>
      </c>
      <c r="C286" s="3">
        <v>7</v>
      </c>
      <c r="D286" s="6" t="str">
        <f>_xlfn.XLOOKUP(Table1[[#This Row],[EmployeeID]],Table4[employeeID],Table4[employeeName])</f>
        <v>Robert King</v>
      </c>
      <c r="E286" s="1">
        <v>41768</v>
      </c>
      <c r="F286" s="1">
        <v>41796</v>
      </c>
      <c r="G286" s="1">
        <v>41771</v>
      </c>
      <c r="H286" s="3">
        <f>IF(Table1[[#This Row],[ShippedDate]]="","",IF(Table1[[#This Row],[OrderDate]]="","",Table1[[#This Row],[ShippedDate]]-Table1[[#This Row],[OrderDate]]))</f>
        <v>3</v>
      </c>
      <c r="I286" s="3">
        <v>3</v>
      </c>
      <c r="J286" s="2">
        <v>74.459999999999994</v>
      </c>
      <c r="K286" s="2">
        <f>SUMIF(order_details!A:A,Table1[[#This Row],[orderID]],order_details!F:F)</f>
        <v>796.35</v>
      </c>
      <c r="L286" s="9">
        <f>_xlfn.XLOOKUP(Table1[[#This Row],[orderID]],Table3[orderID],Table3[discount])</f>
        <v>0</v>
      </c>
      <c r="M286" s="2">
        <f>SUM(Table1[[#This Row],[Sales]],Table1[[#This Row],[freight]])</f>
        <v>870.81000000000006</v>
      </c>
      <c r="N286" s="3">
        <f>_xlfn.XLOOKUP(Table1[[#This Row],[orderID]],Table3[orderID],Table3[quantity])</f>
        <v>15</v>
      </c>
      <c r="O286" s="6" t="str">
        <f>_xlfn.XLOOKUP(Table1[[#This Row],[CustomerID]],customers!A:A,customers!B:B)</f>
        <v>Eastern Connection</v>
      </c>
      <c r="P286" s="6" t="str">
        <f>_xlfn.XLOOKUP(Table1[[#This Row],[shipperID]],Table6[shipperID],Table6[companyName])</f>
        <v>Federal Shipping</v>
      </c>
      <c r="Q286">
        <f>YEAR(Table1[[#This Row],[OrderDate]])</f>
        <v>2014</v>
      </c>
      <c r="R286">
        <f>MONTH(Table1[[#This Row],[OrderDate]])</f>
        <v>5</v>
      </c>
      <c r="S286" t="str">
        <f>"Q"&amp;ROUNDUP(Table1[[#This Row],[month]]/3,0)</f>
        <v>Q2</v>
      </c>
      <c r="T286" t="str">
        <f>CONCATENATE(Table1[[#This Row],[year]],"-",Table1[[#This Row],[Quarter]])</f>
        <v>2014-Q2</v>
      </c>
      <c r="U286" s="6" t="str">
        <f>IF(H285="","Pending",IF(Table1[[#This Row],[Days to ship]]&lt;Table1[[#This Row],[RequiredDate]],"On Time","Late"))</f>
        <v>On Time</v>
      </c>
      <c r="V286">
        <f>_xlfn.XLOOKUP(Table1[[#This Row],[orderID]],Table3[orderID],Table3[unitPrice])</f>
        <v>25.89</v>
      </c>
    </row>
    <row r="287" spans="1:22" x14ac:dyDescent="0.45">
      <c r="A287" s="3">
        <v>10533</v>
      </c>
      <c r="B287" s="6" t="s">
        <v>179</v>
      </c>
      <c r="C287" s="3">
        <v>8</v>
      </c>
      <c r="D287" s="6" t="str">
        <f>_xlfn.XLOOKUP(Table1[[#This Row],[EmployeeID]],Table4[employeeID],Table4[employeeName])</f>
        <v>Laura Callahan</v>
      </c>
      <c r="E287" s="1">
        <v>41771</v>
      </c>
      <c r="F287" s="1">
        <v>41799</v>
      </c>
      <c r="G287" s="1">
        <v>41781</v>
      </c>
      <c r="H287" s="3">
        <f>IF(Table1[[#This Row],[ShippedDate]]="","",IF(Table1[[#This Row],[OrderDate]]="","",Table1[[#This Row],[ShippedDate]]-Table1[[#This Row],[OrderDate]]))</f>
        <v>10</v>
      </c>
      <c r="I287" s="3">
        <v>1</v>
      </c>
      <c r="J287" s="2">
        <v>188.04</v>
      </c>
      <c r="K287" s="2">
        <f>SUMIF(order_details!A:A,Table1[[#This Row],[orderID]],order_details!F:F)</f>
        <v>2222.1999999999998</v>
      </c>
      <c r="L287" s="9">
        <f>_xlfn.XLOOKUP(Table1[[#This Row],[orderID]],Table3[orderID],Table3[discount])</f>
        <v>0.05</v>
      </c>
      <c r="M287" s="2">
        <f>SUM(Table1[[#This Row],[Sales]],Table1[[#This Row],[freight]])</f>
        <v>2410.2399999999998</v>
      </c>
      <c r="N287" s="3">
        <f>_xlfn.XLOOKUP(Table1[[#This Row],[orderID]],Table3[orderID],Table3[quantity])</f>
        <v>50</v>
      </c>
      <c r="O287" s="6" t="str">
        <f>_xlfn.XLOOKUP(Table1[[#This Row],[CustomerID]],customers!A:A,customers!B:B)</f>
        <v>Folk och fä HB</v>
      </c>
      <c r="P287" s="6" t="str">
        <f>_xlfn.XLOOKUP(Table1[[#This Row],[shipperID]],Table6[shipperID],Table6[companyName])</f>
        <v>Speedy Express</v>
      </c>
      <c r="Q287">
        <f>YEAR(Table1[[#This Row],[OrderDate]])</f>
        <v>2014</v>
      </c>
      <c r="R287">
        <f>MONTH(Table1[[#This Row],[OrderDate]])</f>
        <v>5</v>
      </c>
      <c r="S287" t="str">
        <f>"Q"&amp;ROUNDUP(Table1[[#This Row],[month]]/3,0)</f>
        <v>Q2</v>
      </c>
      <c r="T287" t="str">
        <f>CONCATENATE(Table1[[#This Row],[year]],"-",Table1[[#This Row],[Quarter]])</f>
        <v>2014-Q2</v>
      </c>
      <c r="U287" s="6" t="str">
        <f>IF(H286="","Pending",IF(Table1[[#This Row],[Days to ship]]&lt;Table1[[#This Row],[RequiredDate]],"On Time","Late"))</f>
        <v>On Time</v>
      </c>
      <c r="V287">
        <f>_xlfn.XLOOKUP(Table1[[#This Row],[orderID]],Table3[orderID],Table3[unitPrice])</f>
        <v>22</v>
      </c>
    </row>
    <row r="288" spans="1:22" x14ac:dyDescent="0.45">
      <c r="A288" s="3">
        <v>10534</v>
      </c>
      <c r="B288" s="6" t="s">
        <v>160</v>
      </c>
      <c r="C288" s="3">
        <v>8</v>
      </c>
      <c r="D288" s="6" t="str">
        <f>_xlfn.XLOOKUP(Table1[[#This Row],[EmployeeID]],Table4[employeeID],Table4[employeeName])</f>
        <v>Laura Callahan</v>
      </c>
      <c r="E288" s="1">
        <v>41771</v>
      </c>
      <c r="F288" s="1">
        <v>41799</v>
      </c>
      <c r="G288" s="1">
        <v>41773</v>
      </c>
      <c r="H288" s="3">
        <f>IF(Table1[[#This Row],[ShippedDate]]="","",IF(Table1[[#This Row],[OrderDate]]="","",Table1[[#This Row],[ShippedDate]]-Table1[[#This Row],[OrderDate]]))</f>
        <v>2</v>
      </c>
      <c r="I288" s="3">
        <v>2</v>
      </c>
      <c r="J288" s="2">
        <v>27.94</v>
      </c>
      <c r="K288" s="2">
        <f>SUMIF(order_details!A:A,Table1[[#This Row],[orderID]],order_details!F:F)</f>
        <v>465.70000000000005</v>
      </c>
      <c r="L288" s="9">
        <f>_xlfn.XLOOKUP(Table1[[#This Row],[orderID]],Table3[orderID],Table3[discount])</f>
        <v>0</v>
      </c>
      <c r="M288" s="2">
        <f>SUM(Table1[[#This Row],[Sales]],Table1[[#This Row],[freight]])</f>
        <v>493.64000000000004</v>
      </c>
      <c r="N288" s="3">
        <f>_xlfn.XLOOKUP(Table1[[#This Row],[orderID]],Table3[orderID],Table3[quantity])</f>
        <v>10</v>
      </c>
      <c r="O288" s="6" t="str">
        <f>_xlfn.XLOOKUP(Table1[[#This Row],[CustomerID]],customers!A:A,customers!B:B)</f>
        <v>Lehmanns Marktstand</v>
      </c>
      <c r="P288" s="6" t="str">
        <f>_xlfn.XLOOKUP(Table1[[#This Row],[shipperID]],Table6[shipperID],Table6[companyName])</f>
        <v>United Package</v>
      </c>
      <c r="Q288">
        <f>YEAR(Table1[[#This Row],[OrderDate]])</f>
        <v>2014</v>
      </c>
      <c r="R288">
        <f>MONTH(Table1[[#This Row],[OrderDate]])</f>
        <v>5</v>
      </c>
      <c r="S288" t="str">
        <f>"Q"&amp;ROUNDUP(Table1[[#This Row],[month]]/3,0)</f>
        <v>Q2</v>
      </c>
      <c r="T288" t="str">
        <f>CONCATENATE(Table1[[#This Row],[year]],"-",Table1[[#This Row],[Quarter]])</f>
        <v>2014-Q2</v>
      </c>
      <c r="U288" s="6" t="str">
        <f>IF(H287="","Pending",IF(Table1[[#This Row],[Days to ship]]&lt;Table1[[#This Row],[RequiredDate]],"On Time","Late"))</f>
        <v>On Time</v>
      </c>
      <c r="V288">
        <f>_xlfn.XLOOKUP(Table1[[#This Row],[orderID]],Table3[orderID],Table3[unitPrice])</f>
        <v>25.89</v>
      </c>
    </row>
    <row r="289" spans="1:22" x14ac:dyDescent="0.45">
      <c r="A289" s="3">
        <v>10535</v>
      </c>
      <c r="B289" s="6" t="s">
        <v>227</v>
      </c>
      <c r="C289" s="3">
        <v>4</v>
      </c>
      <c r="D289" s="6" t="str">
        <f>_xlfn.XLOOKUP(Table1[[#This Row],[EmployeeID]],Table4[employeeID],Table4[employeeName])</f>
        <v>Margaret Peacock</v>
      </c>
      <c r="E289" s="1">
        <v>41772</v>
      </c>
      <c r="F289" s="1">
        <v>41800</v>
      </c>
      <c r="G289" s="1">
        <v>41780</v>
      </c>
      <c r="H289" s="3">
        <f>IF(Table1[[#This Row],[ShippedDate]]="","",IF(Table1[[#This Row],[OrderDate]]="","",Table1[[#This Row],[ShippedDate]]-Table1[[#This Row],[OrderDate]]))</f>
        <v>8</v>
      </c>
      <c r="I289" s="3">
        <v>1</v>
      </c>
      <c r="J289" s="2">
        <v>15.64</v>
      </c>
      <c r="K289" s="2">
        <f>SUMIF(order_details!A:A,Table1[[#This Row],[orderID]],order_details!F:F)</f>
        <v>1940.85</v>
      </c>
      <c r="L289" s="9">
        <f>_xlfn.XLOOKUP(Table1[[#This Row],[orderID]],Table3[orderID],Table3[discount])</f>
        <v>0.1</v>
      </c>
      <c r="M289" s="2">
        <f>SUM(Table1[[#This Row],[Sales]],Table1[[#This Row],[freight]])</f>
        <v>1956.49</v>
      </c>
      <c r="N289" s="3">
        <f>_xlfn.XLOOKUP(Table1[[#This Row],[orderID]],Table3[orderID],Table3[quantity])</f>
        <v>50</v>
      </c>
      <c r="O289" s="6" t="str">
        <f>_xlfn.XLOOKUP(Table1[[#This Row],[CustomerID]],customers!A:A,customers!B:B)</f>
        <v>Antonio Moreno Taquería</v>
      </c>
      <c r="P289" s="6" t="str">
        <f>_xlfn.XLOOKUP(Table1[[#This Row],[shipperID]],Table6[shipperID],Table6[companyName])</f>
        <v>Speedy Express</v>
      </c>
      <c r="Q289">
        <f>YEAR(Table1[[#This Row],[OrderDate]])</f>
        <v>2014</v>
      </c>
      <c r="R289">
        <f>MONTH(Table1[[#This Row],[OrderDate]])</f>
        <v>5</v>
      </c>
      <c r="S289" t="str">
        <f>"Q"&amp;ROUNDUP(Table1[[#This Row],[month]]/3,0)</f>
        <v>Q2</v>
      </c>
      <c r="T289" t="str">
        <f>CONCATENATE(Table1[[#This Row],[year]],"-",Table1[[#This Row],[Quarter]])</f>
        <v>2014-Q2</v>
      </c>
      <c r="U289" s="6" t="str">
        <f>IF(H288="","Pending",IF(Table1[[#This Row],[Days to ship]]&lt;Table1[[#This Row],[RequiredDate]],"On Time","Late"))</f>
        <v>On Time</v>
      </c>
      <c r="V289">
        <f>_xlfn.XLOOKUP(Table1[[#This Row],[orderID]],Table3[orderID],Table3[unitPrice])</f>
        <v>21</v>
      </c>
    </row>
    <row r="290" spans="1:22" x14ac:dyDescent="0.45">
      <c r="A290" s="3">
        <v>10536</v>
      </c>
      <c r="B290" s="6" t="s">
        <v>160</v>
      </c>
      <c r="C290" s="3">
        <v>3</v>
      </c>
      <c r="D290" s="6" t="str">
        <f>_xlfn.XLOOKUP(Table1[[#This Row],[EmployeeID]],Table4[employeeID],Table4[employeeName])</f>
        <v>Janet Leverling</v>
      </c>
      <c r="E290" s="1">
        <v>41773</v>
      </c>
      <c r="F290" s="1">
        <v>41801</v>
      </c>
      <c r="G290" s="1">
        <v>41796</v>
      </c>
      <c r="H290" s="3">
        <f>IF(Table1[[#This Row],[ShippedDate]]="","",IF(Table1[[#This Row],[OrderDate]]="","",Table1[[#This Row],[ShippedDate]]-Table1[[#This Row],[OrderDate]]))</f>
        <v>23</v>
      </c>
      <c r="I290" s="3">
        <v>2</v>
      </c>
      <c r="J290" s="2">
        <v>58.88</v>
      </c>
      <c r="K290" s="2">
        <f>SUMIF(order_details!A:A,Table1[[#This Row],[orderID]],order_details!F:F)</f>
        <v>1645</v>
      </c>
      <c r="L290" s="9">
        <f>_xlfn.XLOOKUP(Table1[[#This Row],[orderID]],Table3[orderID],Table3[discount])</f>
        <v>0.25</v>
      </c>
      <c r="M290" s="2">
        <f>SUM(Table1[[#This Row],[Sales]],Table1[[#This Row],[freight]])</f>
        <v>1703.88</v>
      </c>
      <c r="N290" s="3">
        <f>_xlfn.XLOOKUP(Table1[[#This Row],[orderID]],Table3[orderID],Table3[quantity])</f>
        <v>15</v>
      </c>
      <c r="O290" s="6" t="str">
        <f>_xlfn.XLOOKUP(Table1[[#This Row],[CustomerID]],customers!A:A,customers!B:B)</f>
        <v>Lehmanns Marktstand</v>
      </c>
      <c r="P290" s="6" t="str">
        <f>_xlfn.XLOOKUP(Table1[[#This Row],[shipperID]],Table6[shipperID],Table6[companyName])</f>
        <v>United Package</v>
      </c>
      <c r="Q290">
        <f>YEAR(Table1[[#This Row],[OrderDate]])</f>
        <v>2014</v>
      </c>
      <c r="R290">
        <f>MONTH(Table1[[#This Row],[OrderDate]])</f>
        <v>5</v>
      </c>
      <c r="S290" t="str">
        <f>"Q"&amp;ROUNDUP(Table1[[#This Row],[month]]/3,0)</f>
        <v>Q2</v>
      </c>
      <c r="T290" t="str">
        <f>CONCATENATE(Table1[[#This Row],[year]],"-",Table1[[#This Row],[Quarter]])</f>
        <v>2014-Q2</v>
      </c>
      <c r="U290" s="6" t="str">
        <f>IF(H289="","Pending",IF(Table1[[#This Row],[Days to ship]]&lt;Table1[[#This Row],[RequiredDate]],"On Time","Late"))</f>
        <v>On Time</v>
      </c>
      <c r="V290">
        <f>_xlfn.XLOOKUP(Table1[[#This Row],[orderID]],Table3[orderID],Table3[unitPrice])</f>
        <v>38</v>
      </c>
    </row>
    <row r="291" spans="1:22" x14ac:dyDescent="0.45">
      <c r="A291" s="3">
        <v>10537</v>
      </c>
      <c r="B291" s="6" t="s">
        <v>155</v>
      </c>
      <c r="C291" s="3">
        <v>1</v>
      </c>
      <c r="D291" s="6" t="str">
        <f>_xlfn.XLOOKUP(Table1[[#This Row],[EmployeeID]],Table4[employeeID],Table4[employeeName])</f>
        <v>Nancy Davolio</v>
      </c>
      <c r="E291" s="1">
        <v>41773</v>
      </c>
      <c r="F291" s="1">
        <v>41787</v>
      </c>
      <c r="G291" s="1">
        <v>41778</v>
      </c>
      <c r="H291" s="3">
        <f>IF(Table1[[#This Row],[ShippedDate]]="","",IF(Table1[[#This Row],[OrderDate]]="","",Table1[[#This Row],[ShippedDate]]-Table1[[#This Row],[OrderDate]]))</f>
        <v>5</v>
      </c>
      <c r="I291" s="3">
        <v>1</v>
      </c>
      <c r="J291" s="2">
        <v>78.849999999999994</v>
      </c>
      <c r="K291" s="2">
        <f>SUMIF(order_details!A:A,Table1[[#This Row],[orderID]],order_details!F:F)</f>
        <v>1823.8</v>
      </c>
      <c r="L291" s="9">
        <f>_xlfn.XLOOKUP(Table1[[#This Row],[orderID]],Table3[orderID],Table3[discount])</f>
        <v>0</v>
      </c>
      <c r="M291" s="2">
        <f>SUM(Table1[[#This Row],[Sales]],Table1[[#This Row],[freight]])</f>
        <v>1902.6499999999999</v>
      </c>
      <c r="N291" s="3">
        <f>_xlfn.XLOOKUP(Table1[[#This Row],[orderID]],Table3[orderID],Table3[quantity])</f>
        <v>30</v>
      </c>
      <c r="O291" s="6" t="str">
        <f>_xlfn.XLOOKUP(Table1[[#This Row],[CustomerID]],customers!A:A,customers!B:B)</f>
        <v>Richter Supermarkt</v>
      </c>
      <c r="P291" s="6" t="str">
        <f>_xlfn.XLOOKUP(Table1[[#This Row],[shipperID]],Table6[shipperID],Table6[companyName])</f>
        <v>Speedy Express</v>
      </c>
      <c r="Q291">
        <f>YEAR(Table1[[#This Row],[OrderDate]])</f>
        <v>2014</v>
      </c>
      <c r="R291">
        <f>MONTH(Table1[[#This Row],[OrderDate]])</f>
        <v>5</v>
      </c>
      <c r="S291" t="str">
        <f>"Q"&amp;ROUNDUP(Table1[[#This Row],[month]]/3,0)</f>
        <v>Q2</v>
      </c>
      <c r="T291" t="str">
        <f>CONCATENATE(Table1[[#This Row],[year]],"-",Table1[[#This Row],[Quarter]])</f>
        <v>2014-Q2</v>
      </c>
      <c r="U291" s="6" t="str">
        <f>IF(H290="","Pending",IF(Table1[[#This Row],[Days to ship]]&lt;Table1[[#This Row],[RequiredDate]],"On Time","Late"))</f>
        <v>On Time</v>
      </c>
      <c r="V291">
        <f>_xlfn.XLOOKUP(Table1[[#This Row],[orderID]],Table3[orderID],Table3[unitPrice])</f>
        <v>12.5</v>
      </c>
    </row>
    <row r="292" spans="1:22" x14ac:dyDescent="0.45">
      <c r="A292" s="3">
        <v>10538</v>
      </c>
      <c r="B292" s="6" t="s">
        <v>193</v>
      </c>
      <c r="C292" s="3">
        <v>9</v>
      </c>
      <c r="D292" s="6" t="str">
        <f>_xlfn.XLOOKUP(Table1[[#This Row],[EmployeeID]],Table4[employeeID],Table4[employeeName])</f>
        <v>Anne Dodsworth</v>
      </c>
      <c r="E292" s="1">
        <v>41774</v>
      </c>
      <c r="F292" s="1">
        <v>41802</v>
      </c>
      <c r="G292" s="1">
        <v>41775</v>
      </c>
      <c r="H292" s="3">
        <f>IF(Table1[[#This Row],[ShippedDate]]="","",IF(Table1[[#This Row],[OrderDate]]="","",Table1[[#This Row],[ShippedDate]]-Table1[[#This Row],[OrderDate]]))</f>
        <v>1</v>
      </c>
      <c r="I292" s="3">
        <v>3</v>
      </c>
      <c r="J292" s="2">
        <v>4.87</v>
      </c>
      <c r="K292" s="2">
        <f>SUMIF(order_details!A:A,Table1[[#This Row],[orderID]],order_details!F:F)</f>
        <v>139.80000000000001</v>
      </c>
      <c r="L292" s="9">
        <f>_xlfn.XLOOKUP(Table1[[#This Row],[orderID]],Table3[orderID],Table3[discount])</f>
        <v>0</v>
      </c>
      <c r="M292" s="2">
        <f>SUM(Table1[[#This Row],[Sales]],Table1[[#This Row],[freight]])</f>
        <v>144.67000000000002</v>
      </c>
      <c r="N292" s="3">
        <f>_xlfn.XLOOKUP(Table1[[#This Row],[orderID]],Table3[orderID],Table3[quantity])</f>
        <v>7</v>
      </c>
      <c r="O292" s="6" t="str">
        <f>_xlfn.XLOOKUP(Table1[[#This Row],[CustomerID]],customers!A:A,customers!B:B)</f>
        <v>B's Beverages</v>
      </c>
      <c r="P292" s="6" t="str">
        <f>_xlfn.XLOOKUP(Table1[[#This Row],[shipperID]],Table6[shipperID],Table6[companyName])</f>
        <v>Federal Shipping</v>
      </c>
      <c r="Q292">
        <f>YEAR(Table1[[#This Row],[OrderDate]])</f>
        <v>2014</v>
      </c>
      <c r="R292">
        <f>MONTH(Table1[[#This Row],[OrderDate]])</f>
        <v>5</v>
      </c>
      <c r="S292" t="str">
        <f>"Q"&amp;ROUNDUP(Table1[[#This Row],[month]]/3,0)</f>
        <v>Q2</v>
      </c>
      <c r="T292" t="str">
        <f>CONCATENATE(Table1[[#This Row],[year]],"-",Table1[[#This Row],[Quarter]])</f>
        <v>2014-Q2</v>
      </c>
      <c r="U292" s="6" t="str">
        <f>IF(H291="","Pending",IF(Table1[[#This Row],[Days to ship]]&lt;Table1[[#This Row],[RequiredDate]],"On Time","Late"))</f>
        <v>On Time</v>
      </c>
      <c r="V292">
        <f>_xlfn.XLOOKUP(Table1[[#This Row],[orderID]],Table3[orderID],Table3[unitPrice])</f>
        <v>15</v>
      </c>
    </row>
    <row r="293" spans="1:22" x14ac:dyDescent="0.45">
      <c r="A293" s="3">
        <v>10539</v>
      </c>
      <c r="B293" s="6" t="s">
        <v>193</v>
      </c>
      <c r="C293" s="3">
        <v>6</v>
      </c>
      <c r="D293" s="6" t="str">
        <f>_xlfn.XLOOKUP(Table1[[#This Row],[EmployeeID]],Table4[employeeID],Table4[employeeName])</f>
        <v>Michael Suyama</v>
      </c>
      <c r="E293" s="1">
        <v>41775</v>
      </c>
      <c r="F293" s="1">
        <v>41803</v>
      </c>
      <c r="G293" s="1">
        <v>41782</v>
      </c>
      <c r="H293" s="3">
        <f>IF(Table1[[#This Row],[ShippedDate]]="","",IF(Table1[[#This Row],[OrderDate]]="","",Table1[[#This Row],[ShippedDate]]-Table1[[#This Row],[OrderDate]]))</f>
        <v>7</v>
      </c>
      <c r="I293" s="3">
        <v>3</v>
      </c>
      <c r="J293" s="2">
        <v>12.36</v>
      </c>
      <c r="K293" s="2">
        <f>SUMIF(order_details!A:A,Table1[[#This Row],[orderID]],order_details!F:F)</f>
        <v>355.5</v>
      </c>
      <c r="L293" s="9">
        <f>_xlfn.XLOOKUP(Table1[[#This Row],[orderID]],Table3[orderID],Table3[discount])</f>
        <v>0</v>
      </c>
      <c r="M293" s="2">
        <f>SUM(Table1[[#This Row],[Sales]],Table1[[#This Row],[freight]])</f>
        <v>367.86</v>
      </c>
      <c r="N293" s="3">
        <f>_xlfn.XLOOKUP(Table1[[#This Row],[orderID]],Table3[orderID],Table3[quantity])</f>
        <v>8</v>
      </c>
      <c r="O293" s="6" t="str">
        <f>_xlfn.XLOOKUP(Table1[[#This Row],[CustomerID]],customers!A:A,customers!B:B)</f>
        <v>B's Beverages</v>
      </c>
      <c r="P293" s="6" t="str">
        <f>_xlfn.XLOOKUP(Table1[[#This Row],[shipperID]],Table6[shipperID],Table6[companyName])</f>
        <v>Federal Shipping</v>
      </c>
      <c r="Q293">
        <f>YEAR(Table1[[#This Row],[OrderDate]])</f>
        <v>2014</v>
      </c>
      <c r="R293">
        <f>MONTH(Table1[[#This Row],[OrderDate]])</f>
        <v>5</v>
      </c>
      <c r="S293" t="str">
        <f>"Q"&amp;ROUNDUP(Table1[[#This Row],[month]]/3,0)</f>
        <v>Q2</v>
      </c>
      <c r="T293" t="str">
        <f>CONCATENATE(Table1[[#This Row],[year]],"-",Table1[[#This Row],[Quarter]])</f>
        <v>2014-Q2</v>
      </c>
      <c r="U293" s="6" t="str">
        <f>IF(H292="","Pending",IF(Table1[[#This Row],[Days to ship]]&lt;Table1[[#This Row],[RequiredDate]],"On Time","Late"))</f>
        <v>On Time</v>
      </c>
      <c r="V293">
        <f>_xlfn.XLOOKUP(Table1[[#This Row],[orderID]],Table3[orderID],Table3[unitPrice])</f>
        <v>6</v>
      </c>
    </row>
    <row r="294" spans="1:22" x14ac:dyDescent="0.45">
      <c r="A294" s="3">
        <v>10540</v>
      </c>
      <c r="B294" s="6" t="s">
        <v>194</v>
      </c>
      <c r="C294" s="3">
        <v>3</v>
      </c>
      <c r="D294" s="6" t="str">
        <f>_xlfn.XLOOKUP(Table1[[#This Row],[EmployeeID]],Table4[employeeID],Table4[employeeName])</f>
        <v>Janet Leverling</v>
      </c>
      <c r="E294" s="1">
        <v>41778</v>
      </c>
      <c r="F294" s="1">
        <v>41806</v>
      </c>
      <c r="G294" s="1">
        <v>41803</v>
      </c>
      <c r="H294" s="3">
        <f>IF(Table1[[#This Row],[ShippedDate]]="","",IF(Table1[[#This Row],[OrderDate]]="","",Table1[[#This Row],[ShippedDate]]-Table1[[#This Row],[OrderDate]]))</f>
        <v>25</v>
      </c>
      <c r="I294" s="3">
        <v>3</v>
      </c>
      <c r="J294" s="2">
        <v>1007.64</v>
      </c>
      <c r="K294" s="2">
        <f>SUMIF(order_details!A:A,Table1[[#This Row],[orderID]],order_details!F:F)</f>
        <v>10191.700000000001</v>
      </c>
      <c r="L294" s="9">
        <f>_xlfn.XLOOKUP(Table1[[#This Row],[orderID]],Table3[orderID],Table3[discount])</f>
        <v>0</v>
      </c>
      <c r="M294" s="2">
        <f>SUM(Table1[[#This Row],[Sales]],Table1[[#This Row],[freight]])</f>
        <v>11199.34</v>
      </c>
      <c r="N294" s="3">
        <f>_xlfn.XLOOKUP(Table1[[#This Row],[orderID]],Table3[orderID],Table3[quantity])</f>
        <v>60</v>
      </c>
      <c r="O294" s="6" t="str">
        <f>_xlfn.XLOOKUP(Table1[[#This Row],[CustomerID]],customers!A:A,customers!B:B)</f>
        <v>QUICK-Stop</v>
      </c>
      <c r="P294" s="6" t="str">
        <f>_xlfn.XLOOKUP(Table1[[#This Row],[shipperID]],Table6[shipperID],Table6[companyName])</f>
        <v>Federal Shipping</v>
      </c>
      <c r="Q294">
        <f>YEAR(Table1[[#This Row],[OrderDate]])</f>
        <v>2014</v>
      </c>
      <c r="R294">
        <f>MONTH(Table1[[#This Row],[OrderDate]])</f>
        <v>5</v>
      </c>
      <c r="S294" t="str">
        <f>"Q"&amp;ROUNDUP(Table1[[#This Row],[month]]/3,0)</f>
        <v>Q2</v>
      </c>
      <c r="T294" t="str">
        <f>CONCATENATE(Table1[[#This Row],[year]],"-",Table1[[#This Row],[Quarter]])</f>
        <v>2014-Q2</v>
      </c>
      <c r="U294" s="6" t="str">
        <f>IF(H293="","Pending",IF(Table1[[#This Row],[Days to ship]]&lt;Table1[[#This Row],[RequiredDate]],"On Time","Late"))</f>
        <v>On Time</v>
      </c>
      <c r="V294">
        <f>_xlfn.XLOOKUP(Table1[[#This Row],[orderID]],Table3[orderID],Table3[unitPrice])</f>
        <v>10</v>
      </c>
    </row>
    <row r="295" spans="1:22" x14ac:dyDescent="0.45">
      <c r="A295" s="3">
        <v>10541</v>
      </c>
      <c r="B295" s="6" t="s">
        <v>177</v>
      </c>
      <c r="C295" s="3">
        <v>2</v>
      </c>
      <c r="D295" s="6" t="str">
        <f>_xlfn.XLOOKUP(Table1[[#This Row],[EmployeeID]],Table4[employeeID],Table4[employeeName])</f>
        <v>Andrew Fuller</v>
      </c>
      <c r="E295" s="1">
        <v>41778</v>
      </c>
      <c r="F295" s="1">
        <v>41806</v>
      </c>
      <c r="G295" s="1">
        <v>41788</v>
      </c>
      <c r="H295" s="3">
        <f>IF(Table1[[#This Row],[ShippedDate]]="","",IF(Table1[[#This Row],[OrderDate]]="","",Table1[[#This Row],[ShippedDate]]-Table1[[#This Row],[OrderDate]]))</f>
        <v>10</v>
      </c>
      <c r="I295" s="3">
        <v>1</v>
      </c>
      <c r="J295" s="2">
        <v>68.650000000000006</v>
      </c>
      <c r="K295" s="2">
        <f>SUMIF(order_details!A:A,Table1[[#This Row],[orderID]],order_details!F:F)</f>
        <v>1946.52</v>
      </c>
      <c r="L295" s="9">
        <f>_xlfn.XLOOKUP(Table1[[#This Row],[orderID]],Table3[orderID],Table3[discount])</f>
        <v>0.1</v>
      </c>
      <c r="M295" s="2">
        <f>SUM(Table1[[#This Row],[Sales]],Table1[[#This Row],[freight]])</f>
        <v>2015.17</v>
      </c>
      <c r="N295" s="3">
        <f>_xlfn.XLOOKUP(Table1[[#This Row],[orderID]],Table3[orderID],Table3[quantity])</f>
        <v>35</v>
      </c>
      <c r="O295" s="6" t="str">
        <f>_xlfn.XLOOKUP(Table1[[#This Row],[CustomerID]],customers!A:A,customers!B:B)</f>
        <v>Hanari Carnes</v>
      </c>
      <c r="P295" s="6" t="str">
        <f>_xlfn.XLOOKUP(Table1[[#This Row],[shipperID]],Table6[shipperID],Table6[companyName])</f>
        <v>Speedy Express</v>
      </c>
      <c r="Q295">
        <f>YEAR(Table1[[#This Row],[OrderDate]])</f>
        <v>2014</v>
      </c>
      <c r="R295">
        <f>MONTH(Table1[[#This Row],[OrderDate]])</f>
        <v>5</v>
      </c>
      <c r="S295" t="str">
        <f>"Q"&amp;ROUNDUP(Table1[[#This Row],[month]]/3,0)</f>
        <v>Q2</v>
      </c>
      <c r="T295" t="str">
        <f>CONCATENATE(Table1[[#This Row],[year]],"-",Table1[[#This Row],[Quarter]])</f>
        <v>2014-Q2</v>
      </c>
      <c r="U295" s="6" t="str">
        <f>IF(H294="","Pending",IF(Table1[[#This Row],[Days to ship]]&lt;Table1[[#This Row],[RequiredDate]],"On Time","Late"))</f>
        <v>On Time</v>
      </c>
      <c r="V295">
        <f>_xlfn.XLOOKUP(Table1[[#This Row],[orderID]],Table3[orderID],Table3[unitPrice])</f>
        <v>4.5</v>
      </c>
    </row>
    <row r="296" spans="1:22" x14ac:dyDescent="0.45">
      <c r="A296" s="3">
        <v>10542</v>
      </c>
      <c r="B296" s="6" t="s">
        <v>191</v>
      </c>
      <c r="C296" s="3">
        <v>1</v>
      </c>
      <c r="D296" s="6" t="str">
        <f>_xlfn.XLOOKUP(Table1[[#This Row],[EmployeeID]],Table4[employeeID],Table4[employeeName])</f>
        <v>Nancy Davolio</v>
      </c>
      <c r="E296" s="1">
        <v>41779</v>
      </c>
      <c r="F296" s="1">
        <v>41807</v>
      </c>
      <c r="G296" s="1">
        <v>41785</v>
      </c>
      <c r="H296" s="3">
        <f>IF(Table1[[#This Row],[ShippedDate]]="","",IF(Table1[[#This Row],[OrderDate]]="","",Table1[[#This Row],[ShippedDate]]-Table1[[#This Row],[OrderDate]]))</f>
        <v>6</v>
      </c>
      <c r="I296" s="3">
        <v>3</v>
      </c>
      <c r="J296" s="2">
        <v>10.95</v>
      </c>
      <c r="K296" s="2">
        <f>SUMIF(order_details!A:A,Table1[[#This Row],[orderID]],order_details!F:F)</f>
        <v>469.11</v>
      </c>
      <c r="L296" s="9">
        <f>_xlfn.XLOOKUP(Table1[[#This Row],[orderID]],Table3[orderID],Table3[discount])</f>
        <v>0.05</v>
      </c>
      <c r="M296" s="2">
        <f>SUM(Table1[[#This Row],[Sales]],Table1[[#This Row],[freight]])</f>
        <v>480.06</v>
      </c>
      <c r="N296" s="3">
        <f>_xlfn.XLOOKUP(Table1[[#This Row],[orderID]],Table3[orderID],Table3[quantity])</f>
        <v>15</v>
      </c>
      <c r="O296" s="6" t="str">
        <f>_xlfn.XLOOKUP(Table1[[#This Row],[CustomerID]],customers!A:A,customers!B:B)</f>
        <v>Königlich Essen</v>
      </c>
      <c r="P296" s="6" t="str">
        <f>_xlfn.XLOOKUP(Table1[[#This Row],[shipperID]],Table6[shipperID],Table6[companyName])</f>
        <v>Federal Shipping</v>
      </c>
      <c r="Q296">
        <f>YEAR(Table1[[#This Row],[OrderDate]])</f>
        <v>2014</v>
      </c>
      <c r="R296">
        <f>MONTH(Table1[[#This Row],[OrderDate]])</f>
        <v>5</v>
      </c>
      <c r="S296" t="str">
        <f>"Q"&amp;ROUNDUP(Table1[[#This Row],[month]]/3,0)</f>
        <v>Q2</v>
      </c>
      <c r="T296" t="str">
        <f>CONCATENATE(Table1[[#This Row],[year]],"-",Table1[[#This Row],[Quarter]])</f>
        <v>2014-Q2</v>
      </c>
      <c r="U296" s="6" t="str">
        <f>IF(H295="","Pending",IF(Table1[[#This Row],[Days to ship]]&lt;Table1[[#This Row],[RequiredDate]],"On Time","Late"))</f>
        <v>On Time</v>
      </c>
      <c r="V296">
        <f>_xlfn.XLOOKUP(Table1[[#This Row],[orderID]],Table3[orderID],Table3[unitPrice])</f>
        <v>21</v>
      </c>
    </row>
    <row r="297" spans="1:22" x14ac:dyDescent="0.45">
      <c r="A297" s="3">
        <v>10543</v>
      </c>
      <c r="B297" s="6" t="s">
        <v>159</v>
      </c>
      <c r="C297" s="3">
        <v>8</v>
      </c>
      <c r="D297" s="6" t="str">
        <f>_xlfn.XLOOKUP(Table1[[#This Row],[EmployeeID]],Table4[employeeID],Table4[employeeName])</f>
        <v>Laura Callahan</v>
      </c>
      <c r="E297" s="1">
        <v>41780</v>
      </c>
      <c r="F297" s="1">
        <v>41808</v>
      </c>
      <c r="G297" s="1">
        <v>41782</v>
      </c>
      <c r="H297" s="3">
        <f>IF(Table1[[#This Row],[ShippedDate]]="","",IF(Table1[[#This Row],[OrderDate]]="","",Table1[[#This Row],[ShippedDate]]-Table1[[#This Row],[OrderDate]]))</f>
        <v>2</v>
      </c>
      <c r="I297" s="3">
        <v>2</v>
      </c>
      <c r="J297" s="2">
        <v>48.17</v>
      </c>
      <c r="K297" s="2">
        <f>SUMIF(order_details!A:A,Table1[[#This Row],[orderID]],order_details!F:F)</f>
        <v>1504.5</v>
      </c>
      <c r="L297" s="9">
        <f>_xlfn.XLOOKUP(Table1[[#This Row],[orderID]],Table3[orderID],Table3[discount])</f>
        <v>0.15</v>
      </c>
      <c r="M297" s="2">
        <f>SUM(Table1[[#This Row],[Sales]],Table1[[#This Row],[freight]])</f>
        <v>1552.67</v>
      </c>
      <c r="N297" s="3">
        <f>_xlfn.XLOOKUP(Table1[[#This Row],[orderID]],Table3[orderID],Table3[quantity])</f>
        <v>30</v>
      </c>
      <c r="O297" s="6" t="str">
        <f>_xlfn.XLOOKUP(Table1[[#This Row],[CustomerID]],customers!A:A,customers!B:B)</f>
        <v>LILA-Supermercado</v>
      </c>
      <c r="P297" s="6" t="str">
        <f>_xlfn.XLOOKUP(Table1[[#This Row],[shipperID]],Table6[shipperID],Table6[companyName])</f>
        <v>United Package</v>
      </c>
      <c r="Q297">
        <f>YEAR(Table1[[#This Row],[OrderDate]])</f>
        <v>2014</v>
      </c>
      <c r="R297">
        <f>MONTH(Table1[[#This Row],[OrderDate]])</f>
        <v>5</v>
      </c>
      <c r="S297" t="str">
        <f>"Q"&amp;ROUNDUP(Table1[[#This Row],[month]]/3,0)</f>
        <v>Q2</v>
      </c>
      <c r="T297" t="str">
        <f>CONCATENATE(Table1[[#This Row],[year]],"-",Table1[[#This Row],[Quarter]])</f>
        <v>2014-Q2</v>
      </c>
      <c r="U297" s="6" t="str">
        <f>IF(H296="","Pending",IF(Table1[[#This Row],[Days to ship]]&lt;Table1[[#This Row],[RequiredDate]],"On Time","Late"))</f>
        <v>On Time</v>
      </c>
      <c r="V297">
        <f>_xlfn.XLOOKUP(Table1[[#This Row],[orderID]],Table3[orderID],Table3[unitPrice])</f>
        <v>38</v>
      </c>
    </row>
    <row r="298" spans="1:22" x14ac:dyDescent="0.45">
      <c r="A298" s="3">
        <v>10544</v>
      </c>
      <c r="B298" s="6" t="s">
        <v>197</v>
      </c>
      <c r="C298" s="3">
        <v>4</v>
      </c>
      <c r="D298" s="6" t="str">
        <f>_xlfn.XLOOKUP(Table1[[#This Row],[EmployeeID]],Table4[employeeID],Table4[employeeName])</f>
        <v>Margaret Peacock</v>
      </c>
      <c r="E298" s="1">
        <v>41780</v>
      </c>
      <c r="F298" s="1">
        <v>41808</v>
      </c>
      <c r="G298" s="1">
        <v>41789</v>
      </c>
      <c r="H298" s="3">
        <f>IF(Table1[[#This Row],[ShippedDate]]="","",IF(Table1[[#This Row],[OrderDate]]="","",Table1[[#This Row],[ShippedDate]]-Table1[[#This Row],[OrderDate]]))</f>
        <v>9</v>
      </c>
      <c r="I298" s="3">
        <v>1</v>
      </c>
      <c r="J298" s="2">
        <v>24.91</v>
      </c>
      <c r="K298" s="2">
        <f>SUMIF(order_details!A:A,Table1[[#This Row],[orderID]],order_details!F:F)</f>
        <v>417.2</v>
      </c>
      <c r="L298" s="9">
        <f>_xlfn.XLOOKUP(Table1[[#This Row],[orderID]],Table3[orderID],Table3[discount])</f>
        <v>0</v>
      </c>
      <c r="M298" s="2">
        <f>SUM(Table1[[#This Row],[Sales]],Table1[[#This Row],[freight]])</f>
        <v>442.11</v>
      </c>
      <c r="N298" s="3">
        <f>_xlfn.XLOOKUP(Table1[[#This Row],[orderID]],Table3[orderID],Table3[quantity])</f>
        <v>7</v>
      </c>
      <c r="O298" s="6" t="str">
        <f>_xlfn.XLOOKUP(Table1[[#This Row],[CustomerID]],customers!A:A,customers!B:B)</f>
        <v>Lonesome Pine Restaurant</v>
      </c>
      <c r="P298" s="6" t="str">
        <f>_xlfn.XLOOKUP(Table1[[#This Row],[shipperID]],Table6[shipperID],Table6[companyName])</f>
        <v>Speedy Express</v>
      </c>
      <c r="Q298">
        <f>YEAR(Table1[[#This Row],[OrderDate]])</f>
        <v>2014</v>
      </c>
      <c r="R298">
        <f>MONTH(Table1[[#This Row],[OrderDate]])</f>
        <v>5</v>
      </c>
      <c r="S298" t="str">
        <f>"Q"&amp;ROUNDUP(Table1[[#This Row],[month]]/3,0)</f>
        <v>Q2</v>
      </c>
      <c r="T298" t="str">
        <f>CONCATENATE(Table1[[#This Row],[year]],"-",Table1[[#This Row],[Quarter]])</f>
        <v>2014-Q2</v>
      </c>
      <c r="U298" s="6" t="str">
        <f>IF(H297="","Pending",IF(Table1[[#This Row],[Days to ship]]&lt;Table1[[#This Row],[RequiredDate]],"On Time","Late"))</f>
        <v>On Time</v>
      </c>
      <c r="V298">
        <f>_xlfn.XLOOKUP(Table1[[#This Row],[orderID]],Table3[orderID],Table3[unitPrice])</f>
        <v>45.6</v>
      </c>
    </row>
    <row r="299" spans="1:22" x14ac:dyDescent="0.45">
      <c r="A299" s="3">
        <v>10545</v>
      </c>
      <c r="B299" s="6" t="s">
        <v>240</v>
      </c>
      <c r="C299" s="3">
        <v>8</v>
      </c>
      <c r="D299" s="6" t="str">
        <f>_xlfn.XLOOKUP(Table1[[#This Row],[EmployeeID]],Table4[employeeID],Table4[employeeName])</f>
        <v>Laura Callahan</v>
      </c>
      <c r="E299" s="1">
        <v>41781</v>
      </c>
      <c r="F299" s="1">
        <v>41809</v>
      </c>
      <c r="G299" s="1">
        <v>41816</v>
      </c>
      <c r="H299" s="3">
        <f>IF(Table1[[#This Row],[ShippedDate]]="","",IF(Table1[[#This Row],[OrderDate]]="","",Table1[[#This Row],[ShippedDate]]-Table1[[#This Row],[OrderDate]]))</f>
        <v>35</v>
      </c>
      <c r="I299" s="3">
        <v>2</v>
      </c>
      <c r="J299" s="2">
        <v>11.92</v>
      </c>
      <c r="K299" s="2">
        <f>SUMIF(order_details!A:A,Table1[[#This Row],[orderID]],order_details!F:F)</f>
        <v>210</v>
      </c>
      <c r="L299" s="9">
        <f>_xlfn.XLOOKUP(Table1[[#This Row],[orderID]],Table3[orderID],Table3[discount])</f>
        <v>0</v>
      </c>
      <c r="M299" s="2">
        <f>SUM(Table1[[#This Row],[Sales]],Table1[[#This Row],[freight]])</f>
        <v>221.92</v>
      </c>
      <c r="N299" s="3">
        <f>_xlfn.XLOOKUP(Table1[[#This Row],[orderID]],Table3[orderID],Table3[quantity])</f>
        <v>10</v>
      </c>
      <c r="O299" s="6" t="str">
        <f>_xlfn.XLOOKUP(Table1[[#This Row],[CustomerID]],customers!A:A,customers!B:B)</f>
        <v>Lazy K Kountry Store</v>
      </c>
      <c r="P299" s="6" t="str">
        <f>_xlfn.XLOOKUP(Table1[[#This Row],[shipperID]],Table6[shipperID],Table6[companyName])</f>
        <v>United Package</v>
      </c>
      <c r="Q299">
        <f>YEAR(Table1[[#This Row],[OrderDate]])</f>
        <v>2014</v>
      </c>
      <c r="R299">
        <f>MONTH(Table1[[#This Row],[OrderDate]])</f>
        <v>5</v>
      </c>
      <c r="S299" t="str">
        <f>"Q"&amp;ROUNDUP(Table1[[#This Row],[month]]/3,0)</f>
        <v>Q2</v>
      </c>
      <c r="T299" t="str">
        <f>CONCATENATE(Table1[[#This Row],[year]],"-",Table1[[#This Row],[Quarter]])</f>
        <v>2014-Q2</v>
      </c>
      <c r="U299" s="6" t="str">
        <f>IF(H298="","Pending",IF(Table1[[#This Row],[Days to ship]]&lt;Table1[[#This Row],[RequiredDate]],"On Time","Late"))</f>
        <v>On Time</v>
      </c>
      <c r="V299">
        <f>_xlfn.XLOOKUP(Table1[[#This Row],[orderID]],Table3[orderID],Table3[unitPrice])</f>
        <v>21</v>
      </c>
    </row>
    <row r="300" spans="1:22" x14ac:dyDescent="0.45">
      <c r="A300" s="3">
        <v>10546</v>
      </c>
      <c r="B300" s="6" t="s">
        <v>228</v>
      </c>
      <c r="C300" s="3">
        <v>1</v>
      </c>
      <c r="D300" s="6" t="str">
        <f>_xlfn.XLOOKUP(Table1[[#This Row],[EmployeeID]],Table4[employeeID],Table4[employeeName])</f>
        <v>Nancy Davolio</v>
      </c>
      <c r="E300" s="1">
        <v>41782</v>
      </c>
      <c r="F300" s="1">
        <v>41810</v>
      </c>
      <c r="G300" s="1">
        <v>41786</v>
      </c>
      <c r="H300" s="3">
        <f>IF(Table1[[#This Row],[ShippedDate]]="","",IF(Table1[[#This Row],[OrderDate]]="","",Table1[[#This Row],[ShippedDate]]-Table1[[#This Row],[OrderDate]]))</f>
        <v>4</v>
      </c>
      <c r="I300" s="3">
        <v>3</v>
      </c>
      <c r="J300" s="2">
        <v>194.72</v>
      </c>
      <c r="K300" s="2">
        <f>SUMIF(order_details!A:A,Table1[[#This Row],[orderID]],order_details!F:F)</f>
        <v>2812</v>
      </c>
      <c r="L300" s="9">
        <f>_xlfn.XLOOKUP(Table1[[#This Row],[orderID]],Table3[orderID],Table3[discount])</f>
        <v>0</v>
      </c>
      <c r="M300" s="2">
        <f>SUM(Table1[[#This Row],[Sales]],Table1[[#This Row],[freight]])</f>
        <v>3006.72</v>
      </c>
      <c r="N300" s="3">
        <f>_xlfn.XLOOKUP(Table1[[#This Row],[orderID]],Table3[orderID],Table3[quantity])</f>
        <v>10</v>
      </c>
      <c r="O300" s="6" t="str">
        <f>_xlfn.XLOOKUP(Table1[[#This Row],[CustomerID]],customers!A:A,customers!B:B)</f>
        <v>Victuailles en stock</v>
      </c>
      <c r="P300" s="6" t="str">
        <f>_xlfn.XLOOKUP(Table1[[#This Row],[shipperID]],Table6[shipperID],Table6[companyName])</f>
        <v>Federal Shipping</v>
      </c>
      <c r="Q300">
        <f>YEAR(Table1[[#This Row],[OrderDate]])</f>
        <v>2014</v>
      </c>
      <c r="R300">
        <f>MONTH(Table1[[#This Row],[OrderDate]])</f>
        <v>5</v>
      </c>
      <c r="S300" t="str">
        <f>"Q"&amp;ROUNDUP(Table1[[#This Row],[month]]/3,0)</f>
        <v>Q2</v>
      </c>
      <c r="T300" t="str">
        <f>CONCATENATE(Table1[[#This Row],[year]],"-",Table1[[#This Row],[Quarter]])</f>
        <v>2014-Q2</v>
      </c>
      <c r="U300" s="6" t="str">
        <f>IF(H299="","Pending",IF(Table1[[#This Row],[Days to ship]]&lt;Table1[[#This Row],[RequiredDate]],"On Time","Late"))</f>
        <v>On Time</v>
      </c>
      <c r="V300">
        <f>_xlfn.XLOOKUP(Table1[[#This Row],[orderID]],Table3[orderID],Table3[unitPrice])</f>
        <v>30</v>
      </c>
    </row>
    <row r="301" spans="1:22" x14ac:dyDescent="0.45">
      <c r="A301" s="3">
        <v>10547</v>
      </c>
      <c r="B301" s="6" t="s">
        <v>226</v>
      </c>
      <c r="C301" s="3">
        <v>3</v>
      </c>
      <c r="D301" s="6" t="str">
        <f>_xlfn.XLOOKUP(Table1[[#This Row],[EmployeeID]],Table4[employeeID],Table4[employeeName])</f>
        <v>Janet Leverling</v>
      </c>
      <c r="E301" s="1">
        <v>41782</v>
      </c>
      <c r="F301" s="1">
        <v>41810</v>
      </c>
      <c r="G301" s="1">
        <v>41792</v>
      </c>
      <c r="H301" s="3">
        <f>IF(Table1[[#This Row],[ShippedDate]]="","",IF(Table1[[#This Row],[OrderDate]]="","",Table1[[#This Row],[ShippedDate]]-Table1[[#This Row],[OrderDate]]))</f>
        <v>10</v>
      </c>
      <c r="I301" s="3">
        <v>2</v>
      </c>
      <c r="J301" s="2">
        <v>178.43</v>
      </c>
      <c r="K301" s="2">
        <f>SUMIF(order_details!A:A,Table1[[#This Row],[orderID]],order_details!F:F)</f>
        <v>1792.8</v>
      </c>
      <c r="L301" s="9">
        <f>_xlfn.XLOOKUP(Table1[[#This Row],[orderID]],Table3[orderID],Table3[discount])</f>
        <v>0.15</v>
      </c>
      <c r="M301" s="2">
        <f>SUM(Table1[[#This Row],[Sales]],Table1[[#This Row],[freight]])</f>
        <v>1971.23</v>
      </c>
      <c r="N301" s="3">
        <f>_xlfn.XLOOKUP(Table1[[#This Row],[orderID]],Table3[orderID],Table3[quantity])</f>
        <v>24</v>
      </c>
      <c r="O301" s="6" t="str">
        <f>_xlfn.XLOOKUP(Table1[[#This Row],[CustomerID]],customers!A:A,customers!B:B)</f>
        <v>Seven Seas Imports</v>
      </c>
      <c r="P301" s="6" t="str">
        <f>_xlfn.XLOOKUP(Table1[[#This Row],[shipperID]],Table6[shipperID],Table6[companyName])</f>
        <v>United Package</v>
      </c>
      <c r="Q301">
        <f>YEAR(Table1[[#This Row],[OrderDate]])</f>
        <v>2014</v>
      </c>
      <c r="R301">
        <f>MONTH(Table1[[#This Row],[OrderDate]])</f>
        <v>5</v>
      </c>
      <c r="S301" t="str">
        <f>"Q"&amp;ROUNDUP(Table1[[#This Row],[month]]/3,0)</f>
        <v>Q2</v>
      </c>
      <c r="T301" t="str">
        <f>CONCATENATE(Table1[[#This Row],[year]],"-",Table1[[#This Row],[Quarter]])</f>
        <v>2014-Q2</v>
      </c>
      <c r="U301" s="6" t="str">
        <f>IF(H300="","Pending",IF(Table1[[#This Row],[Days to ship]]&lt;Table1[[#This Row],[RequiredDate]],"On Time","Late"))</f>
        <v>On Time</v>
      </c>
      <c r="V301">
        <f>_xlfn.XLOOKUP(Table1[[#This Row],[orderID]],Table3[orderID],Table3[unitPrice])</f>
        <v>32</v>
      </c>
    </row>
    <row r="302" spans="1:22" x14ac:dyDescent="0.45">
      <c r="A302" s="3">
        <v>10548</v>
      </c>
      <c r="B302" s="6" t="s">
        <v>215</v>
      </c>
      <c r="C302" s="3">
        <v>3</v>
      </c>
      <c r="D302" s="6" t="str">
        <f>_xlfn.XLOOKUP(Table1[[#This Row],[EmployeeID]],Table4[employeeID],Table4[employeeName])</f>
        <v>Janet Leverling</v>
      </c>
      <c r="E302" s="1">
        <v>41785</v>
      </c>
      <c r="F302" s="1">
        <v>41813</v>
      </c>
      <c r="G302" s="1">
        <v>41792</v>
      </c>
      <c r="H302" s="3">
        <f>IF(Table1[[#This Row],[ShippedDate]]="","",IF(Table1[[#This Row],[OrderDate]]="","",Table1[[#This Row],[ShippedDate]]-Table1[[#This Row],[OrderDate]]))</f>
        <v>7</v>
      </c>
      <c r="I302" s="3">
        <v>2</v>
      </c>
      <c r="J302" s="2">
        <v>1.43</v>
      </c>
      <c r="K302" s="2">
        <f>SUMIF(order_details!A:A,Table1[[#This Row],[orderID]],order_details!F:F)</f>
        <v>240.1</v>
      </c>
      <c r="L302" s="9">
        <f>_xlfn.XLOOKUP(Table1[[#This Row],[orderID]],Table3[orderID],Table3[discount])</f>
        <v>0.25</v>
      </c>
      <c r="M302" s="2">
        <f>SUM(Table1[[#This Row],[Sales]],Table1[[#This Row],[freight]])</f>
        <v>241.53</v>
      </c>
      <c r="N302" s="3">
        <f>_xlfn.XLOOKUP(Table1[[#This Row],[orderID]],Table3[orderID],Table3[quantity])</f>
        <v>10</v>
      </c>
      <c r="O302" s="6" t="str">
        <f>_xlfn.XLOOKUP(Table1[[#This Row],[CustomerID]],customers!A:A,customers!B:B)</f>
        <v>Toms Spezialitäten</v>
      </c>
      <c r="P302" s="6" t="str">
        <f>_xlfn.XLOOKUP(Table1[[#This Row],[shipperID]],Table6[shipperID],Table6[companyName])</f>
        <v>United Package</v>
      </c>
      <c r="Q302">
        <f>YEAR(Table1[[#This Row],[OrderDate]])</f>
        <v>2014</v>
      </c>
      <c r="R302">
        <f>MONTH(Table1[[#This Row],[OrderDate]])</f>
        <v>5</v>
      </c>
      <c r="S302" t="str">
        <f>"Q"&amp;ROUNDUP(Table1[[#This Row],[month]]/3,0)</f>
        <v>Q2</v>
      </c>
      <c r="T302" t="str">
        <f>CONCATENATE(Table1[[#This Row],[year]],"-",Table1[[#This Row],[Quarter]])</f>
        <v>2014-Q2</v>
      </c>
      <c r="U302" s="6" t="str">
        <f>IF(H301="","Pending",IF(Table1[[#This Row],[Days to ship]]&lt;Table1[[#This Row],[RequiredDate]],"On Time","Late"))</f>
        <v>On Time</v>
      </c>
      <c r="V302">
        <f>_xlfn.XLOOKUP(Table1[[#This Row],[orderID]],Table3[orderID],Table3[unitPrice])</f>
        <v>14</v>
      </c>
    </row>
    <row r="303" spans="1:22" x14ac:dyDescent="0.45">
      <c r="A303" s="3">
        <v>10549</v>
      </c>
      <c r="B303" s="6" t="s">
        <v>194</v>
      </c>
      <c r="C303" s="3">
        <v>5</v>
      </c>
      <c r="D303" s="6" t="str">
        <f>_xlfn.XLOOKUP(Table1[[#This Row],[EmployeeID]],Table4[employeeID],Table4[employeeName])</f>
        <v>Steven Buchanan</v>
      </c>
      <c r="E303" s="1">
        <v>41786</v>
      </c>
      <c r="F303" s="1">
        <v>41800</v>
      </c>
      <c r="G303" s="1">
        <v>41789</v>
      </c>
      <c r="H303" s="3">
        <f>IF(Table1[[#This Row],[ShippedDate]]="","",IF(Table1[[#This Row],[OrderDate]]="","",Table1[[#This Row],[ShippedDate]]-Table1[[#This Row],[OrderDate]]))</f>
        <v>3</v>
      </c>
      <c r="I303" s="3">
        <v>1</v>
      </c>
      <c r="J303" s="2">
        <v>171.24</v>
      </c>
      <c r="K303" s="2">
        <f>SUMIF(order_details!A:A,Table1[[#This Row],[orderID]],order_details!F:F)</f>
        <v>3554.2750000000001</v>
      </c>
      <c r="L303" s="9">
        <f>_xlfn.XLOOKUP(Table1[[#This Row],[orderID]],Table3[orderID],Table3[discount])</f>
        <v>0.15</v>
      </c>
      <c r="M303" s="2">
        <f>SUM(Table1[[#This Row],[Sales]],Table1[[#This Row],[freight]])</f>
        <v>3725.5150000000003</v>
      </c>
      <c r="N303" s="3">
        <f>_xlfn.XLOOKUP(Table1[[#This Row],[orderID]],Table3[orderID],Table3[quantity])</f>
        <v>55</v>
      </c>
      <c r="O303" s="6" t="str">
        <f>_xlfn.XLOOKUP(Table1[[#This Row],[CustomerID]],customers!A:A,customers!B:B)</f>
        <v>QUICK-Stop</v>
      </c>
      <c r="P303" s="6" t="str">
        <f>_xlfn.XLOOKUP(Table1[[#This Row],[shipperID]],Table6[shipperID],Table6[companyName])</f>
        <v>Speedy Express</v>
      </c>
      <c r="Q303">
        <f>YEAR(Table1[[#This Row],[OrderDate]])</f>
        <v>2014</v>
      </c>
      <c r="R303">
        <f>MONTH(Table1[[#This Row],[OrderDate]])</f>
        <v>5</v>
      </c>
      <c r="S303" t="str">
        <f>"Q"&amp;ROUNDUP(Table1[[#This Row],[month]]/3,0)</f>
        <v>Q2</v>
      </c>
      <c r="T303" t="str">
        <f>CONCATENATE(Table1[[#This Row],[year]],"-",Table1[[#This Row],[Quarter]])</f>
        <v>2014-Q2</v>
      </c>
      <c r="U303" s="6" t="str">
        <f>IF(H302="","Pending",IF(Table1[[#This Row],[Days to ship]]&lt;Table1[[#This Row],[RequiredDate]],"On Time","Late"))</f>
        <v>On Time</v>
      </c>
      <c r="V303">
        <f>_xlfn.XLOOKUP(Table1[[#This Row],[orderID]],Table3[orderID],Table3[unitPrice])</f>
        <v>12.5</v>
      </c>
    </row>
    <row r="304" spans="1:22" x14ac:dyDescent="0.45">
      <c r="A304" s="3">
        <v>10550</v>
      </c>
      <c r="B304" s="6" t="s">
        <v>189</v>
      </c>
      <c r="C304" s="3">
        <v>7</v>
      </c>
      <c r="D304" s="6" t="str">
        <f>_xlfn.XLOOKUP(Table1[[#This Row],[EmployeeID]],Table4[employeeID],Table4[employeeName])</f>
        <v>Robert King</v>
      </c>
      <c r="E304" s="1">
        <v>41787</v>
      </c>
      <c r="F304" s="1">
        <v>41815</v>
      </c>
      <c r="G304" s="1">
        <v>41796</v>
      </c>
      <c r="H304" s="3">
        <f>IF(Table1[[#This Row],[ShippedDate]]="","",IF(Table1[[#This Row],[OrderDate]]="","",Table1[[#This Row],[ShippedDate]]-Table1[[#This Row],[OrderDate]]))</f>
        <v>9</v>
      </c>
      <c r="I304" s="3">
        <v>3</v>
      </c>
      <c r="J304" s="2">
        <v>4.32</v>
      </c>
      <c r="K304" s="2">
        <f>SUMIF(order_details!A:A,Table1[[#This Row],[orderID]],order_details!F:F)</f>
        <v>683.3</v>
      </c>
      <c r="L304" s="9">
        <f>_xlfn.XLOOKUP(Table1[[#This Row],[orderID]],Table3[orderID],Table3[discount])</f>
        <v>0.1</v>
      </c>
      <c r="M304" s="2">
        <f>SUM(Table1[[#This Row],[Sales]],Table1[[#This Row],[freight]])</f>
        <v>687.62</v>
      </c>
      <c r="N304" s="3">
        <f>_xlfn.XLOOKUP(Table1[[#This Row],[orderID]],Table3[orderID],Table3[quantity])</f>
        <v>8</v>
      </c>
      <c r="O304" s="6" t="str">
        <f>_xlfn.XLOOKUP(Table1[[#This Row],[CustomerID]],customers!A:A,customers!B:B)</f>
        <v>Godos Cocina Típica</v>
      </c>
      <c r="P304" s="6" t="str">
        <f>_xlfn.XLOOKUP(Table1[[#This Row],[shipperID]],Table6[shipperID],Table6[companyName])</f>
        <v>Federal Shipping</v>
      </c>
      <c r="Q304">
        <f>YEAR(Table1[[#This Row],[OrderDate]])</f>
        <v>2014</v>
      </c>
      <c r="R304">
        <f>MONTH(Table1[[#This Row],[OrderDate]])</f>
        <v>5</v>
      </c>
      <c r="S304" t="str">
        <f>"Q"&amp;ROUNDUP(Table1[[#This Row],[month]]/3,0)</f>
        <v>Q2</v>
      </c>
      <c r="T304" t="str">
        <f>CONCATENATE(Table1[[#This Row],[year]],"-",Table1[[#This Row],[Quarter]])</f>
        <v>2014-Q2</v>
      </c>
      <c r="U304" s="6" t="str">
        <f>IF(H303="","Pending",IF(Table1[[#This Row],[Days to ship]]&lt;Table1[[#This Row],[RequiredDate]],"On Time","Late"))</f>
        <v>On Time</v>
      </c>
      <c r="V304">
        <f>_xlfn.XLOOKUP(Table1[[#This Row],[orderID]],Table3[orderID],Table3[unitPrice])</f>
        <v>39</v>
      </c>
    </row>
    <row r="305" spans="1:22" x14ac:dyDescent="0.45">
      <c r="A305" s="3">
        <v>10551</v>
      </c>
      <c r="B305" s="6" t="s">
        <v>216</v>
      </c>
      <c r="C305" s="3">
        <v>4</v>
      </c>
      <c r="D305" s="6" t="str">
        <f>_xlfn.XLOOKUP(Table1[[#This Row],[EmployeeID]],Table4[employeeID],Table4[employeeName])</f>
        <v>Margaret Peacock</v>
      </c>
      <c r="E305" s="1">
        <v>41787</v>
      </c>
      <c r="F305" s="1">
        <v>41829</v>
      </c>
      <c r="G305" s="1">
        <v>41796</v>
      </c>
      <c r="H305" s="3">
        <f>IF(Table1[[#This Row],[ShippedDate]]="","",IF(Table1[[#This Row],[OrderDate]]="","",Table1[[#This Row],[ShippedDate]]-Table1[[#This Row],[OrderDate]]))</f>
        <v>9</v>
      </c>
      <c r="I305" s="3">
        <v>3</v>
      </c>
      <c r="J305" s="2">
        <v>72.95</v>
      </c>
      <c r="K305" s="2">
        <f>SUMIF(order_details!A:A,Table1[[#This Row],[orderID]],order_details!F:F)</f>
        <v>1677.3</v>
      </c>
      <c r="L305" s="9">
        <f>_xlfn.XLOOKUP(Table1[[#This Row],[orderID]],Table3[orderID],Table3[discount])</f>
        <v>0.15</v>
      </c>
      <c r="M305" s="2">
        <f>SUM(Table1[[#This Row],[Sales]],Table1[[#This Row],[freight]])</f>
        <v>1750.25</v>
      </c>
      <c r="N305" s="3">
        <f>_xlfn.XLOOKUP(Table1[[#This Row],[orderID]],Table3[orderID],Table3[quantity])</f>
        <v>40</v>
      </c>
      <c r="O305" s="6" t="str">
        <f>_xlfn.XLOOKUP(Table1[[#This Row],[CustomerID]],customers!A:A,customers!B:B)</f>
        <v>Furia Bacalhau e Frutos do Mar</v>
      </c>
      <c r="P305" s="6" t="str">
        <f>_xlfn.XLOOKUP(Table1[[#This Row],[shipperID]],Table6[shipperID],Table6[companyName])</f>
        <v>Federal Shipping</v>
      </c>
      <c r="Q305">
        <f>YEAR(Table1[[#This Row],[OrderDate]])</f>
        <v>2014</v>
      </c>
      <c r="R305">
        <f>MONTH(Table1[[#This Row],[OrderDate]])</f>
        <v>5</v>
      </c>
      <c r="S305" t="str">
        <f>"Q"&amp;ROUNDUP(Table1[[#This Row],[month]]/3,0)</f>
        <v>Q2</v>
      </c>
      <c r="T305" t="str">
        <f>CONCATENATE(Table1[[#This Row],[year]],"-",Table1[[#This Row],[Quarter]])</f>
        <v>2014-Q2</v>
      </c>
      <c r="U305" s="6" t="str">
        <f>IF(H304="","Pending",IF(Table1[[#This Row],[Days to ship]]&lt;Table1[[#This Row],[RequiredDate]],"On Time","Late"))</f>
        <v>On Time</v>
      </c>
      <c r="V305">
        <f>_xlfn.XLOOKUP(Table1[[#This Row],[orderID]],Table3[orderID],Table3[unitPrice])</f>
        <v>17.45</v>
      </c>
    </row>
    <row r="306" spans="1:22" x14ac:dyDescent="0.45">
      <c r="A306" s="3">
        <v>10552</v>
      </c>
      <c r="B306" s="6" t="s">
        <v>174</v>
      </c>
      <c r="C306" s="3">
        <v>2</v>
      </c>
      <c r="D306" s="6" t="str">
        <f>_xlfn.XLOOKUP(Table1[[#This Row],[EmployeeID]],Table4[employeeID],Table4[employeeName])</f>
        <v>Andrew Fuller</v>
      </c>
      <c r="E306" s="1">
        <v>41788</v>
      </c>
      <c r="F306" s="1">
        <v>41816</v>
      </c>
      <c r="G306" s="1">
        <v>41795</v>
      </c>
      <c r="H306" s="3">
        <f>IF(Table1[[#This Row],[ShippedDate]]="","",IF(Table1[[#This Row],[OrderDate]]="","",Table1[[#This Row],[ShippedDate]]-Table1[[#This Row],[OrderDate]]))</f>
        <v>7</v>
      </c>
      <c r="I306" s="3">
        <v>1</v>
      </c>
      <c r="J306" s="2">
        <v>83.22</v>
      </c>
      <c r="K306" s="2">
        <f>SUMIF(order_details!A:A,Table1[[#This Row],[orderID]],order_details!F:F)</f>
        <v>880.5</v>
      </c>
      <c r="L306" s="9">
        <f>_xlfn.XLOOKUP(Table1[[#This Row],[orderID]],Table3[orderID],Table3[discount])</f>
        <v>0</v>
      </c>
      <c r="M306" s="2">
        <f>SUM(Table1[[#This Row],[Sales]],Table1[[#This Row],[freight]])</f>
        <v>963.72</v>
      </c>
      <c r="N306" s="3">
        <f>_xlfn.XLOOKUP(Table1[[#This Row],[orderID]],Table3[orderID],Table3[quantity])</f>
        <v>18</v>
      </c>
      <c r="O306" s="6" t="str">
        <f>_xlfn.XLOOKUP(Table1[[#This Row],[CustomerID]],customers!A:A,customers!B:B)</f>
        <v>HILARION-Abastos</v>
      </c>
      <c r="P306" s="6" t="str">
        <f>_xlfn.XLOOKUP(Table1[[#This Row],[shipperID]],Table6[shipperID],Table6[companyName])</f>
        <v>Speedy Express</v>
      </c>
      <c r="Q306">
        <f>YEAR(Table1[[#This Row],[OrderDate]])</f>
        <v>2014</v>
      </c>
      <c r="R306">
        <f>MONTH(Table1[[#This Row],[OrderDate]])</f>
        <v>5</v>
      </c>
      <c r="S306" t="str">
        <f>"Q"&amp;ROUNDUP(Table1[[#This Row],[month]]/3,0)</f>
        <v>Q2</v>
      </c>
      <c r="T306" t="str">
        <f>CONCATENATE(Table1[[#This Row],[year]],"-",Table1[[#This Row],[Quarter]])</f>
        <v>2014-Q2</v>
      </c>
      <c r="U306" s="6" t="str">
        <f>IF(H305="","Pending",IF(Table1[[#This Row],[Days to ship]]&lt;Table1[[#This Row],[RequiredDate]],"On Time","Late"))</f>
        <v>On Time</v>
      </c>
      <c r="V306">
        <f>_xlfn.XLOOKUP(Table1[[#This Row],[orderID]],Table3[orderID],Table3[unitPrice])</f>
        <v>36</v>
      </c>
    </row>
    <row r="307" spans="1:22" x14ac:dyDescent="0.45">
      <c r="A307" s="3">
        <v>10553</v>
      </c>
      <c r="B307" s="6" t="s">
        <v>192</v>
      </c>
      <c r="C307" s="3">
        <v>2</v>
      </c>
      <c r="D307" s="6" t="str">
        <f>_xlfn.XLOOKUP(Table1[[#This Row],[EmployeeID]],Table4[employeeID],Table4[employeeName])</f>
        <v>Andrew Fuller</v>
      </c>
      <c r="E307" s="1">
        <v>41789</v>
      </c>
      <c r="F307" s="1">
        <v>41817</v>
      </c>
      <c r="G307" s="1">
        <v>41793</v>
      </c>
      <c r="H307" s="3">
        <f>IF(Table1[[#This Row],[ShippedDate]]="","",IF(Table1[[#This Row],[OrderDate]]="","",Table1[[#This Row],[ShippedDate]]-Table1[[#This Row],[OrderDate]]))</f>
        <v>4</v>
      </c>
      <c r="I307" s="3">
        <v>2</v>
      </c>
      <c r="J307" s="2">
        <v>149.49</v>
      </c>
      <c r="K307" s="2">
        <f>SUMIF(order_details!A:A,Table1[[#This Row],[orderID]],order_details!F:F)</f>
        <v>1546.3</v>
      </c>
      <c r="L307" s="9">
        <f>_xlfn.XLOOKUP(Table1[[#This Row],[orderID]],Table3[orderID],Table3[discount])</f>
        <v>0</v>
      </c>
      <c r="M307" s="2">
        <f>SUM(Table1[[#This Row],[Sales]],Table1[[#This Row],[freight]])</f>
        <v>1695.79</v>
      </c>
      <c r="N307" s="3">
        <f>_xlfn.XLOOKUP(Table1[[#This Row],[orderID]],Table3[orderID],Table3[quantity])</f>
        <v>15</v>
      </c>
      <c r="O307" s="6" t="str">
        <f>_xlfn.XLOOKUP(Table1[[#This Row],[CustomerID]],customers!A:A,customers!B:B)</f>
        <v>Wartian Herkku</v>
      </c>
      <c r="P307" s="6" t="str">
        <f>_xlfn.XLOOKUP(Table1[[#This Row],[shipperID]],Table6[shipperID],Table6[companyName])</f>
        <v>United Package</v>
      </c>
      <c r="Q307">
        <f>YEAR(Table1[[#This Row],[OrderDate]])</f>
        <v>2014</v>
      </c>
      <c r="R307">
        <f>MONTH(Table1[[#This Row],[OrderDate]])</f>
        <v>5</v>
      </c>
      <c r="S307" t="str">
        <f>"Q"&amp;ROUNDUP(Table1[[#This Row],[month]]/3,0)</f>
        <v>Q2</v>
      </c>
      <c r="T307" t="str">
        <f>CONCATENATE(Table1[[#This Row],[year]],"-",Table1[[#This Row],[Quarter]])</f>
        <v>2014-Q2</v>
      </c>
      <c r="U307" s="6" t="str">
        <f>IF(H306="","Pending",IF(Table1[[#This Row],[Days to ship]]&lt;Table1[[#This Row],[RequiredDate]],"On Time","Late"))</f>
        <v>On Time</v>
      </c>
      <c r="V307">
        <f>_xlfn.XLOOKUP(Table1[[#This Row],[orderID]],Table3[orderID],Table3[unitPrice])</f>
        <v>21</v>
      </c>
    </row>
    <row r="308" spans="1:22" x14ac:dyDescent="0.45">
      <c r="A308" s="3">
        <v>10554</v>
      </c>
      <c r="B308" s="6" t="s">
        <v>195</v>
      </c>
      <c r="C308" s="3">
        <v>4</v>
      </c>
      <c r="D308" s="6" t="str">
        <f>_xlfn.XLOOKUP(Table1[[#This Row],[EmployeeID]],Table4[employeeID],Table4[employeeName])</f>
        <v>Margaret Peacock</v>
      </c>
      <c r="E308" s="1">
        <v>41789</v>
      </c>
      <c r="F308" s="1">
        <v>41817</v>
      </c>
      <c r="G308" s="1">
        <v>41795</v>
      </c>
      <c r="H308" s="3">
        <f>IF(Table1[[#This Row],[ShippedDate]]="","",IF(Table1[[#This Row],[OrderDate]]="","",Table1[[#This Row],[ShippedDate]]-Table1[[#This Row],[OrderDate]]))</f>
        <v>6</v>
      </c>
      <c r="I308" s="3">
        <v>3</v>
      </c>
      <c r="J308" s="2">
        <v>120.97</v>
      </c>
      <c r="K308" s="2">
        <f>SUMIF(order_details!A:A,Table1[[#This Row],[orderID]],order_details!F:F)</f>
        <v>1728.5250000000001</v>
      </c>
      <c r="L308" s="9">
        <f>_xlfn.XLOOKUP(Table1[[#This Row],[orderID]],Table3[orderID],Table3[discount])</f>
        <v>0.05</v>
      </c>
      <c r="M308" s="2">
        <f>SUM(Table1[[#This Row],[Sales]],Table1[[#This Row],[freight]])</f>
        <v>1849.4950000000001</v>
      </c>
      <c r="N308" s="3">
        <f>_xlfn.XLOOKUP(Table1[[#This Row],[orderID]],Table3[orderID],Table3[quantity])</f>
        <v>30</v>
      </c>
      <c r="O308" s="6" t="str">
        <f>_xlfn.XLOOKUP(Table1[[#This Row],[CustomerID]],customers!A:A,customers!B:B)</f>
        <v>Ottilies Käseladen</v>
      </c>
      <c r="P308" s="6" t="str">
        <f>_xlfn.XLOOKUP(Table1[[#This Row],[shipperID]],Table6[shipperID],Table6[companyName])</f>
        <v>Federal Shipping</v>
      </c>
      <c r="Q308">
        <f>YEAR(Table1[[#This Row],[OrderDate]])</f>
        <v>2014</v>
      </c>
      <c r="R308">
        <f>MONTH(Table1[[#This Row],[OrderDate]])</f>
        <v>5</v>
      </c>
      <c r="S308" t="str">
        <f>"Q"&amp;ROUNDUP(Table1[[#This Row],[month]]/3,0)</f>
        <v>Q2</v>
      </c>
      <c r="T308" t="str">
        <f>CONCATENATE(Table1[[#This Row],[year]],"-",Table1[[#This Row],[Quarter]])</f>
        <v>2014-Q2</v>
      </c>
      <c r="U308" s="6" t="str">
        <f>IF(H307="","Pending",IF(Table1[[#This Row],[Days to ship]]&lt;Table1[[#This Row],[RequiredDate]],"On Time","Late"))</f>
        <v>On Time</v>
      </c>
      <c r="V308">
        <f>_xlfn.XLOOKUP(Table1[[#This Row],[orderID]],Table3[orderID],Table3[unitPrice])</f>
        <v>17.45</v>
      </c>
    </row>
    <row r="309" spans="1:22" x14ac:dyDescent="0.45">
      <c r="A309" s="3">
        <v>10555</v>
      </c>
      <c r="B309" s="6" t="s">
        <v>165</v>
      </c>
      <c r="C309" s="3">
        <v>6</v>
      </c>
      <c r="D309" s="6" t="str">
        <f>_xlfn.XLOOKUP(Table1[[#This Row],[EmployeeID]],Table4[employeeID],Table4[employeeName])</f>
        <v>Michael Suyama</v>
      </c>
      <c r="E309" s="1">
        <v>41792</v>
      </c>
      <c r="F309" s="1">
        <v>41820</v>
      </c>
      <c r="G309" s="1">
        <v>41794</v>
      </c>
      <c r="H309" s="3">
        <f>IF(Table1[[#This Row],[ShippedDate]]="","",IF(Table1[[#This Row],[OrderDate]]="","",Table1[[#This Row],[ShippedDate]]-Table1[[#This Row],[OrderDate]]))</f>
        <v>2</v>
      </c>
      <c r="I309" s="3">
        <v>3</v>
      </c>
      <c r="J309" s="2">
        <v>252.49</v>
      </c>
      <c r="K309" s="2">
        <f>SUMIF(order_details!A:A,Table1[[#This Row],[orderID]],order_details!F:F)</f>
        <v>2944.4</v>
      </c>
      <c r="L309" s="9">
        <f>_xlfn.XLOOKUP(Table1[[#This Row],[orderID]],Table3[orderID],Table3[discount])</f>
        <v>0.2</v>
      </c>
      <c r="M309" s="2">
        <f>SUM(Table1[[#This Row],[Sales]],Table1[[#This Row],[freight]])</f>
        <v>3196.8900000000003</v>
      </c>
      <c r="N309" s="3">
        <f>_xlfn.XLOOKUP(Table1[[#This Row],[orderID]],Table3[orderID],Table3[quantity])</f>
        <v>30</v>
      </c>
      <c r="O309" s="6" t="str">
        <f>_xlfn.XLOOKUP(Table1[[#This Row],[CustomerID]],customers!A:A,customers!B:B)</f>
        <v>Save-a-lot Markets</v>
      </c>
      <c r="P309" s="6" t="str">
        <f>_xlfn.XLOOKUP(Table1[[#This Row],[shipperID]],Table6[shipperID],Table6[companyName])</f>
        <v>Federal Shipping</v>
      </c>
      <c r="Q309">
        <f>YEAR(Table1[[#This Row],[OrderDate]])</f>
        <v>2014</v>
      </c>
      <c r="R309">
        <f>MONTH(Table1[[#This Row],[OrderDate]])</f>
        <v>6</v>
      </c>
      <c r="S309" t="str">
        <f>"Q"&amp;ROUNDUP(Table1[[#This Row],[month]]/3,0)</f>
        <v>Q2</v>
      </c>
      <c r="T309" t="str">
        <f>CONCATENATE(Table1[[#This Row],[year]],"-",Table1[[#This Row],[Quarter]])</f>
        <v>2014-Q2</v>
      </c>
      <c r="U309" s="6" t="str">
        <f>IF(H308="","Pending",IF(Table1[[#This Row],[Days to ship]]&lt;Table1[[#This Row],[RequiredDate]],"On Time","Late"))</f>
        <v>On Time</v>
      </c>
      <c r="V309">
        <f>_xlfn.XLOOKUP(Table1[[#This Row],[orderID]],Table3[orderID],Table3[unitPrice])</f>
        <v>23.25</v>
      </c>
    </row>
    <row r="310" spans="1:22" x14ac:dyDescent="0.45">
      <c r="A310" s="3">
        <v>10556</v>
      </c>
      <c r="B310" s="6" t="s">
        <v>156</v>
      </c>
      <c r="C310" s="3">
        <v>2</v>
      </c>
      <c r="D310" s="6" t="str">
        <f>_xlfn.XLOOKUP(Table1[[#This Row],[EmployeeID]],Table4[employeeID],Table4[employeeName])</f>
        <v>Andrew Fuller</v>
      </c>
      <c r="E310" s="1">
        <v>41793</v>
      </c>
      <c r="F310" s="1">
        <v>41835</v>
      </c>
      <c r="G310" s="1">
        <v>41803</v>
      </c>
      <c r="H310" s="3">
        <f>IF(Table1[[#This Row],[ShippedDate]]="","",IF(Table1[[#This Row],[OrderDate]]="","",Table1[[#This Row],[ShippedDate]]-Table1[[#This Row],[OrderDate]]))</f>
        <v>10</v>
      </c>
      <c r="I310" s="3">
        <v>1</v>
      </c>
      <c r="J310" s="2">
        <v>9.8000000000000007</v>
      </c>
      <c r="K310" s="2">
        <f>SUMIF(order_details!A:A,Table1[[#This Row],[orderID]],order_details!F:F)</f>
        <v>835.19999999999993</v>
      </c>
      <c r="L310" s="9">
        <f>_xlfn.XLOOKUP(Table1[[#This Row],[orderID]],Table3[orderID],Table3[discount])</f>
        <v>0</v>
      </c>
      <c r="M310" s="2">
        <f>SUM(Table1[[#This Row],[Sales]],Table1[[#This Row],[freight]])</f>
        <v>844.99999999999989</v>
      </c>
      <c r="N310" s="3">
        <f>_xlfn.XLOOKUP(Table1[[#This Row],[orderID]],Table3[orderID],Table3[quantity])</f>
        <v>24</v>
      </c>
      <c r="O310" s="6" t="str">
        <f>_xlfn.XLOOKUP(Table1[[#This Row],[CustomerID]],customers!A:A,customers!B:B)</f>
        <v>Simons bistro</v>
      </c>
      <c r="P310" s="6" t="str">
        <f>_xlfn.XLOOKUP(Table1[[#This Row],[shipperID]],Table6[shipperID],Table6[companyName])</f>
        <v>Speedy Express</v>
      </c>
      <c r="Q310">
        <f>YEAR(Table1[[#This Row],[OrderDate]])</f>
        <v>2014</v>
      </c>
      <c r="R310">
        <f>MONTH(Table1[[#This Row],[OrderDate]])</f>
        <v>6</v>
      </c>
      <c r="S310" t="str">
        <f>"Q"&amp;ROUNDUP(Table1[[#This Row],[month]]/3,0)</f>
        <v>Q2</v>
      </c>
      <c r="T310" t="str">
        <f>CONCATENATE(Table1[[#This Row],[year]],"-",Table1[[#This Row],[Quarter]])</f>
        <v>2014-Q2</v>
      </c>
      <c r="U310" s="6" t="str">
        <f>IF(H309="","Pending",IF(Table1[[#This Row],[Days to ship]]&lt;Table1[[#This Row],[RequiredDate]],"On Time","Late"))</f>
        <v>On Time</v>
      </c>
      <c r="V310">
        <f>_xlfn.XLOOKUP(Table1[[#This Row],[orderID]],Table3[orderID],Table3[unitPrice])</f>
        <v>34.799999999999997</v>
      </c>
    </row>
    <row r="311" spans="1:22" x14ac:dyDescent="0.45">
      <c r="A311" s="3">
        <v>10557</v>
      </c>
      <c r="B311" s="6" t="s">
        <v>160</v>
      </c>
      <c r="C311" s="3">
        <v>9</v>
      </c>
      <c r="D311" s="6" t="str">
        <f>_xlfn.XLOOKUP(Table1[[#This Row],[EmployeeID]],Table4[employeeID],Table4[employeeName])</f>
        <v>Anne Dodsworth</v>
      </c>
      <c r="E311" s="1">
        <v>41793</v>
      </c>
      <c r="F311" s="1">
        <v>41807</v>
      </c>
      <c r="G311" s="1">
        <v>41796</v>
      </c>
      <c r="H311" s="3">
        <f>IF(Table1[[#This Row],[ShippedDate]]="","",IF(Table1[[#This Row],[OrderDate]]="","",Table1[[#This Row],[ShippedDate]]-Table1[[#This Row],[OrderDate]]))</f>
        <v>3</v>
      </c>
      <c r="I311" s="3">
        <v>2</v>
      </c>
      <c r="J311" s="2">
        <v>96.72</v>
      </c>
      <c r="K311" s="2">
        <f>SUMIF(order_details!A:A,Table1[[#This Row],[orderID]],order_details!F:F)</f>
        <v>1152.5</v>
      </c>
      <c r="L311" s="9">
        <f>_xlfn.XLOOKUP(Table1[[#This Row],[orderID]],Table3[orderID],Table3[discount])</f>
        <v>0</v>
      </c>
      <c r="M311" s="2">
        <f>SUM(Table1[[#This Row],[Sales]],Table1[[#This Row],[freight]])</f>
        <v>1249.22</v>
      </c>
      <c r="N311" s="3">
        <f>_xlfn.XLOOKUP(Table1[[#This Row],[orderID]],Table3[orderID],Table3[quantity])</f>
        <v>30</v>
      </c>
      <c r="O311" s="6" t="str">
        <f>_xlfn.XLOOKUP(Table1[[#This Row],[CustomerID]],customers!A:A,customers!B:B)</f>
        <v>Lehmanns Marktstand</v>
      </c>
      <c r="P311" s="6" t="str">
        <f>_xlfn.XLOOKUP(Table1[[#This Row],[shipperID]],Table6[shipperID],Table6[companyName])</f>
        <v>United Package</v>
      </c>
      <c r="Q311">
        <f>YEAR(Table1[[#This Row],[OrderDate]])</f>
        <v>2014</v>
      </c>
      <c r="R311">
        <f>MONTH(Table1[[#This Row],[OrderDate]])</f>
        <v>6</v>
      </c>
      <c r="S311" t="str">
        <f>"Q"&amp;ROUNDUP(Table1[[#This Row],[month]]/3,0)</f>
        <v>Q2</v>
      </c>
      <c r="T311" t="str">
        <f>CONCATENATE(Table1[[#This Row],[year]],"-",Table1[[#This Row],[Quarter]])</f>
        <v>2014-Q2</v>
      </c>
      <c r="U311" s="6" t="str">
        <f>IF(H310="","Pending",IF(Table1[[#This Row],[Days to ship]]&lt;Table1[[#This Row],[RequiredDate]],"On Time","Late"))</f>
        <v>On Time</v>
      </c>
      <c r="V311">
        <f>_xlfn.XLOOKUP(Table1[[#This Row],[orderID]],Table3[orderID],Table3[unitPrice])</f>
        <v>33.25</v>
      </c>
    </row>
    <row r="312" spans="1:22" x14ac:dyDescent="0.45">
      <c r="A312" s="3">
        <v>10558</v>
      </c>
      <c r="B312" s="6" t="s">
        <v>198</v>
      </c>
      <c r="C312" s="3">
        <v>1</v>
      </c>
      <c r="D312" s="6" t="str">
        <f>_xlfn.XLOOKUP(Table1[[#This Row],[EmployeeID]],Table4[employeeID],Table4[employeeName])</f>
        <v>Nancy Davolio</v>
      </c>
      <c r="E312" s="1">
        <v>41794</v>
      </c>
      <c r="F312" s="1">
        <v>41822</v>
      </c>
      <c r="G312" s="1">
        <v>41800</v>
      </c>
      <c r="H312" s="3">
        <f>IF(Table1[[#This Row],[ShippedDate]]="","",IF(Table1[[#This Row],[OrderDate]]="","",Table1[[#This Row],[ShippedDate]]-Table1[[#This Row],[OrderDate]]))</f>
        <v>6</v>
      </c>
      <c r="I312" s="3">
        <v>2</v>
      </c>
      <c r="J312" s="2">
        <v>72.97</v>
      </c>
      <c r="K312" s="2">
        <f>SUMIF(order_details!A:A,Table1[[#This Row],[orderID]],order_details!F:F)</f>
        <v>2142.9</v>
      </c>
      <c r="L312" s="9">
        <f>_xlfn.XLOOKUP(Table1[[#This Row],[orderID]],Table3[orderID],Table3[discount])</f>
        <v>0</v>
      </c>
      <c r="M312" s="2">
        <f>SUM(Table1[[#This Row],[Sales]],Table1[[#This Row],[freight]])</f>
        <v>2215.87</v>
      </c>
      <c r="N312" s="3">
        <f>_xlfn.XLOOKUP(Table1[[#This Row],[orderID]],Table3[orderID],Table3[quantity])</f>
        <v>25</v>
      </c>
      <c r="O312" s="6" t="str">
        <f>_xlfn.XLOOKUP(Table1[[#This Row],[CustomerID]],customers!A:A,customers!B:B)</f>
        <v>Around the Horn</v>
      </c>
      <c r="P312" s="6" t="str">
        <f>_xlfn.XLOOKUP(Table1[[#This Row],[shipperID]],Table6[shipperID],Table6[companyName])</f>
        <v>United Package</v>
      </c>
      <c r="Q312">
        <f>YEAR(Table1[[#This Row],[OrderDate]])</f>
        <v>2014</v>
      </c>
      <c r="R312">
        <f>MONTH(Table1[[#This Row],[OrderDate]])</f>
        <v>6</v>
      </c>
      <c r="S312" t="str">
        <f>"Q"&amp;ROUNDUP(Table1[[#This Row],[month]]/3,0)</f>
        <v>Q2</v>
      </c>
      <c r="T312" t="str">
        <f>CONCATENATE(Table1[[#This Row],[year]],"-",Table1[[#This Row],[Quarter]])</f>
        <v>2014-Q2</v>
      </c>
      <c r="U312" s="6" t="str">
        <f>IF(H311="","Pending",IF(Table1[[#This Row],[Days to ship]]&lt;Table1[[#This Row],[RequiredDate]],"On Time","Late"))</f>
        <v>On Time</v>
      </c>
      <c r="V312">
        <f>_xlfn.XLOOKUP(Table1[[#This Row],[orderID]],Table3[orderID],Table3[unitPrice])</f>
        <v>9.5</v>
      </c>
    </row>
    <row r="313" spans="1:22" x14ac:dyDescent="0.45">
      <c r="A313" s="3">
        <v>10559</v>
      </c>
      <c r="B313" s="6" t="s">
        <v>231</v>
      </c>
      <c r="C313" s="3">
        <v>6</v>
      </c>
      <c r="D313" s="6" t="str">
        <f>_xlfn.XLOOKUP(Table1[[#This Row],[EmployeeID]],Table4[employeeID],Table4[employeeName])</f>
        <v>Michael Suyama</v>
      </c>
      <c r="E313" s="1">
        <v>41795</v>
      </c>
      <c r="F313" s="1">
        <v>41823</v>
      </c>
      <c r="G313" s="1">
        <v>41803</v>
      </c>
      <c r="H313" s="3">
        <f>IF(Table1[[#This Row],[ShippedDate]]="","",IF(Table1[[#This Row],[OrderDate]]="","",Table1[[#This Row],[ShippedDate]]-Table1[[#This Row],[OrderDate]]))</f>
        <v>8</v>
      </c>
      <c r="I313" s="3">
        <v>1</v>
      </c>
      <c r="J313" s="2">
        <v>8.0500000000000007</v>
      </c>
      <c r="K313" s="2">
        <f>SUMIF(order_details!A:A,Table1[[#This Row],[orderID]],order_details!F:F)</f>
        <v>520.41</v>
      </c>
      <c r="L313" s="9">
        <f>_xlfn.XLOOKUP(Table1[[#This Row],[orderID]],Table3[orderID],Table3[discount])</f>
        <v>0.05</v>
      </c>
      <c r="M313" s="2">
        <f>SUM(Table1[[#This Row],[Sales]],Table1[[#This Row],[freight]])</f>
        <v>528.45999999999992</v>
      </c>
      <c r="N313" s="3">
        <f>_xlfn.XLOOKUP(Table1[[#This Row],[orderID]],Table3[orderID],Table3[quantity])</f>
        <v>12</v>
      </c>
      <c r="O313" s="6" t="str">
        <f>_xlfn.XLOOKUP(Table1[[#This Row],[CustomerID]],customers!A:A,customers!B:B)</f>
        <v>Blondesddsl père et fils</v>
      </c>
      <c r="P313" s="6" t="str">
        <f>_xlfn.XLOOKUP(Table1[[#This Row],[shipperID]],Table6[shipperID],Table6[companyName])</f>
        <v>Speedy Express</v>
      </c>
      <c r="Q313">
        <f>YEAR(Table1[[#This Row],[OrderDate]])</f>
        <v>2014</v>
      </c>
      <c r="R313">
        <f>MONTH(Table1[[#This Row],[OrderDate]])</f>
        <v>6</v>
      </c>
      <c r="S313" t="str">
        <f>"Q"&amp;ROUNDUP(Table1[[#This Row],[month]]/3,0)</f>
        <v>Q2</v>
      </c>
      <c r="T313" t="str">
        <f>CONCATENATE(Table1[[#This Row],[year]],"-",Table1[[#This Row],[Quarter]])</f>
        <v>2014-Q2</v>
      </c>
      <c r="U313" s="6" t="str">
        <f>IF(H312="","Pending",IF(Table1[[#This Row],[Days to ship]]&lt;Table1[[#This Row],[RequiredDate]],"On Time","Late"))</f>
        <v>On Time</v>
      </c>
      <c r="V313">
        <f>_xlfn.XLOOKUP(Table1[[#This Row],[orderID]],Table3[orderID],Table3[unitPrice])</f>
        <v>9.65</v>
      </c>
    </row>
    <row r="314" spans="1:22" x14ac:dyDescent="0.45">
      <c r="A314" s="3">
        <v>10560</v>
      </c>
      <c r="B314" s="6" t="s">
        <v>201</v>
      </c>
      <c r="C314" s="3">
        <v>8</v>
      </c>
      <c r="D314" s="6" t="str">
        <f>_xlfn.XLOOKUP(Table1[[#This Row],[EmployeeID]],Table4[employeeID],Table4[employeeName])</f>
        <v>Laura Callahan</v>
      </c>
      <c r="E314" s="1">
        <v>41796</v>
      </c>
      <c r="F314" s="1">
        <v>41824</v>
      </c>
      <c r="G314" s="1">
        <v>41799</v>
      </c>
      <c r="H314" s="3">
        <f>IF(Table1[[#This Row],[ShippedDate]]="","",IF(Table1[[#This Row],[OrderDate]]="","",Table1[[#This Row],[ShippedDate]]-Table1[[#This Row],[OrderDate]]))</f>
        <v>3</v>
      </c>
      <c r="I314" s="3">
        <v>1</v>
      </c>
      <c r="J314" s="2">
        <v>36.65</v>
      </c>
      <c r="K314" s="2">
        <f>SUMIF(order_details!A:A,Table1[[#This Row],[orderID]],order_details!F:F)</f>
        <v>1072.425</v>
      </c>
      <c r="L314" s="9">
        <f>_xlfn.XLOOKUP(Table1[[#This Row],[orderID]],Table3[orderID],Table3[discount])</f>
        <v>0</v>
      </c>
      <c r="M314" s="2">
        <f>SUM(Table1[[#This Row],[Sales]],Table1[[#This Row],[freight]])</f>
        <v>1109.075</v>
      </c>
      <c r="N314" s="3">
        <f>_xlfn.XLOOKUP(Table1[[#This Row],[orderID]],Table3[orderID],Table3[quantity])</f>
        <v>20</v>
      </c>
      <c r="O314" s="6" t="str">
        <f>_xlfn.XLOOKUP(Table1[[#This Row],[CustomerID]],customers!A:A,customers!B:B)</f>
        <v>Frankenversand</v>
      </c>
      <c r="P314" s="6" t="str">
        <f>_xlfn.XLOOKUP(Table1[[#This Row],[shipperID]],Table6[shipperID],Table6[companyName])</f>
        <v>Speedy Express</v>
      </c>
      <c r="Q314">
        <f>YEAR(Table1[[#This Row],[OrderDate]])</f>
        <v>2014</v>
      </c>
      <c r="R314">
        <f>MONTH(Table1[[#This Row],[OrderDate]])</f>
        <v>6</v>
      </c>
      <c r="S314" t="str">
        <f>"Q"&amp;ROUNDUP(Table1[[#This Row],[month]]/3,0)</f>
        <v>Q2</v>
      </c>
      <c r="T314" t="str">
        <f>CONCATENATE(Table1[[#This Row],[year]],"-",Table1[[#This Row],[Quarter]])</f>
        <v>2014-Q2</v>
      </c>
      <c r="U314" s="6" t="str">
        <f>IF(H313="","Pending",IF(Table1[[#This Row],[Days to ship]]&lt;Table1[[#This Row],[RequiredDate]],"On Time","Late"))</f>
        <v>On Time</v>
      </c>
      <c r="V314">
        <f>_xlfn.XLOOKUP(Table1[[#This Row],[orderID]],Table3[orderID],Table3[unitPrice])</f>
        <v>25.89</v>
      </c>
    </row>
    <row r="315" spans="1:22" x14ac:dyDescent="0.45">
      <c r="A315" s="3">
        <v>10561</v>
      </c>
      <c r="B315" s="6" t="s">
        <v>179</v>
      </c>
      <c r="C315" s="3">
        <v>2</v>
      </c>
      <c r="D315" s="6" t="str">
        <f>_xlfn.XLOOKUP(Table1[[#This Row],[EmployeeID]],Table4[employeeID],Table4[employeeName])</f>
        <v>Andrew Fuller</v>
      </c>
      <c r="E315" s="1">
        <v>41796</v>
      </c>
      <c r="F315" s="1">
        <v>41824</v>
      </c>
      <c r="G315" s="1">
        <v>41799</v>
      </c>
      <c r="H315" s="3">
        <f>IF(Table1[[#This Row],[ShippedDate]]="","",IF(Table1[[#This Row],[OrderDate]]="","",Table1[[#This Row],[ShippedDate]]-Table1[[#This Row],[OrderDate]]))</f>
        <v>3</v>
      </c>
      <c r="I315" s="3">
        <v>2</v>
      </c>
      <c r="J315" s="2">
        <v>242.21</v>
      </c>
      <c r="K315" s="2">
        <f>SUMIF(order_details!A:A,Table1[[#This Row],[orderID]],order_details!F:F)</f>
        <v>2844.5</v>
      </c>
      <c r="L315" s="9">
        <f>_xlfn.XLOOKUP(Table1[[#This Row],[orderID]],Table3[orderID],Table3[discount])</f>
        <v>0</v>
      </c>
      <c r="M315" s="2">
        <f>SUM(Table1[[#This Row],[Sales]],Table1[[#This Row],[freight]])</f>
        <v>3086.71</v>
      </c>
      <c r="N315" s="3">
        <f>_xlfn.XLOOKUP(Table1[[#This Row],[orderID]],Table3[orderID],Table3[quantity])</f>
        <v>10</v>
      </c>
      <c r="O315" s="6" t="str">
        <f>_xlfn.XLOOKUP(Table1[[#This Row],[CustomerID]],customers!A:A,customers!B:B)</f>
        <v>Folk och fä HB</v>
      </c>
      <c r="P315" s="6" t="str">
        <f>_xlfn.XLOOKUP(Table1[[#This Row],[shipperID]],Table6[shipperID],Table6[companyName])</f>
        <v>United Package</v>
      </c>
      <c r="Q315">
        <f>YEAR(Table1[[#This Row],[OrderDate]])</f>
        <v>2014</v>
      </c>
      <c r="R315">
        <f>MONTH(Table1[[#This Row],[OrderDate]])</f>
        <v>6</v>
      </c>
      <c r="S315" t="str">
        <f>"Q"&amp;ROUNDUP(Table1[[#This Row],[month]]/3,0)</f>
        <v>Q2</v>
      </c>
      <c r="T315" t="str">
        <f>CONCATENATE(Table1[[#This Row],[year]],"-",Table1[[#This Row],[Quarter]])</f>
        <v>2014-Q2</v>
      </c>
      <c r="U315" s="6" t="str">
        <f>IF(H314="","Pending",IF(Table1[[#This Row],[Days to ship]]&lt;Table1[[#This Row],[RequiredDate]],"On Time","Late"))</f>
        <v>On Time</v>
      </c>
      <c r="V315">
        <f>_xlfn.XLOOKUP(Table1[[#This Row],[orderID]],Table3[orderID],Table3[unitPrice])</f>
        <v>19.45</v>
      </c>
    </row>
    <row r="316" spans="1:22" x14ac:dyDescent="0.45">
      <c r="A316" s="3">
        <v>10562</v>
      </c>
      <c r="B316" s="6" t="s">
        <v>167</v>
      </c>
      <c r="C316" s="3">
        <v>1</v>
      </c>
      <c r="D316" s="6" t="str">
        <f>_xlfn.XLOOKUP(Table1[[#This Row],[EmployeeID]],Table4[employeeID],Table4[employeeName])</f>
        <v>Nancy Davolio</v>
      </c>
      <c r="E316" s="1">
        <v>41799</v>
      </c>
      <c r="F316" s="1">
        <v>41827</v>
      </c>
      <c r="G316" s="1">
        <v>41802</v>
      </c>
      <c r="H316" s="3">
        <f>IF(Table1[[#This Row],[ShippedDate]]="","",IF(Table1[[#This Row],[OrderDate]]="","",Table1[[#This Row],[ShippedDate]]-Table1[[#This Row],[OrderDate]]))</f>
        <v>3</v>
      </c>
      <c r="I316" s="3">
        <v>1</v>
      </c>
      <c r="J316" s="2">
        <v>22.95</v>
      </c>
      <c r="K316" s="2">
        <f>SUMIF(order_details!A:A,Table1[[#This Row],[orderID]],order_details!F:F)</f>
        <v>488.7</v>
      </c>
      <c r="L316" s="9">
        <f>_xlfn.XLOOKUP(Table1[[#This Row],[orderID]],Table3[orderID],Table3[discount])</f>
        <v>0.1</v>
      </c>
      <c r="M316" s="2">
        <f>SUM(Table1[[#This Row],[Sales]],Table1[[#This Row],[freight]])</f>
        <v>511.65</v>
      </c>
      <c r="N316" s="3">
        <f>_xlfn.XLOOKUP(Table1[[#This Row],[orderID]],Table3[orderID],Table3[quantity])</f>
        <v>20</v>
      </c>
      <c r="O316" s="6" t="str">
        <f>_xlfn.XLOOKUP(Table1[[#This Row],[CustomerID]],customers!A:A,customers!B:B)</f>
        <v>Reggiani Caseifici</v>
      </c>
      <c r="P316" s="6" t="str">
        <f>_xlfn.XLOOKUP(Table1[[#This Row],[shipperID]],Table6[shipperID],Table6[companyName])</f>
        <v>Speedy Express</v>
      </c>
      <c r="Q316">
        <f>YEAR(Table1[[#This Row],[OrderDate]])</f>
        <v>2014</v>
      </c>
      <c r="R316">
        <f>MONTH(Table1[[#This Row],[OrderDate]])</f>
        <v>6</v>
      </c>
      <c r="S316" t="str">
        <f>"Q"&amp;ROUNDUP(Table1[[#This Row],[month]]/3,0)</f>
        <v>Q2</v>
      </c>
      <c r="T316" t="str">
        <f>CONCATENATE(Table1[[#This Row],[year]],"-",Table1[[#This Row],[Quarter]])</f>
        <v>2014-Q2</v>
      </c>
      <c r="U316" s="6" t="str">
        <f>IF(H315="","Pending",IF(Table1[[#This Row],[Days to ship]]&lt;Table1[[#This Row],[RequiredDate]],"On Time","Late"))</f>
        <v>On Time</v>
      </c>
      <c r="V316">
        <f>_xlfn.XLOOKUP(Table1[[#This Row],[orderID]],Table3[orderID],Table3[unitPrice])</f>
        <v>2.5</v>
      </c>
    </row>
    <row r="317" spans="1:22" x14ac:dyDescent="0.45">
      <c r="A317" s="3">
        <v>10563</v>
      </c>
      <c r="B317" s="6" t="s">
        <v>170</v>
      </c>
      <c r="C317" s="3">
        <v>2</v>
      </c>
      <c r="D317" s="6" t="str">
        <f>_xlfn.XLOOKUP(Table1[[#This Row],[EmployeeID]],Table4[employeeID],Table4[employeeName])</f>
        <v>Andrew Fuller</v>
      </c>
      <c r="E317" s="1">
        <v>41800</v>
      </c>
      <c r="F317" s="1">
        <v>41842</v>
      </c>
      <c r="G317" s="1">
        <v>41814</v>
      </c>
      <c r="H317" s="3">
        <f>IF(Table1[[#This Row],[ShippedDate]]="","",IF(Table1[[#This Row],[OrderDate]]="","",Table1[[#This Row],[ShippedDate]]-Table1[[#This Row],[OrderDate]]))</f>
        <v>14</v>
      </c>
      <c r="I317" s="3">
        <v>2</v>
      </c>
      <c r="J317" s="2">
        <v>60.43</v>
      </c>
      <c r="K317" s="2">
        <f>SUMIF(order_details!A:A,Table1[[#This Row],[orderID]],order_details!F:F)</f>
        <v>965</v>
      </c>
      <c r="L317" s="9">
        <f>_xlfn.XLOOKUP(Table1[[#This Row],[orderID]],Table3[orderID],Table3[discount])</f>
        <v>0</v>
      </c>
      <c r="M317" s="2">
        <f>SUM(Table1[[#This Row],[Sales]],Table1[[#This Row],[freight]])</f>
        <v>1025.43</v>
      </c>
      <c r="N317" s="3">
        <f>_xlfn.XLOOKUP(Table1[[#This Row],[orderID]],Table3[orderID],Table3[quantity])</f>
        <v>25</v>
      </c>
      <c r="O317" s="6" t="str">
        <f>_xlfn.XLOOKUP(Table1[[#This Row],[CustomerID]],customers!A:A,customers!B:B)</f>
        <v>Ricardo Adocicados</v>
      </c>
      <c r="P317" s="6" t="str">
        <f>_xlfn.XLOOKUP(Table1[[#This Row],[shipperID]],Table6[shipperID],Table6[companyName])</f>
        <v>United Package</v>
      </c>
      <c r="Q317">
        <f>YEAR(Table1[[#This Row],[OrderDate]])</f>
        <v>2014</v>
      </c>
      <c r="R317">
        <f>MONTH(Table1[[#This Row],[OrderDate]])</f>
        <v>6</v>
      </c>
      <c r="S317" t="str">
        <f>"Q"&amp;ROUNDUP(Table1[[#This Row],[month]]/3,0)</f>
        <v>Q2</v>
      </c>
      <c r="T317" t="str">
        <f>CONCATENATE(Table1[[#This Row],[year]],"-",Table1[[#This Row],[Quarter]])</f>
        <v>2014-Q2</v>
      </c>
      <c r="U317" s="6" t="str">
        <f>IF(H316="","Pending",IF(Table1[[#This Row],[Days to ship]]&lt;Table1[[#This Row],[RequiredDate]],"On Time","Late"))</f>
        <v>On Time</v>
      </c>
      <c r="V317">
        <f>_xlfn.XLOOKUP(Table1[[#This Row],[orderID]],Table3[orderID],Table3[unitPrice])</f>
        <v>19</v>
      </c>
    </row>
    <row r="318" spans="1:22" x14ac:dyDescent="0.45">
      <c r="A318" s="3">
        <v>10564</v>
      </c>
      <c r="B318" s="6" t="s">
        <v>153</v>
      </c>
      <c r="C318" s="3">
        <v>4</v>
      </c>
      <c r="D318" s="6" t="str">
        <f>_xlfn.XLOOKUP(Table1[[#This Row],[EmployeeID]],Table4[employeeID],Table4[employeeName])</f>
        <v>Margaret Peacock</v>
      </c>
      <c r="E318" s="1">
        <v>41800</v>
      </c>
      <c r="F318" s="1">
        <v>41828</v>
      </c>
      <c r="G318" s="1">
        <v>41806</v>
      </c>
      <c r="H318" s="3">
        <f>IF(Table1[[#This Row],[ShippedDate]]="","",IF(Table1[[#This Row],[OrderDate]]="","",Table1[[#This Row],[ShippedDate]]-Table1[[#This Row],[OrderDate]]))</f>
        <v>6</v>
      </c>
      <c r="I318" s="3">
        <v>3</v>
      </c>
      <c r="J318" s="2">
        <v>13.75</v>
      </c>
      <c r="K318" s="2">
        <f>SUMIF(order_details!A:A,Table1[[#This Row],[orderID]],order_details!F:F)</f>
        <v>1234.05</v>
      </c>
      <c r="L318" s="9">
        <f>_xlfn.XLOOKUP(Table1[[#This Row],[orderID]],Table3[orderID],Table3[discount])</f>
        <v>0.05</v>
      </c>
      <c r="M318" s="2">
        <f>SUM(Table1[[#This Row],[Sales]],Table1[[#This Row],[freight]])</f>
        <v>1247.8</v>
      </c>
      <c r="N318" s="3">
        <f>_xlfn.XLOOKUP(Table1[[#This Row],[orderID]],Table3[orderID],Table3[quantity])</f>
        <v>16</v>
      </c>
      <c r="O318" s="6" t="str">
        <f>_xlfn.XLOOKUP(Table1[[#This Row],[CustomerID]],customers!A:A,customers!B:B)</f>
        <v>Rattlesnake Canyon Grocery</v>
      </c>
      <c r="P318" s="6" t="str">
        <f>_xlfn.XLOOKUP(Table1[[#This Row],[shipperID]],Table6[shipperID],Table6[companyName])</f>
        <v>Federal Shipping</v>
      </c>
      <c r="Q318">
        <f>YEAR(Table1[[#This Row],[OrderDate]])</f>
        <v>2014</v>
      </c>
      <c r="R318">
        <f>MONTH(Table1[[#This Row],[OrderDate]])</f>
        <v>6</v>
      </c>
      <c r="S318" t="str">
        <f>"Q"&amp;ROUNDUP(Table1[[#This Row],[month]]/3,0)</f>
        <v>Q2</v>
      </c>
      <c r="T318" t="str">
        <f>CONCATENATE(Table1[[#This Row],[year]],"-",Table1[[#This Row],[Quarter]])</f>
        <v>2014-Q2</v>
      </c>
      <c r="U318" s="6" t="str">
        <f>IF(H317="","Pending",IF(Table1[[#This Row],[Days to ship]]&lt;Table1[[#This Row],[RequiredDate]],"On Time","Late"))</f>
        <v>On Time</v>
      </c>
      <c r="V318">
        <f>_xlfn.XLOOKUP(Table1[[#This Row],[orderID]],Table3[orderID],Table3[unitPrice])</f>
        <v>39</v>
      </c>
    </row>
    <row r="319" spans="1:22" x14ac:dyDescent="0.45">
      <c r="A319" s="3">
        <v>10565</v>
      </c>
      <c r="B319" s="6" t="s">
        <v>238</v>
      </c>
      <c r="C319" s="3">
        <v>8</v>
      </c>
      <c r="D319" s="6" t="str">
        <f>_xlfn.XLOOKUP(Table1[[#This Row],[EmployeeID]],Table4[employeeID],Table4[employeeName])</f>
        <v>Laura Callahan</v>
      </c>
      <c r="E319" s="1">
        <v>41801</v>
      </c>
      <c r="F319" s="1">
        <v>41829</v>
      </c>
      <c r="G319" s="1">
        <v>41808</v>
      </c>
      <c r="H319" s="3">
        <f>IF(Table1[[#This Row],[ShippedDate]]="","",IF(Table1[[#This Row],[OrderDate]]="","",Table1[[#This Row],[ShippedDate]]-Table1[[#This Row],[OrderDate]]))</f>
        <v>7</v>
      </c>
      <c r="I319" s="3">
        <v>2</v>
      </c>
      <c r="J319" s="2">
        <v>7.15</v>
      </c>
      <c r="K319" s="2">
        <f>SUMIF(order_details!A:A,Table1[[#This Row],[orderID]],order_details!F:F)</f>
        <v>639.9</v>
      </c>
      <c r="L319" s="9">
        <f>_xlfn.XLOOKUP(Table1[[#This Row],[orderID]],Table3[orderID],Table3[discount])</f>
        <v>0.1</v>
      </c>
      <c r="M319" s="2">
        <f>SUM(Table1[[#This Row],[Sales]],Table1[[#This Row],[freight]])</f>
        <v>647.04999999999995</v>
      </c>
      <c r="N319" s="3">
        <f>_xlfn.XLOOKUP(Table1[[#This Row],[orderID]],Table3[orderID],Table3[quantity])</f>
        <v>25</v>
      </c>
      <c r="O319" s="6" t="str">
        <f>_xlfn.XLOOKUP(Table1[[#This Row],[CustomerID]],customers!A:A,customers!B:B)</f>
        <v>Mère Paillarde</v>
      </c>
      <c r="P319" s="6" t="str">
        <f>_xlfn.XLOOKUP(Table1[[#This Row],[shipperID]],Table6[shipperID],Table6[companyName])</f>
        <v>United Package</v>
      </c>
      <c r="Q319">
        <f>YEAR(Table1[[#This Row],[OrderDate]])</f>
        <v>2014</v>
      </c>
      <c r="R319">
        <f>MONTH(Table1[[#This Row],[OrderDate]])</f>
        <v>6</v>
      </c>
      <c r="S319" t="str">
        <f>"Q"&amp;ROUNDUP(Table1[[#This Row],[month]]/3,0)</f>
        <v>Q2</v>
      </c>
      <c r="T319" t="str">
        <f>CONCATENATE(Table1[[#This Row],[year]],"-",Table1[[#This Row],[Quarter]])</f>
        <v>2014-Q2</v>
      </c>
      <c r="U319" s="6" t="str">
        <f>IF(H318="","Pending",IF(Table1[[#This Row],[Days to ship]]&lt;Table1[[#This Row],[RequiredDate]],"On Time","Late"))</f>
        <v>On Time</v>
      </c>
      <c r="V319">
        <f>_xlfn.XLOOKUP(Table1[[#This Row],[orderID]],Table3[orderID],Table3[unitPrice])</f>
        <v>4.5</v>
      </c>
    </row>
    <row r="320" spans="1:22" x14ac:dyDescent="0.45">
      <c r="A320" s="3">
        <v>10566</v>
      </c>
      <c r="B320" s="6" t="s">
        <v>231</v>
      </c>
      <c r="C320" s="3">
        <v>9</v>
      </c>
      <c r="D320" s="6" t="str">
        <f>_xlfn.XLOOKUP(Table1[[#This Row],[EmployeeID]],Table4[employeeID],Table4[employeeName])</f>
        <v>Anne Dodsworth</v>
      </c>
      <c r="E320" s="1">
        <v>41802</v>
      </c>
      <c r="F320" s="1">
        <v>41830</v>
      </c>
      <c r="G320" s="1">
        <v>41808</v>
      </c>
      <c r="H320" s="3">
        <f>IF(Table1[[#This Row],[ShippedDate]]="","",IF(Table1[[#This Row],[OrderDate]]="","",Table1[[#This Row],[ShippedDate]]-Table1[[#This Row],[OrderDate]]))</f>
        <v>6</v>
      </c>
      <c r="I320" s="3">
        <v>1</v>
      </c>
      <c r="J320" s="2">
        <v>88.4</v>
      </c>
      <c r="K320" s="2">
        <f>SUMIF(order_details!A:A,Table1[[#This Row],[orderID]],order_details!F:F)</f>
        <v>1761</v>
      </c>
      <c r="L320" s="9">
        <f>_xlfn.XLOOKUP(Table1[[#This Row],[orderID]],Table3[orderID],Table3[discount])</f>
        <v>0.15</v>
      </c>
      <c r="M320" s="2">
        <f>SUM(Table1[[#This Row],[Sales]],Table1[[#This Row],[freight]])</f>
        <v>1849.4</v>
      </c>
      <c r="N320" s="3">
        <f>_xlfn.XLOOKUP(Table1[[#This Row],[orderID]],Table3[orderID],Table3[quantity])</f>
        <v>35</v>
      </c>
      <c r="O320" s="6" t="str">
        <f>_xlfn.XLOOKUP(Table1[[#This Row],[CustomerID]],customers!A:A,customers!B:B)</f>
        <v>Blondesddsl père et fils</v>
      </c>
      <c r="P320" s="6" t="str">
        <f>_xlfn.XLOOKUP(Table1[[#This Row],[shipperID]],Table6[shipperID],Table6[companyName])</f>
        <v>Speedy Express</v>
      </c>
      <c r="Q320">
        <f>YEAR(Table1[[#This Row],[OrderDate]])</f>
        <v>2014</v>
      </c>
      <c r="R320">
        <f>MONTH(Table1[[#This Row],[OrderDate]])</f>
        <v>6</v>
      </c>
      <c r="S320" t="str">
        <f>"Q"&amp;ROUNDUP(Table1[[#This Row],[month]]/3,0)</f>
        <v>Q2</v>
      </c>
      <c r="T320" t="str">
        <f>CONCATENATE(Table1[[#This Row],[year]],"-",Table1[[#This Row],[Quarter]])</f>
        <v>2014-Q2</v>
      </c>
      <c r="U320" s="6" t="str">
        <f>IF(H319="","Pending",IF(Table1[[#This Row],[Days to ship]]&lt;Table1[[#This Row],[RequiredDate]],"On Time","Late"))</f>
        <v>On Time</v>
      </c>
      <c r="V320">
        <f>_xlfn.XLOOKUP(Table1[[#This Row],[orderID]],Table3[orderID],Table3[unitPrice])</f>
        <v>21</v>
      </c>
    </row>
    <row r="321" spans="1:22" x14ac:dyDescent="0.45">
      <c r="A321" s="3">
        <v>10567</v>
      </c>
      <c r="B321" s="6" t="s">
        <v>166</v>
      </c>
      <c r="C321" s="3">
        <v>1</v>
      </c>
      <c r="D321" s="6" t="str">
        <f>_xlfn.XLOOKUP(Table1[[#This Row],[EmployeeID]],Table4[employeeID],Table4[employeeName])</f>
        <v>Nancy Davolio</v>
      </c>
      <c r="E321" s="1">
        <v>41802</v>
      </c>
      <c r="F321" s="1">
        <v>41830</v>
      </c>
      <c r="G321" s="1">
        <v>41807</v>
      </c>
      <c r="H321" s="3">
        <f>IF(Table1[[#This Row],[ShippedDate]]="","",IF(Table1[[#This Row],[OrderDate]]="","",Table1[[#This Row],[ShippedDate]]-Table1[[#This Row],[OrderDate]]))</f>
        <v>5</v>
      </c>
      <c r="I321" s="3">
        <v>1</v>
      </c>
      <c r="J321" s="2">
        <v>33.97</v>
      </c>
      <c r="K321" s="2">
        <f>SUMIF(order_details!A:A,Table1[[#This Row],[orderID]],order_details!F:F)</f>
        <v>2519</v>
      </c>
      <c r="L321" s="9">
        <f>_xlfn.XLOOKUP(Table1[[#This Row],[orderID]],Table3[orderID],Table3[discount])</f>
        <v>0.2</v>
      </c>
      <c r="M321" s="2">
        <f>SUM(Table1[[#This Row],[Sales]],Table1[[#This Row],[freight]])</f>
        <v>2552.9699999999998</v>
      </c>
      <c r="N321" s="3">
        <f>_xlfn.XLOOKUP(Table1[[#This Row],[orderID]],Table3[orderID],Table3[quantity])</f>
        <v>60</v>
      </c>
      <c r="O321" s="6" t="str">
        <f>_xlfn.XLOOKUP(Table1[[#This Row],[CustomerID]],customers!A:A,customers!B:B)</f>
        <v>Hungry Owl All-Night Grocers</v>
      </c>
      <c r="P321" s="6" t="str">
        <f>_xlfn.XLOOKUP(Table1[[#This Row],[shipperID]],Table6[shipperID],Table6[companyName])</f>
        <v>Speedy Express</v>
      </c>
      <c r="Q321">
        <f>YEAR(Table1[[#This Row],[OrderDate]])</f>
        <v>2014</v>
      </c>
      <c r="R321">
        <f>MONTH(Table1[[#This Row],[OrderDate]])</f>
        <v>6</v>
      </c>
      <c r="S321" t="str">
        <f>"Q"&amp;ROUNDUP(Table1[[#This Row],[month]]/3,0)</f>
        <v>Q2</v>
      </c>
      <c r="T321" t="str">
        <f>CONCATENATE(Table1[[#This Row],[year]],"-",Table1[[#This Row],[Quarter]])</f>
        <v>2014-Q2</v>
      </c>
      <c r="U321" s="6" t="str">
        <f>IF(H320="","Pending",IF(Table1[[#This Row],[Days to ship]]&lt;Table1[[#This Row],[RequiredDate]],"On Time","Late"))</f>
        <v>On Time</v>
      </c>
      <c r="V321">
        <f>_xlfn.XLOOKUP(Table1[[#This Row],[orderID]],Table3[orderID],Table3[unitPrice])</f>
        <v>12.5</v>
      </c>
    </row>
    <row r="322" spans="1:22" x14ac:dyDescent="0.45">
      <c r="A322" s="3">
        <v>10568</v>
      </c>
      <c r="B322" s="6" t="s">
        <v>221</v>
      </c>
      <c r="C322" s="3">
        <v>3</v>
      </c>
      <c r="D322" s="6" t="str">
        <f>_xlfn.XLOOKUP(Table1[[#This Row],[EmployeeID]],Table4[employeeID],Table4[employeeName])</f>
        <v>Janet Leverling</v>
      </c>
      <c r="E322" s="1">
        <v>41803</v>
      </c>
      <c r="F322" s="1">
        <v>41831</v>
      </c>
      <c r="G322" s="1">
        <v>41829</v>
      </c>
      <c r="H322" s="3">
        <f>IF(Table1[[#This Row],[ShippedDate]]="","",IF(Table1[[#This Row],[OrderDate]]="","",Table1[[#This Row],[ShippedDate]]-Table1[[#This Row],[OrderDate]]))</f>
        <v>26</v>
      </c>
      <c r="I322" s="3">
        <v>3</v>
      </c>
      <c r="J322" s="2">
        <v>6.54</v>
      </c>
      <c r="K322" s="2">
        <f>SUMIF(order_details!A:A,Table1[[#This Row],[orderID]],order_details!F:F)</f>
        <v>155</v>
      </c>
      <c r="L322" s="9">
        <f>_xlfn.XLOOKUP(Table1[[#This Row],[orderID]],Table3[orderID],Table3[discount])</f>
        <v>0</v>
      </c>
      <c r="M322" s="2">
        <f>SUM(Table1[[#This Row],[Sales]],Table1[[#This Row],[freight]])</f>
        <v>161.54</v>
      </c>
      <c r="N322" s="3">
        <f>_xlfn.XLOOKUP(Table1[[#This Row],[orderID]],Table3[orderID],Table3[quantity])</f>
        <v>5</v>
      </c>
      <c r="O322" s="6" t="str">
        <f>_xlfn.XLOOKUP(Table1[[#This Row],[CustomerID]],customers!A:A,customers!B:B)</f>
        <v>Galería del gastrónomo</v>
      </c>
      <c r="P322" s="6" t="str">
        <f>_xlfn.XLOOKUP(Table1[[#This Row],[shipperID]],Table6[shipperID],Table6[companyName])</f>
        <v>Federal Shipping</v>
      </c>
      <c r="Q322">
        <f>YEAR(Table1[[#This Row],[OrderDate]])</f>
        <v>2014</v>
      </c>
      <c r="R322">
        <f>MONTH(Table1[[#This Row],[OrderDate]])</f>
        <v>6</v>
      </c>
      <c r="S322" t="str">
        <f>"Q"&amp;ROUNDUP(Table1[[#This Row],[month]]/3,0)</f>
        <v>Q2</v>
      </c>
      <c r="T322" t="str">
        <f>CONCATENATE(Table1[[#This Row],[year]],"-",Table1[[#This Row],[Quarter]])</f>
        <v>2014-Q2</v>
      </c>
      <c r="U322" s="6" t="str">
        <f>IF(H321="","Pending",IF(Table1[[#This Row],[Days to ship]]&lt;Table1[[#This Row],[RequiredDate]],"On Time","Late"))</f>
        <v>On Time</v>
      </c>
      <c r="V322">
        <f>_xlfn.XLOOKUP(Table1[[#This Row],[orderID]],Table3[orderID],Table3[unitPrice])</f>
        <v>31</v>
      </c>
    </row>
    <row r="323" spans="1:22" x14ac:dyDescent="0.45">
      <c r="A323" s="3">
        <v>10569</v>
      </c>
      <c r="B323" s="6" t="s">
        <v>153</v>
      </c>
      <c r="C323" s="3">
        <v>5</v>
      </c>
      <c r="D323" s="6" t="str">
        <f>_xlfn.XLOOKUP(Table1[[#This Row],[EmployeeID]],Table4[employeeID],Table4[employeeName])</f>
        <v>Steven Buchanan</v>
      </c>
      <c r="E323" s="1">
        <v>41806</v>
      </c>
      <c r="F323" s="1">
        <v>41834</v>
      </c>
      <c r="G323" s="1">
        <v>41831</v>
      </c>
      <c r="H323" s="3">
        <f>IF(Table1[[#This Row],[ShippedDate]]="","",IF(Table1[[#This Row],[OrderDate]]="","",Table1[[#This Row],[ShippedDate]]-Table1[[#This Row],[OrderDate]]))</f>
        <v>25</v>
      </c>
      <c r="I323" s="3">
        <v>1</v>
      </c>
      <c r="J323" s="2">
        <v>58.98</v>
      </c>
      <c r="K323" s="2">
        <f>SUMIF(order_details!A:A,Table1[[#This Row],[orderID]],order_details!F:F)</f>
        <v>890</v>
      </c>
      <c r="L323" s="9">
        <f>_xlfn.XLOOKUP(Table1[[#This Row],[orderID]],Table3[orderID],Table3[discount])</f>
        <v>0.2</v>
      </c>
      <c r="M323" s="2">
        <f>SUM(Table1[[#This Row],[Sales]],Table1[[#This Row],[freight]])</f>
        <v>948.98</v>
      </c>
      <c r="N323" s="3">
        <f>_xlfn.XLOOKUP(Table1[[#This Row],[orderID]],Table3[orderID],Table3[quantity])</f>
        <v>35</v>
      </c>
      <c r="O323" s="6" t="str">
        <f>_xlfn.XLOOKUP(Table1[[#This Row],[CustomerID]],customers!A:A,customers!B:B)</f>
        <v>Rattlesnake Canyon Grocery</v>
      </c>
      <c r="P323" s="6" t="str">
        <f>_xlfn.XLOOKUP(Table1[[#This Row],[shipperID]],Table6[shipperID],Table6[companyName])</f>
        <v>Speedy Express</v>
      </c>
      <c r="Q323">
        <f>YEAR(Table1[[#This Row],[OrderDate]])</f>
        <v>2014</v>
      </c>
      <c r="R323">
        <f>MONTH(Table1[[#This Row],[OrderDate]])</f>
        <v>6</v>
      </c>
      <c r="S323" t="str">
        <f>"Q"&amp;ROUNDUP(Table1[[#This Row],[month]]/3,0)</f>
        <v>Q2</v>
      </c>
      <c r="T323" t="str">
        <f>CONCATENATE(Table1[[#This Row],[year]],"-",Table1[[#This Row],[Quarter]])</f>
        <v>2014-Q2</v>
      </c>
      <c r="U323" s="6" t="str">
        <f>IF(H322="","Pending",IF(Table1[[#This Row],[Days to ship]]&lt;Table1[[#This Row],[RequiredDate]],"On Time","Late"))</f>
        <v>On Time</v>
      </c>
      <c r="V323">
        <f>_xlfn.XLOOKUP(Table1[[#This Row],[orderID]],Table3[orderID],Table3[unitPrice])</f>
        <v>12.5</v>
      </c>
    </row>
    <row r="324" spans="1:22" x14ac:dyDescent="0.45">
      <c r="A324" s="3">
        <v>10570</v>
      </c>
      <c r="B324" s="6" t="s">
        <v>238</v>
      </c>
      <c r="C324" s="3">
        <v>3</v>
      </c>
      <c r="D324" s="6" t="str">
        <f>_xlfn.XLOOKUP(Table1[[#This Row],[EmployeeID]],Table4[employeeID],Table4[employeeName])</f>
        <v>Janet Leverling</v>
      </c>
      <c r="E324" s="1">
        <v>41807</v>
      </c>
      <c r="F324" s="1">
        <v>41835</v>
      </c>
      <c r="G324" s="1">
        <v>41809</v>
      </c>
      <c r="H324" s="3">
        <f>IF(Table1[[#This Row],[ShippedDate]]="","",IF(Table1[[#This Row],[OrderDate]]="","",Table1[[#This Row],[ShippedDate]]-Table1[[#This Row],[OrderDate]]))</f>
        <v>2</v>
      </c>
      <c r="I324" s="3">
        <v>3</v>
      </c>
      <c r="J324" s="2">
        <v>188.99</v>
      </c>
      <c r="K324" s="2">
        <f>SUMIF(order_details!A:A,Table1[[#This Row],[orderID]],order_details!F:F)</f>
        <v>2465.25</v>
      </c>
      <c r="L324" s="9">
        <f>_xlfn.XLOOKUP(Table1[[#This Row],[orderID]],Table3[orderID],Table3[discount])</f>
        <v>0.05</v>
      </c>
      <c r="M324" s="2">
        <f>SUM(Table1[[#This Row],[Sales]],Table1[[#This Row],[freight]])</f>
        <v>2654.24</v>
      </c>
      <c r="N324" s="3">
        <f>_xlfn.XLOOKUP(Table1[[#This Row],[orderID]],Table3[orderID],Table3[quantity])</f>
        <v>15</v>
      </c>
      <c r="O324" s="6" t="str">
        <f>_xlfn.XLOOKUP(Table1[[#This Row],[CustomerID]],customers!A:A,customers!B:B)</f>
        <v>Mère Paillarde</v>
      </c>
      <c r="P324" s="6" t="str">
        <f>_xlfn.XLOOKUP(Table1[[#This Row],[shipperID]],Table6[shipperID],Table6[companyName])</f>
        <v>Federal Shipping</v>
      </c>
      <c r="Q324">
        <f>YEAR(Table1[[#This Row],[OrderDate]])</f>
        <v>2014</v>
      </c>
      <c r="R324">
        <f>MONTH(Table1[[#This Row],[OrderDate]])</f>
        <v>6</v>
      </c>
      <c r="S324" t="str">
        <f>"Q"&amp;ROUNDUP(Table1[[#This Row],[month]]/3,0)</f>
        <v>Q2</v>
      </c>
      <c r="T324" t="str">
        <f>CONCATENATE(Table1[[#This Row],[year]],"-",Table1[[#This Row],[Quarter]])</f>
        <v>2014-Q2</v>
      </c>
      <c r="U324" s="6" t="str">
        <f>IF(H323="","Pending",IF(Table1[[#This Row],[Days to ship]]&lt;Table1[[#This Row],[RequiredDate]],"On Time","Late"))</f>
        <v>On Time</v>
      </c>
      <c r="V324">
        <f>_xlfn.XLOOKUP(Table1[[#This Row],[orderID]],Table3[orderID],Table3[unitPrice])</f>
        <v>21</v>
      </c>
    </row>
    <row r="325" spans="1:22" x14ac:dyDescent="0.45">
      <c r="A325" s="3">
        <v>10571</v>
      </c>
      <c r="B325" s="6" t="s">
        <v>158</v>
      </c>
      <c r="C325" s="3">
        <v>8</v>
      </c>
      <c r="D325" s="6" t="str">
        <f>_xlfn.XLOOKUP(Table1[[#This Row],[EmployeeID]],Table4[employeeID],Table4[employeeName])</f>
        <v>Laura Callahan</v>
      </c>
      <c r="E325" s="1">
        <v>41807</v>
      </c>
      <c r="F325" s="1">
        <v>41849</v>
      </c>
      <c r="G325" s="1">
        <v>41824</v>
      </c>
      <c r="H325" s="3">
        <f>IF(Table1[[#This Row],[ShippedDate]]="","",IF(Table1[[#This Row],[OrderDate]]="","",Table1[[#This Row],[ShippedDate]]-Table1[[#This Row],[OrderDate]]))</f>
        <v>17</v>
      </c>
      <c r="I325" s="3">
        <v>3</v>
      </c>
      <c r="J325" s="2">
        <v>26.06</v>
      </c>
      <c r="K325" s="2">
        <f>SUMIF(order_details!A:A,Table1[[#This Row],[orderID]],order_details!F:F)</f>
        <v>550.58749999999998</v>
      </c>
      <c r="L325" s="9">
        <f>_xlfn.XLOOKUP(Table1[[#This Row],[orderID]],Table3[orderID],Table3[discount])</f>
        <v>0.15</v>
      </c>
      <c r="M325" s="2">
        <f>SUM(Table1[[#This Row],[Sales]],Table1[[#This Row],[freight]])</f>
        <v>576.64749999999992</v>
      </c>
      <c r="N325" s="3">
        <f>_xlfn.XLOOKUP(Table1[[#This Row],[orderID]],Table3[orderID],Table3[quantity])</f>
        <v>11</v>
      </c>
      <c r="O325" s="6" t="str">
        <f>_xlfn.XLOOKUP(Table1[[#This Row],[CustomerID]],customers!A:A,customers!B:B)</f>
        <v>Ernst Handel</v>
      </c>
      <c r="P325" s="6" t="str">
        <f>_xlfn.XLOOKUP(Table1[[#This Row],[shipperID]],Table6[shipperID],Table6[companyName])</f>
        <v>Federal Shipping</v>
      </c>
      <c r="Q325">
        <f>YEAR(Table1[[#This Row],[OrderDate]])</f>
        <v>2014</v>
      </c>
      <c r="R325">
        <f>MONTH(Table1[[#This Row],[OrderDate]])</f>
        <v>6</v>
      </c>
      <c r="S325" t="str">
        <f>"Q"&amp;ROUNDUP(Table1[[#This Row],[month]]/3,0)</f>
        <v>Q2</v>
      </c>
      <c r="T325" t="str">
        <f>CONCATENATE(Table1[[#This Row],[year]],"-",Table1[[#This Row],[Quarter]])</f>
        <v>2014-Q2</v>
      </c>
      <c r="U325" s="6" t="str">
        <f>IF(H324="","Pending",IF(Table1[[#This Row],[Days to ship]]&lt;Table1[[#This Row],[RequiredDate]],"On Time","Late"))</f>
        <v>On Time</v>
      </c>
      <c r="V325">
        <f>_xlfn.XLOOKUP(Table1[[#This Row],[orderID]],Table3[orderID],Table3[unitPrice])</f>
        <v>23.25</v>
      </c>
    </row>
    <row r="326" spans="1:22" x14ac:dyDescent="0.45">
      <c r="A326" s="3">
        <v>10572</v>
      </c>
      <c r="B326" s="6" t="s">
        <v>223</v>
      </c>
      <c r="C326" s="3">
        <v>3</v>
      </c>
      <c r="D326" s="6" t="str">
        <f>_xlfn.XLOOKUP(Table1[[#This Row],[EmployeeID]],Table4[employeeID],Table4[employeeName])</f>
        <v>Janet Leverling</v>
      </c>
      <c r="E326" s="1">
        <v>41808</v>
      </c>
      <c r="F326" s="1">
        <v>41836</v>
      </c>
      <c r="G326" s="1">
        <v>41815</v>
      </c>
      <c r="H326" s="3">
        <f>IF(Table1[[#This Row],[ShippedDate]]="","",IF(Table1[[#This Row],[OrderDate]]="","",Table1[[#This Row],[ShippedDate]]-Table1[[#This Row],[OrderDate]]))</f>
        <v>7</v>
      </c>
      <c r="I326" s="3">
        <v>2</v>
      </c>
      <c r="J326" s="2">
        <v>116.43</v>
      </c>
      <c r="K326" s="2">
        <f>SUMIF(order_details!A:A,Table1[[#This Row],[orderID]],order_details!F:F)</f>
        <v>1501.0849999999998</v>
      </c>
      <c r="L326" s="9">
        <f>_xlfn.XLOOKUP(Table1[[#This Row],[orderID]],Table3[orderID],Table3[discount])</f>
        <v>0.1</v>
      </c>
      <c r="M326" s="2">
        <f>SUM(Table1[[#This Row],[Sales]],Table1[[#This Row],[freight]])</f>
        <v>1617.5149999999999</v>
      </c>
      <c r="N326" s="3">
        <f>_xlfn.XLOOKUP(Table1[[#This Row],[orderID]],Table3[orderID],Table3[quantity])</f>
        <v>12</v>
      </c>
      <c r="O326" s="6" t="str">
        <f>_xlfn.XLOOKUP(Table1[[#This Row],[CustomerID]],customers!A:A,customers!B:B)</f>
        <v>Berglunds snabbköp</v>
      </c>
      <c r="P326" s="6" t="str">
        <f>_xlfn.XLOOKUP(Table1[[#This Row],[shipperID]],Table6[shipperID],Table6[companyName])</f>
        <v>United Package</v>
      </c>
      <c r="Q326">
        <f>YEAR(Table1[[#This Row],[OrderDate]])</f>
        <v>2014</v>
      </c>
      <c r="R326">
        <f>MONTH(Table1[[#This Row],[OrderDate]])</f>
        <v>6</v>
      </c>
      <c r="S326" t="str">
        <f>"Q"&amp;ROUNDUP(Table1[[#This Row],[month]]/3,0)</f>
        <v>Q2</v>
      </c>
      <c r="T326" t="str">
        <f>CONCATENATE(Table1[[#This Row],[year]],"-",Table1[[#This Row],[Quarter]])</f>
        <v>2014-Q2</v>
      </c>
      <c r="U326" s="6" t="str">
        <f>IF(H325="","Pending",IF(Table1[[#This Row],[Days to ship]]&lt;Table1[[#This Row],[RequiredDate]],"On Time","Late"))</f>
        <v>On Time</v>
      </c>
      <c r="V326">
        <f>_xlfn.XLOOKUP(Table1[[#This Row],[orderID]],Table3[orderID],Table3[unitPrice])</f>
        <v>17.45</v>
      </c>
    </row>
    <row r="327" spans="1:22" x14ac:dyDescent="0.45">
      <c r="A327" s="3">
        <v>10573</v>
      </c>
      <c r="B327" s="6" t="s">
        <v>227</v>
      </c>
      <c r="C327" s="3">
        <v>7</v>
      </c>
      <c r="D327" s="6" t="str">
        <f>_xlfn.XLOOKUP(Table1[[#This Row],[EmployeeID]],Table4[employeeID],Table4[employeeName])</f>
        <v>Robert King</v>
      </c>
      <c r="E327" s="1">
        <v>41809</v>
      </c>
      <c r="F327" s="1">
        <v>41837</v>
      </c>
      <c r="G327" s="1">
        <v>41810</v>
      </c>
      <c r="H327" s="3">
        <f>IF(Table1[[#This Row],[ShippedDate]]="","",IF(Table1[[#This Row],[OrderDate]]="","",Table1[[#This Row],[ShippedDate]]-Table1[[#This Row],[OrderDate]]))</f>
        <v>1</v>
      </c>
      <c r="I327" s="3">
        <v>3</v>
      </c>
      <c r="J327" s="2">
        <v>84.84</v>
      </c>
      <c r="K327" s="2">
        <f>SUMIF(order_details!A:A,Table1[[#This Row],[orderID]],order_details!F:F)</f>
        <v>2082</v>
      </c>
      <c r="L327" s="9">
        <f>_xlfn.XLOOKUP(Table1[[#This Row],[orderID]],Table3[orderID],Table3[discount])</f>
        <v>0</v>
      </c>
      <c r="M327" s="2">
        <f>SUM(Table1[[#This Row],[Sales]],Table1[[#This Row],[freight]])</f>
        <v>2166.84</v>
      </c>
      <c r="N327" s="3">
        <f>_xlfn.XLOOKUP(Table1[[#This Row],[orderID]],Table3[orderID],Table3[quantity])</f>
        <v>18</v>
      </c>
      <c r="O327" s="6" t="str">
        <f>_xlfn.XLOOKUP(Table1[[#This Row],[CustomerID]],customers!A:A,customers!B:B)</f>
        <v>Antonio Moreno Taquería</v>
      </c>
      <c r="P327" s="6" t="str">
        <f>_xlfn.XLOOKUP(Table1[[#This Row],[shipperID]],Table6[shipperID],Table6[companyName])</f>
        <v>Federal Shipping</v>
      </c>
      <c r="Q327">
        <f>YEAR(Table1[[#This Row],[OrderDate]])</f>
        <v>2014</v>
      </c>
      <c r="R327">
        <f>MONTH(Table1[[#This Row],[OrderDate]])</f>
        <v>6</v>
      </c>
      <c r="S327" t="str">
        <f>"Q"&amp;ROUNDUP(Table1[[#This Row],[month]]/3,0)</f>
        <v>Q2</v>
      </c>
      <c r="T327" t="str">
        <f>CONCATENATE(Table1[[#This Row],[year]],"-",Table1[[#This Row],[Quarter]])</f>
        <v>2014-Q2</v>
      </c>
      <c r="U327" s="6" t="str">
        <f>IF(H326="","Pending",IF(Table1[[#This Row],[Days to ship]]&lt;Table1[[#This Row],[RequiredDate]],"On Time","Late"))</f>
        <v>On Time</v>
      </c>
      <c r="V327">
        <f>_xlfn.XLOOKUP(Table1[[#This Row],[orderID]],Table3[orderID],Table3[unitPrice])</f>
        <v>39</v>
      </c>
    </row>
    <row r="328" spans="1:22" x14ac:dyDescent="0.45">
      <c r="A328" s="3">
        <v>10574</v>
      </c>
      <c r="B328" s="6" t="s">
        <v>232</v>
      </c>
      <c r="C328" s="3">
        <v>4</v>
      </c>
      <c r="D328" s="6" t="str">
        <f>_xlfn.XLOOKUP(Table1[[#This Row],[EmployeeID]],Table4[employeeID],Table4[employeeName])</f>
        <v>Margaret Peacock</v>
      </c>
      <c r="E328" s="1">
        <v>41809</v>
      </c>
      <c r="F328" s="1">
        <v>41837</v>
      </c>
      <c r="G328" s="1">
        <v>41820</v>
      </c>
      <c r="H328" s="3">
        <f>IF(Table1[[#This Row],[ShippedDate]]="","",IF(Table1[[#This Row],[OrderDate]]="","",Table1[[#This Row],[ShippedDate]]-Table1[[#This Row],[OrderDate]]))</f>
        <v>11</v>
      </c>
      <c r="I328" s="3">
        <v>2</v>
      </c>
      <c r="J328" s="2">
        <v>37.6</v>
      </c>
      <c r="K328" s="2">
        <f>SUMIF(order_details!A:A,Table1[[#This Row],[orderID]],order_details!F:F)</f>
        <v>764.3</v>
      </c>
      <c r="L328" s="9">
        <f>_xlfn.XLOOKUP(Table1[[#This Row],[orderID]],Table3[orderID],Table3[discount])</f>
        <v>0</v>
      </c>
      <c r="M328" s="2">
        <f>SUM(Table1[[#This Row],[Sales]],Table1[[#This Row],[freight]])</f>
        <v>801.9</v>
      </c>
      <c r="N328" s="3">
        <f>_xlfn.XLOOKUP(Table1[[#This Row],[orderID]],Table3[orderID],Table3[quantity])</f>
        <v>14</v>
      </c>
      <c r="O328" s="6" t="str">
        <f>_xlfn.XLOOKUP(Table1[[#This Row],[CustomerID]],customers!A:A,customers!B:B)</f>
        <v>Trail's Head Gourmet Provisioners</v>
      </c>
      <c r="P328" s="6" t="str">
        <f>_xlfn.XLOOKUP(Table1[[#This Row],[shipperID]],Table6[shipperID],Table6[companyName])</f>
        <v>United Package</v>
      </c>
      <c r="Q328">
        <f>YEAR(Table1[[#This Row],[OrderDate]])</f>
        <v>2014</v>
      </c>
      <c r="R328">
        <f>MONTH(Table1[[#This Row],[OrderDate]])</f>
        <v>6</v>
      </c>
      <c r="S328" t="str">
        <f>"Q"&amp;ROUNDUP(Table1[[#This Row],[month]]/3,0)</f>
        <v>Q2</v>
      </c>
      <c r="T328" t="str">
        <f>CONCATENATE(Table1[[#This Row],[year]],"-",Table1[[#This Row],[Quarter]])</f>
        <v>2014-Q2</v>
      </c>
      <c r="U328" s="6" t="str">
        <f>IF(H327="","Pending",IF(Table1[[#This Row],[Days to ship]]&lt;Table1[[#This Row],[RequiredDate]],"On Time","Late"))</f>
        <v>On Time</v>
      </c>
      <c r="V328">
        <f>_xlfn.XLOOKUP(Table1[[#This Row],[orderID]],Table3[orderID],Table3[unitPrice])</f>
        <v>2.5</v>
      </c>
    </row>
    <row r="329" spans="1:22" x14ac:dyDescent="0.45">
      <c r="A329" s="3">
        <v>10575</v>
      </c>
      <c r="B329" s="6" t="s">
        <v>218</v>
      </c>
      <c r="C329" s="3">
        <v>5</v>
      </c>
      <c r="D329" s="6" t="str">
        <f>_xlfn.XLOOKUP(Table1[[#This Row],[EmployeeID]],Table4[employeeID],Table4[employeeName])</f>
        <v>Steven Buchanan</v>
      </c>
      <c r="E329" s="1">
        <v>41810</v>
      </c>
      <c r="F329" s="1">
        <v>41824</v>
      </c>
      <c r="G329" s="1">
        <v>41820</v>
      </c>
      <c r="H329" s="3">
        <f>IF(Table1[[#This Row],[ShippedDate]]="","",IF(Table1[[#This Row],[OrderDate]]="","",Table1[[#This Row],[ShippedDate]]-Table1[[#This Row],[OrderDate]]))</f>
        <v>10</v>
      </c>
      <c r="I329" s="3">
        <v>1</v>
      </c>
      <c r="J329" s="2">
        <v>127.34</v>
      </c>
      <c r="K329" s="2">
        <f>SUMIF(order_details!A:A,Table1[[#This Row],[orderID]],order_details!F:F)</f>
        <v>2147.4</v>
      </c>
      <c r="L329" s="9">
        <f>_xlfn.XLOOKUP(Table1[[#This Row],[orderID]],Table3[orderID],Table3[discount])</f>
        <v>0</v>
      </c>
      <c r="M329" s="2">
        <f>SUM(Table1[[#This Row],[Sales]],Table1[[#This Row],[freight]])</f>
        <v>2274.7400000000002</v>
      </c>
      <c r="N329" s="3">
        <f>_xlfn.XLOOKUP(Table1[[#This Row],[orderID]],Table3[orderID],Table3[quantity])</f>
        <v>12</v>
      </c>
      <c r="O329" s="6" t="str">
        <f>_xlfn.XLOOKUP(Table1[[#This Row],[CustomerID]],customers!A:A,customers!B:B)</f>
        <v>Morgenstern Gesundkost</v>
      </c>
      <c r="P329" s="6" t="str">
        <f>_xlfn.XLOOKUP(Table1[[#This Row],[shipperID]],Table6[shipperID],Table6[companyName])</f>
        <v>Speedy Express</v>
      </c>
      <c r="Q329">
        <f>YEAR(Table1[[#This Row],[OrderDate]])</f>
        <v>2014</v>
      </c>
      <c r="R329">
        <f>MONTH(Table1[[#This Row],[OrderDate]])</f>
        <v>6</v>
      </c>
      <c r="S329" t="str">
        <f>"Q"&amp;ROUNDUP(Table1[[#This Row],[month]]/3,0)</f>
        <v>Q2</v>
      </c>
      <c r="T329" t="str">
        <f>CONCATENATE(Table1[[#This Row],[year]],"-",Table1[[#This Row],[Quarter]])</f>
        <v>2014-Q2</v>
      </c>
      <c r="U329" s="6" t="str">
        <f>IF(H328="","Pending",IF(Table1[[#This Row],[Days to ship]]&lt;Table1[[#This Row],[RequiredDate]],"On Time","Late"))</f>
        <v>On Time</v>
      </c>
      <c r="V329">
        <f>_xlfn.XLOOKUP(Table1[[#This Row],[orderID]],Table3[orderID],Table3[unitPrice])</f>
        <v>55</v>
      </c>
    </row>
    <row r="330" spans="1:22" x14ac:dyDescent="0.45">
      <c r="A330" s="3">
        <v>10576</v>
      </c>
      <c r="B330" s="6" t="s">
        <v>161</v>
      </c>
      <c r="C330" s="3">
        <v>3</v>
      </c>
      <c r="D330" s="6" t="str">
        <f>_xlfn.XLOOKUP(Table1[[#This Row],[EmployeeID]],Table4[employeeID],Table4[employeeName])</f>
        <v>Janet Leverling</v>
      </c>
      <c r="E330" s="1">
        <v>41813</v>
      </c>
      <c r="F330" s="1">
        <v>41827</v>
      </c>
      <c r="G330" s="1">
        <v>41820</v>
      </c>
      <c r="H330" s="3">
        <f>IF(Table1[[#This Row],[ShippedDate]]="","",IF(Table1[[#This Row],[OrderDate]]="","",Table1[[#This Row],[ShippedDate]]-Table1[[#This Row],[OrderDate]]))</f>
        <v>7</v>
      </c>
      <c r="I330" s="3">
        <v>3</v>
      </c>
      <c r="J330" s="2">
        <v>18.559999999999999</v>
      </c>
      <c r="K330" s="2">
        <f>SUMIF(order_details!A:A,Table1[[#This Row],[orderID]],order_details!F:F)</f>
        <v>838.45</v>
      </c>
      <c r="L330" s="9">
        <f>_xlfn.XLOOKUP(Table1[[#This Row],[orderID]],Table3[orderID],Table3[discount])</f>
        <v>0</v>
      </c>
      <c r="M330" s="2">
        <f>SUM(Table1[[#This Row],[Sales]],Table1[[#This Row],[freight]])</f>
        <v>857.01</v>
      </c>
      <c r="N330" s="3">
        <f>_xlfn.XLOOKUP(Table1[[#This Row],[orderID]],Table3[orderID],Table3[quantity])</f>
        <v>10</v>
      </c>
      <c r="O330" s="6" t="str">
        <f>_xlfn.XLOOKUP(Table1[[#This Row],[CustomerID]],customers!A:A,customers!B:B)</f>
        <v>Tortuga Restaurante</v>
      </c>
      <c r="P330" s="6" t="str">
        <f>_xlfn.XLOOKUP(Table1[[#This Row],[shipperID]],Table6[shipperID],Table6[companyName])</f>
        <v>Federal Shipping</v>
      </c>
      <c r="Q330">
        <f>YEAR(Table1[[#This Row],[OrderDate]])</f>
        <v>2014</v>
      </c>
      <c r="R330">
        <f>MONTH(Table1[[#This Row],[OrderDate]])</f>
        <v>6</v>
      </c>
      <c r="S330" t="str">
        <f>"Q"&amp;ROUNDUP(Table1[[#This Row],[month]]/3,0)</f>
        <v>Q2</v>
      </c>
      <c r="T330" t="str">
        <f>CONCATENATE(Table1[[#This Row],[year]],"-",Table1[[#This Row],[Quarter]])</f>
        <v>2014-Q2</v>
      </c>
      <c r="U330" s="6" t="str">
        <f>IF(H329="","Pending",IF(Table1[[#This Row],[Days to ship]]&lt;Table1[[#This Row],[RequiredDate]],"On Time","Late"))</f>
        <v>On Time</v>
      </c>
      <c r="V330">
        <f>_xlfn.XLOOKUP(Table1[[#This Row],[orderID]],Table3[orderID],Table3[unitPrice])</f>
        <v>18</v>
      </c>
    </row>
    <row r="331" spans="1:22" x14ac:dyDescent="0.45">
      <c r="A331" s="3">
        <v>10577</v>
      </c>
      <c r="B331" s="6" t="s">
        <v>232</v>
      </c>
      <c r="C331" s="3">
        <v>9</v>
      </c>
      <c r="D331" s="6" t="str">
        <f>_xlfn.XLOOKUP(Table1[[#This Row],[EmployeeID]],Table4[employeeID],Table4[employeeName])</f>
        <v>Anne Dodsworth</v>
      </c>
      <c r="E331" s="1">
        <v>41813</v>
      </c>
      <c r="F331" s="1">
        <v>41855</v>
      </c>
      <c r="G331" s="1">
        <v>41820</v>
      </c>
      <c r="H331" s="3">
        <f>IF(Table1[[#This Row],[ShippedDate]]="","",IF(Table1[[#This Row],[OrderDate]]="","",Table1[[#This Row],[ShippedDate]]-Table1[[#This Row],[OrderDate]]))</f>
        <v>7</v>
      </c>
      <c r="I331" s="3">
        <v>2</v>
      </c>
      <c r="J331" s="2">
        <v>25.41</v>
      </c>
      <c r="K331" s="2">
        <f>SUMIF(order_details!A:A,Table1[[#This Row],[orderID]],order_details!F:F)</f>
        <v>569</v>
      </c>
      <c r="L331" s="9">
        <f>_xlfn.XLOOKUP(Table1[[#This Row],[orderID]],Table3[orderID],Table3[discount])</f>
        <v>0</v>
      </c>
      <c r="M331" s="2">
        <f>SUM(Table1[[#This Row],[Sales]],Table1[[#This Row],[freight]])</f>
        <v>594.41</v>
      </c>
      <c r="N331" s="3">
        <f>_xlfn.XLOOKUP(Table1[[#This Row],[orderID]],Table3[orderID],Table3[quantity])</f>
        <v>10</v>
      </c>
      <c r="O331" s="6" t="str">
        <f>_xlfn.XLOOKUP(Table1[[#This Row],[CustomerID]],customers!A:A,customers!B:B)</f>
        <v>Trail's Head Gourmet Provisioners</v>
      </c>
      <c r="P331" s="6" t="str">
        <f>_xlfn.XLOOKUP(Table1[[#This Row],[shipperID]],Table6[shipperID],Table6[companyName])</f>
        <v>United Package</v>
      </c>
      <c r="Q331">
        <f>YEAR(Table1[[#This Row],[OrderDate]])</f>
        <v>2014</v>
      </c>
      <c r="R331">
        <f>MONTH(Table1[[#This Row],[OrderDate]])</f>
        <v>6</v>
      </c>
      <c r="S331" t="str">
        <f>"Q"&amp;ROUNDUP(Table1[[#This Row],[month]]/3,0)</f>
        <v>Q2</v>
      </c>
      <c r="T331" t="str">
        <f>CONCATENATE(Table1[[#This Row],[year]],"-",Table1[[#This Row],[Quarter]])</f>
        <v>2014-Q2</v>
      </c>
      <c r="U331" s="6" t="str">
        <f>IF(H330="","Pending",IF(Table1[[#This Row],[Days to ship]]&lt;Table1[[#This Row],[RequiredDate]],"On Time","Late"))</f>
        <v>On Time</v>
      </c>
      <c r="V331">
        <f>_xlfn.XLOOKUP(Table1[[#This Row],[orderID]],Table3[orderID],Table3[unitPrice])</f>
        <v>18</v>
      </c>
    </row>
    <row r="332" spans="1:22" x14ac:dyDescent="0.45">
      <c r="A332" s="3">
        <v>10578</v>
      </c>
      <c r="B332" s="6" t="s">
        <v>193</v>
      </c>
      <c r="C332" s="3">
        <v>4</v>
      </c>
      <c r="D332" s="6" t="str">
        <f>_xlfn.XLOOKUP(Table1[[#This Row],[EmployeeID]],Table4[employeeID],Table4[employeeName])</f>
        <v>Margaret Peacock</v>
      </c>
      <c r="E332" s="1">
        <v>41814</v>
      </c>
      <c r="F332" s="1">
        <v>41842</v>
      </c>
      <c r="G332" s="1">
        <v>41845</v>
      </c>
      <c r="H332" s="3">
        <f>IF(Table1[[#This Row],[ShippedDate]]="","",IF(Table1[[#This Row],[OrderDate]]="","",Table1[[#This Row],[ShippedDate]]-Table1[[#This Row],[OrderDate]]))</f>
        <v>31</v>
      </c>
      <c r="I332" s="3">
        <v>3</v>
      </c>
      <c r="J332" s="2">
        <v>29.6</v>
      </c>
      <c r="K332" s="2">
        <f>SUMIF(order_details!A:A,Table1[[#This Row],[orderID]],order_details!F:F)</f>
        <v>477</v>
      </c>
      <c r="L332" s="9">
        <f>_xlfn.XLOOKUP(Table1[[#This Row],[orderID]],Table3[orderID],Table3[discount])</f>
        <v>0</v>
      </c>
      <c r="M332" s="2">
        <f>SUM(Table1[[#This Row],[Sales]],Table1[[#This Row],[freight]])</f>
        <v>506.6</v>
      </c>
      <c r="N332" s="3">
        <f>_xlfn.XLOOKUP(Table1[[#This Row],[orderID]],Table3[orderID],Table3[quantity])</f>
        <v>20</v>
      </c>
      <c r="O332" s="6" t="str">
        <f>_xlfn.XLOOKUP(Table1[[#This Row],[CustomerID]],customers!A:A,customers!B:B)</f>
        <v>B's Beverages</v>
      </c>
      <c r="P332" s="6" t="str">
        <f>_xlfn.XLOOKUP(Table1[[#This Row],[shipperID]],Table6[shipperID],Table6[companyName])</f>
        <v>Federal Shipping</v>
      </c>
      <c r="Q332">
        <f>YEAR(Table1[[#This Row],[OrderDate]])</f>
        <v>2014</v>
      </c>
      <c r="R332">
        <f>MONTH(Table1[[#This Row],[OrderDate]])</f>
        <v>6</v>
      </c>
      <c r="S332" t="str">
        <f>"Q"&amp;ROUNDUP(Table1[[#This Row],[month]]/3,0)</f>
        <v>Q2</v>
      </c>
      <c r="T332" t="str">
        <f>CONCATENATE(Table1[[#This Row],[year]],"-",Table1[[#This Row],[Quarter]])</f>
        <v>2014-Q2</v>
      </c>
      <c r="U332" s="6" t="str">
        <f>IF(H331="","Pending",IF(Table1[[#This Row],[Days to ship]]&lt;Table1[[#This Row],[RequiredDate]],"On Time","Late"))</f>
        <v>On Time</v>
      </c>
      <c r="V332">
        <f>_xlfn.XLOOKUP(Table1[[#This Row],[orderID]],Table3[orderID],Table3[unitPrice])</f>
        <v>18</v>
      </c>
    </row>
    <row r="333" spans="1:22" x14ac:dyDescent="0.45">
      <c r="A333" s="3">
        <v>10579</v>
      </c>
      <c r="B333" s="6" t="s">
        <v>225</v>
      </c>
      <c r="C333" s="3">
        <v>1</v>
      </c>
      <c r="D333" s="6" t="str">
        <f>_xlfn.XLOOKUP(Table1[[#This Row],[EmployeeID]],Table4[employeeID],Table4[employeeName])</f>
        <v>Nancy Davolio</v>
      </c>
      <c r="E333" s="1">
        <v>41815</v>
      </c>
      <c r="F333" s="1">
        <v>41843</v>
      </c>
      <c r="G333" s="1">
        <v>41824</v>
      </c>
      <c r="H333" s="3">
        <f>IF(Table1[[#This Row],[ShippedDate]]="","",IF(Table1[[#This Row],[OrderDate]]="","",Table1[[#This Row],[ShippedDate]]-Table1[[#This Row],[OrderDate]]))</f>
        <v>9</v>
      </c>
      <c r="I333" s="3">
        <v>2</v>
      </c>
      <c r="J333" s="2">
        <v>13.73</v>
      </c>
      <c r="K333" s="2">
        <f>SUMIF(order_details!A:A,Table1[[#This Row],[orderID]],order_details!F:F)</f>
        <v>317.75</v>
      </c>
      <c r="L333" s="9">
        <f>_xlfn.XLOOKUP(Table1[[#This Row],[orderID]],Table3[orderID],Table3[discount])</f>
        <v>0</v>
      </c>
      <c r="M333" s="2">
        <f>SUM(Table1[[#This Row],[Sales]],Table1[[#This Row],[freight]])</f>
        <v>331.48</v>
      </c>
      <c r="N333" s="3">
        <f>_xlfn.XLOOKUP(Table1[[#This Row],[orderID]],Table3[orderID],Table3[quantity])</f>
        <v>10</v>
      </c>
      <c r="O333" s="6" t="str">
        <f>_xlfn.XLOOKUP(Table1[[#This Row],[CustomerID]],customers!A:A,customers!B:B)</f>
        <v>Let's Stop N Shop</v>
      </c>
      <c r="P333" s="6" t="str">
        <f>_xlfn.XLOOKUP(Table1[[#This Row],[shipperID]],Table6[shipperID],Table6[companyName])</f>
        <v>United Package</v>
      </c>
      <c r="Q333">
        <f>YEAR(Table1[[#This Row],[OrderDate]])</f>
        <v>2014</v>
      </c>
      <c r="R333">
        <f>MONTH(Table1[[#This Row],[OrderDate]])</f>
        <v>6</v>
      </c>
      <c r="S333" t="str">
        <f>"Q"&amp;ROUNDUP(Table1[[#This Row],[month]]/3,0)</f>
        <v>Q2</v>
      </c>
      <c r="T333" t="str">
        <f>CONCATENATE(Table1[[#This Row],[year]],"-",Table1[[#This Row],[Quarter]])</f>
        <v>2014-Q2</v>
      </c>
      <c r="U333" s="6" t="str">
        <f>IF(H332="","Pending",IF(Table1[[#This Row],[Days to ship]]&lt;Table1[[#This Row],[RequiredDate]],"On Time","Late"))</f>
        <v>On Time</v>
      </c>
      <c r="V333">
        <f>_xlfn.XLOOKUP(Table1[[#This Row],[orderID]],Table3[orderID],Table3[unitPrice])</f>
        <v>15.5</v>
      </c>
    </row>
    <row r="334" spans="1:22" x14ac:dyDescent="0.45">
      <c r="A334" s="3">
        <v>10580</v>
      </c>
      <c r="B334" s="6" t="s">
        <v>195</v>
      </c>
      <c r="C334" s="3">
        <v>4</v>
      </c>
      <c r="D334" s="6" t="str">
        <f>_xlfn.XLOOKUP(Table1[[#This Row],[EmployeeID]],Table4[employeeID],Table4[employeeName])</f>
        <v>Margaret Peacock</v>
      </c>
      <c r="E334" s="1">
        <v>41816</v>
      </c>
      <c r="F334" s="1">
        <v>41844</v>
      </c>
      <c r="G334" s="1">
        <v>41821</v>
      </c>
      <c r="H334" s="3">
        <f>IF(Table1[[#This Row],[ShippedDate]]="","",IF(Table1[[#This Row],[OrderDate]]="","",Table1[[#This Row],[ShippedDate]]-Table1[[#This Row],[OrderDate]]))</f>
        <v>5</v>
      </c>
      <c r="I334" s="3">
        <v>3</v>
      </c>
      <c r="J334" s="2">
        <v>75.89</v>
      </c>
      <c r="K334" s="2">
        <f>SUMIF(order_details!A:A,Table1[[#This Row],[orderID]],order_details!F:F)</f>
        <v>1013.7449999999999</v>
      </c>
      <c r="L334" s="9">
        <f>_xlfn.XLOOKUP(Table1[[#This Row],[orderID]],Table3[orderID],Table3[discount])</f>
        <v>0.05</v>
      </c>
      <c r="M334" s="2">
        <f>SUM(Table1[[#This Row],[Sales]],Table1[[#This Row],[freight]])</f>
        <v>1089.635</v>
      </c>
      <c r="N334" s="3">
        <f>_xlfn.XLOOKUP(Table1[[#This Row],[orderID]],Table3[orderID],Table3[quantity])</f>
        <v>15</v>
      </c>
      <c r="O334" s="6" t="str">
        <f>_xlfn.XLOOKUP(Table1[[#This Row],[CustomerID]],customers!A:A,customers!B:B)</f>
        <v>Ottilies Käseladen</v>
      </c>
      <c r="P334" s="6" t="str">
        <f>_xlfn.XLOOKUP(Table1[[#This Row],[shipperID]],Table6[shipperID],Table6[companyName])</f>
        <v>Federal Shipping</v>
      </c>
      <c r="Q334">
        <f>YEAR(Table1[[#This Row],[OrderDate]])</f>
        <v>2014</v>
      </c>
      <c r="R334">
        <f>MONTH(Table1[[#This Row],[OrderDate]])</f>
        <v>6</v>
      </c>
      <c r="S334" t="str">
        <f>"Q"&amp;ROUNDUP(Table1[[#This Row],[month]]/3,0)</f>
        <v>Q2</v>
      </c>
      <c r="T334" t="str">
        <f>CONCATENATE(Table1[[#This Row],[year]],"-",Table1[[#This Row],[Quarter]])</f>
        <v>2014-Q2</v>
      </c>
      <c r="U334" s="6" t="str">
        <f>IF(H333="","Pending",IF(Table1[[#This Row],[Days to ship]]&lt;Table1[[#This Row],[RequiredDate]],"On Time","Late"))</f>
        <v>On Time</v>
      </c>
      <c r="V334">
        <f>_xlfn.XLOOKUP(Table1[[#This Row],[orderID]],Table3[orderID],Table3[unitPrice])</f>
        <v>23.25</v>
      </c>
    </row>
    <row r="335" spans="1:22" x14ac:dyDescent="0.45">
      <c r="A335" s="3">
        <v>10581</v>
      </c>
      <c r="B335" s="6" t="s">
        <v>237</v>
      </c>
      <c r="C335" s="3">
        <v>3</v>
      </c>
      <c r="D335" s="6" t="str">
        <f>_xlfn.XLOOKUP(Table1[[#This Row],[EmployeeID]],Table4[employeeID],Table4[employeeName])</f>
        <v>Janet Leverling</v>
      </c>
      <c r="E335" s="1">
        <v>41816</v>
      </c>
      <c r="F335" s="1">
        <v>41844</v>
      </c>
      <c r="G335" s="1">
        <v>41822</v>
      </c>
      <c r="H335" s="3">
        <f>IF(Table1[[#This Row],[ShippedDate]]="","",IF(Table1[[#This Row],[OrderDate]]="","",Table1[[#This Row],[ShippedDate]]-Table1[[#This Row],[OrderDate]]))</f>
        <v>6</v>
      </c>
      <c r="I335" s="3">
        <v>1</v>
      </c>
      <c r="J335" s="2">
        <v>3.01</v>
      </c>
      <c r="K335" s="2">
        <f>SUMIF(order_details!A:A,Table1[[#This Row],[orderID]],order_details!F:F)</f>
        <v>310</v>
      </c>
      <c r="L335" s="9">
        <f>_xlfn.XLOOKUP(Table1[[#This Row],[orderID]],Table3[orderID],Table3[discount])</f>
        <v>0.2</v>
      </c>
      <c r="M335" s="2">
        <f>SUM(Table1[[#This Row],[Sales]],Table1[[#This Row],[freight]])</f>
        <v>313.01</v>
      </c>
      <c r="N335" s="3">
        <f>_xlfn.XLOOKUP(Table1[[#This Row],[orderID]],Table3[orderID],Table3[quantity])</f>
        <v>50</v>
      </c>
      <c r="O335" s="6" t="str">
        <f>_xlfn.XLOOKUP(Table1[[#This Row],[CustomerID]],customers!A:A,customers!B:B)</f>
        <v>Familia Arquibaldo</v>
      </c>
      <c r="P335" s="6" t="str">
        <f>_xlfn.XLOOKUP(Table1[[#This Row],[shipperID]],Table6[shipperID],Table6[companyName])</f>
        <v>Speedy Express</v>
      </c>
      <c r="Q335">
        <f>YEAR(Table1[[#This Row],[OrderDate]])</f>
        <v>2014</v>
      </c>
      <c r="R335">
        <f>MONTH(Table1[[#This Row],[OrderDate]])</f>
        <v>6</v>
      </c>
      <c r="S335" t="str">
        <f>"Q"&amp;ROUNDUP(Table1[[#This Row],[month]]/3,0)</f>
        <v>Q2</v>
      </c>
      <c r="T335" t="str">
        <f>CONCATENATE(Table1[[#This Row],[year]],"-",Table1[[#This Row],[Quarter]])</f>
        <v>2014-Q2</v>
      </c>
      <c r="U335" s="6" t="str">
        <f>IF(H334="","Pending",IF(Table1[[#This Row],[Days to ship]]&lt;Table1[[#This Row],[RequiredDate]],"On Time","Late"))</f>
        <v>On Time</v>
      </c>
      <c r="V335">
        <f>_xlfn.XLOOKUP(Table1[[#This Row],[orderID]],Table3[orderID],Table3[unitPrice])</f>
        <v>7.75</v>
      </c>
    </row>
    <row r="336" spans="1:22" x14ac:dyDescent="0.45">
      <c r="A336" s="3">
        <v>10582</v>
      </c>
      <c r="B336" s="6" t="s">
        <v>171</v>
      </c>
      <c r="C336" s="3">
        <v>3</v>
      </c>
      <c r="D336" s="6" t="str">
        <f>_xlfn.XLOOKUP(Table1[[#This Row],[EmployeeID]],Table4[employeeID],Table4[employeeName])</f>
        <v>Janet Leverling</v>
      </c>
      <c r="E336" s="1">
        <v>41817</v>
      </c>
      <c r="F336" s="1">
        <v>41845</v>
      </c>
      <c r="G336" s="1">
        <v>41834</v>
      </c>
      <c r="H336" s="3">
        <f>IF(Table1[[#This Row],[ShippedDate]]="","",IF(Table1[[#This Row],[OrderDate]]="","",Table1[[#This Row],[ShippedDate]]-Table1[[#This Row],[OrderDate]]))</f>
        <v>17</v>
      </c>
      <c r="I336" s="3">
        <v>2</v>
      </c>
      <c r="J336" s="2">
        <v>27.71</v>
      </c>
      <c r="K336" s="2">
        <f>SUMIF(order_details!A:A,Table1[[#This Row],[orderID]],order_details!F:F)</f>
        <v>330</v>
      </c>
      <c r="L336" s="9">
        <f>_xlfn.XLOOKUP(Table1[[#This Row],[orderID]],Table3[orderID],Table3[discount])</f>
        <v>0</v>
      </c>
      <c r="M336" s="2">
        <f>SUM(Table1[[#This Row],[Sales]],Table1[[#This Row],[freight]])</f>
        <v>357.71</v>
      </c>
      <c r="N336" s="3">
        <f>_xlfn.XLOOKUP(Table1[[#This Row],[orderID]],Table3[orderID],Table3[quantity])</f>
        <v>4</v>
      </c>
      <c r="O336" s="6" t="str">
        <f>_xlfn.XLOOKUP(Table1[[#This Row],[CustomerID]],customers!A:A,customers!B:B)</f>
        <v>Blauer See Delikatessen</v>
      </c>
      <c r="P336" s="6" t="str">
        <f>_xlfn.XLOOKUP(Table1[[#This Row],[shipperID]],Table6[shipperID],Table6[companyName])</f>
        <v>United Package</v>
      </c>
      <c r="Q336">
        <f>YEAR(Table1[[#This Row],[OrderDate]])</f>
        <v>2014</v>
      </c>
      <c r="R336">
        <f>MONTH(Table1[[#This Row],[OrderDate]])</f>
        <v>6</v>
      </c>
      <c r="S336" t="str">
        <f>"Q"&amp;ROUNDUP(Table1[[#This Row],[month]]/3,0)</f>
        <v>Q2</v>
      </c>
      <c r="T336" t="str">
        <f>CONCATENATE(Table1[[#This Row],[year]],"-",Table1[[#This Row],[Quarter]])</f>
        <v>2014-Q2</v>
      </c>
      <c r="U336" s="6" t="str">
        <f>IF(H335="","Pending",IF(Table1[[#This Row],[Days to ship]]&lt;Table1[[#This Row],[RequiredDate]],"On Time","Late"))</f>
        <v>On Time</v>
      </c>
      <c r="V336">
        <f>_xlfn.XLOOKUP(Table1[[#This Row],[orderID]],Table3[orderID],Table3[unitPrice])</f>
        <v>19.5</v>
      </c>
    </row>
    <row r="337" spans="1:22" x14ac:dyDescent="0.45">
      <c r="A337" s="3">
        <v>10583</v>
      </c>
      <c r="B337" s="6" t="s">
        <v>192</v>
      </c>
      <c r="C337" s="3">
        <v>2</v>
      </c>
      <c r="D337" s="6" t="str">
        <f>_xlfn.XLOOKUP(Table1[[#This Row],[EmployeeID]],Table4[employeeID],Table4[employeeName])</f>
        <v>Andrew Fuller</v>
      </c>
      <c r="E337" s="1">
        <v>41820</v>
      </c>
      <c r="F337" s="1">
        <v>41848</v>
      </c>
      <c r="G337" s="1">
        <v>41824</v>
      </c>
      <c r="H337" s="3">
        <f>IF(Table1[[#This Row],[ShippedDate]]="","",IF(Table1[[#This Row],[OrderDate]]="","",Table1[[#This Row],[ShippedDate]]-Table1[[#This Row],[OrderDate]]))</f>
        <v>4</v>
      </c>
      <c r="I337" s="3">
        <v>2</v>
      </c>
      <c r="J337" s="2">
        <v>7.28</v>
      </c>
      <c r="K337" s="2">
        <f>SUMIF(order_details!A:A,Table1[[#This Row],[orderID]],order_details!F:F)</f>
        <v>2237.5</v>
      </c>
      <c r="L337" s="9">
        <f>_xlfn.XLOOKUP(Table1[[#This Row],[orderID]],Table3[orderID],Table3[discount])</f>
        <v>0</v>
      </c>
      <c r="M337" s="2">
        <f>SUM(Table1[[#This Row],[Sales]],Table1[[#This Row],[freight]])</f>
        <v>2244.7800000000002</v>
      </c>
      <c r="N337" s="3">
        <f>_xlfn.XLOOKUP(Table1[[#This Row],[orderID]],Table3[orderID],Table3[quantity])</f>
        <v>10</v>
      </c>
      <c r="O337" s="6" t="str">
        <f>_xlfn.XLOOKUP(Table1[[#This Row],[CustomerID]],customers!A:A,customers!B:B)</f>
        <v>Wartian Herkku</v>
      </c>
      <c r="P337" s="6" t="str">
        <f>_xlfn.XLOOKUP(Table1[[#This Row],[shipperID]],Table6[shipperID],Table6[companyName])</f>
        <v>United Package</v>
      </c>
      <c r="Q337">
        <f>YEAR(Table1[[#This Row],[OrderDate]])</f>
        <v>2014</v>
      </c>
      <c r="R337">
        <f>MONTH(Table1[[#This Row],[OrderDate]])</f>
        <v>6</v>
      </c>
      <c r="S337" t="str">
        <f>"Q"&amp;ROUNDUP(Table1[[#This Row],[month]]/3,0)</f>
        <v>Q2</v>
      </c>
      <c r="T337" t="str">
        <f>CONCATENATE(Table1[[#This Row],[year]],"-",Table1[[#This Row],[Quarter]])</f>
        <v>2014-Q2</v>
      </c>
      <c r="U337" s="6" t="str">
        <f>IF(H336="","Pending",IF(Table1[[#This Row],[Days to ship]]&lt;Table1[[#This Row],[RequiredDate]],"On Time","Late"))</f>
        <v>On Time</v>
      </c>
      <c r="V337">
        <f>_xlfn.XLOOKUP(Table1[[#This Row],[orderID]],Table3[orderID],Table3[unitPrice])</f>
        <v>123.79</v>
      </c>
    </row>
    <row r="338" spans="1:22" x14ac:dyDescent="0.45">
      <c r="A338" s="3">
        <v>10584</v>
      </c>
      <c r="B338" s="6" t="s">
        <v>231</v>
      </c>
      <c r="C338" s="3">
        <v>4</v>
      </c>
      <c r="D338" s="6" t="str">
        <f>_xlfn.XLOOKUP(Table1[[#This Row],[EmployeeID]],Table4[employeeID],Table4[employeeName])</f>
        <v>Margaret Peacock</v>
      </c>
      <c r="E338" s="1">
        <v>41820</v>
      </c>
      <c r="F338" s="1">
        <v>41848</v>
      </c>
      <c r="G338" s="1">
        <v>41824</v>
      </c>
      <c r="H338" s="3">
        <f>IF(Table1[[#This Row],[ShippedDate]]="","",IF(Table1[[#This Row],[OrderDate]]="","",Table1[[#This Row],[ShippedDate]]-Table1[[#This Row],[OrderDate]]))</f>
        <v>4</v>
      </c>
      <c r="I338" s="3">
        <v>1</v>
      </c>
      <c r="J338" s="2">
        <v>59.14</v>
      </c>
      <c r="K338" s="2">
        <f>SUMIF(order_details!A:A,Table1[[#This Row],[orderID]],order_details!F:F)</f>
        <v>593.75</v>
      </c>
      <c r="L338" s="9">
        <f>_xlfn.XLOOKUP(Table1[[#This Row],[orderID]],Table3[orderID],Table3[discount])</f>
        <v>0.05</v>
      </c>
      <c r="M338" s="2">
        <f>SUM(Table1[[#This Row],[Sales]],Table1[[#This Row],[freight]])</f>
        <v>652.89</v>
      </c>
      <c r="N338" s="3">
        <f>_xlfn.XLOOKUP(Table1[[#This Row],[orderID]],Table3[orderID],Table3[quantity])</f>
        <v>50</v>
      </c>
      <c r="O338" s="6" t="str">
        <f>_xlfn.XLOOKUP(Table1[[#This Row],[CustomerID]],customers!A:A,customers!B:B)</f>
        <v>Blondesddsl père et fils</v>
      </c>
      <c r="P338" s="6" t="str">
        <f>_xlfn.XLOOKUP(Table1[[#This Row],[shipperID]],Table6[shipperID],Table6[companyName])</f>
        <v>Speedy Express</v>
      </c>
      <c r="Q338">
        <f>YEAR(Table1[[#This Row],[OrderDate]])</f>
        <v>2014</v>
      </c>
      <c r="R338">
        <f>MONTH(Table1[[#This Row],[OrderDate]])</f>
        <v>6</v>
      </c>
      <c r="S338" t="str">
        <f>"Q"&amp;ROUNDUP(Table1[[#This Row],[month]]/3,0)</f>
        <v>Q2</v>
      </c>
      <c r="T338" t="str">
        <f>CONCATENATE(Table1[[#This Row],[year]],"-",Table1[[#This Row],[Quarter]])</f>
        <v>2014-Q2</v>
      </c>
      <c r="U338" s="6" t="str">
        <f>IF(H337="","Pending",IF(Table1[[#This Row],[Days to ship]]&lt;Table1[[#This Row],[RequiredDate]],"On Time","Late"))</f>
        <v>On Time</v>
      </c>
      <c r="V338">
        <f>_xlfn.XLOOKUP(Table1[[#This Row],[orderID]],Table3[orderID],Table3[unitPrice])</f>
        <v>12.5</v>
      </c>
    </row>
    <row r="339" spans="1:22" x14ac:dyDescent="0.45">
      <c r="A339" s="3">
        <v>10585</v>
      </c>
      <c r="B339" s="6" t="s">
        <v>219</v>
      </c>
      <c r="C339" s="3">
        <v>7</v>
      </c>
      <c r="D339" s="6" t="str">
        <f>_xlfn.XLOOKUP(Table1[[#This Row],[EmployeeID]],Table4[employeeID],Table4[employeeName])</f>
        <v>Robert King</v>
      </c>
      <c r="E339" s="1">
        <v>41821</v>
      </c>
      <c r="F339" s="1">
        <v>41849</v>
      </c>
      <c r="G339" s="1">
        <v>41830</v>
      </c>
      <c r="H339" s="3">
        <f>IF(Table1[[#This Row],[ShippedDate]]="","",IF(Table1[[#This Row],[OrderDate]]="","",Table1[[#This Row],[ShippedDate]]-Table1[[#This Row],[OrderDate]]))</f>
        <v>9</v>
      </c>
      <c r="I339" s="3">
        <v>1</v>
      </c>
      <c r="J339" s="2">
        <v>13.41</v>
      </c>
      <c r="K339" s="2">
        <f>SUMIF(order_details!A:A,Table1[[#This Row],[orderID]],order_details!F:F)</f>
        <v>142.5</v>
      </c>
      <c r="L339" s="9">
        <f>_xlfn.XLOOKUP(Table1[[#This Row],[orderID]],Table3[orderID],Table3[discount])</f>
        <v>0</v>
      </c>
      <c r="M339" s="2">
        <f>SUM(Table1[[#This Row],[Sales]],Table1[[#This Row],[freight]])</f>
        <v>155.91</v>
      </c>
      <c r="N339" s="3">
        <f>_xlfn.XLOOKUP(Table1[[#This Row],[orderID]],Table3[orderID],Table3[quantity])</f>
        <v>15</v>
      </c>
      <c r="O339" s="6" t="str">
        <f>_xlfn.XLOOKUP(Table1[[#This Row],[CustomerID]],customers!A:A,customers!B:B)</f>
        <v>Wellington Importadora</v>
      </c>
      <c r="P339" s="6" t="str">
        <f>_xlfn.XLOOKUP(Table1[[#This Row],[shipperID]],Table6[shipperID],Table6[companyName])</f>
        <v>Speedy Express</v>
      </c>
      <c r="Q339">
        <f>YEAR(Table1[[#This Row],[OrderDate]])</f>
        <v>2014</v>
      </c>
      <c r="R339">
        <f>MONTH(Table1[[#This Row],[OrderDate]])</f>
        <v>7</v>
      </c>
      <c r="S339" t="str">
        <f>"Q"&amp;ROUNDUP(Table1[[#This Row],[month]]/3,0)</f>
        <v>Q3</v>
      </c>
      <c r="T339" t="str">
        <f>CONCATENATE(Table1[[#This Row],[year]],"-",Table1[[#This Row],[Quarter]])</f>
        <v>2014-Q3</v>
      </c>
      <c r="U339" s="6" t="str">
        <f>IF(H338="","Pending",IF(Table1[[#This Row],[Days to ship]]&lt;Table1[[#This Row],[RequiredDate]],"On Time","Late"))</f>
        <v>On Time</v>
      </c>
      <c r="V339">
        <f>_xlfn.XLOOKUP(Table1[[#This Row],[orderID]],Table3[orderID],Table3[unitPrice])</f>
        <v>9.5</v>
      </c>
    </row>
    <row r="340" spans="1:22" x14ac:dyDescent="0.45">
      <c r="A340" s="3">
        <v>10586</v>
      </c>
      <c r="B340" s="6" t="s">
        <v>167</v>
      </c>
      <c r="C340" s="3">
        <v>9</v>
      </c>
      <c r="D340" s="6" t="str">
        <f>_xlfn.XLOOKUP(Table1[[#This Row],[EmployeeID]],Table4[employeeID],Table4[employeeName])</f>
        <v>Anne Dodsworth</v>
      </c>
      <c r="E340" s="1">
        <v>41822</v>
      </c>
      <c r="F340" s="1">
        <v>41850</v>
      </c>
      <c r="G340" s="1">
        <v>41829</v>
      </c>
      <c r="H340" s="3">
        <f>IF(Table1[[#This Row],[ShippedDate]]="","",IF(Table1[[#This Row],[OrderDate]]="","",Table1[[#This Row],[ShippedDate]]-Table1[[#This Row],[OrderDate]]))</f>
        <v>7</v>
      </c>
      <c r="I340" s="3">
        <v>1</v>
      </c>
      <c r="J340" s="2">
        <v>0.48</v>
      </c>
      <c r="K340" s="2">
        <f>SUMIF(order_details!A:A,Table1[[#This Row],[orderID]],order_details!F:F)</f>
        <v>23.8</v>
      </c>
      <c r="L340" s="9">
        <f>_xlfn.XLOOKUP(Table1[[#This Row],[orderID]],Table3[orderID],Table3[discount])</f>
        <v>0.15</v>
      </c>
      <c r="M340" s="2">
        <f>SUM(Table1[[#This Row],[Sales]],Table1[[#This Row],[freight]])</f>
        <v>24.28</v>
      </c>
      <c r="N340" s="3">
        <f>_xlfn.XLOOKUP(Table1[[#This Row],[orderID]],Table3[orderID],Table3[quantity])</f>
        <v>4</v>
      </c>
      <c r="O340" s="6" t="str">
        <f>_xlfn.XLOOKUP(Table1[[#This Row],[CustomerID]],customers!A:A,customers!B:B)</f>
        <v>Reggiani Caseifici</v>
      </c>
      <c r="P340" s="6" t="str">
        <f>_xlfn.XLOOKUP(Table1[[#This Row],[shipperID]],Table6[shipperID],Table6[companyName])</f>
        <v>Speedy Express</v>
      </c>
      <c r="Q340">
        <f>YEAR(Table1[[#This Row],[OrderDate]])</f>
        <v>2014</v>
      </c>
      <c r="R340">
        <f>MONTH(Table1[[#This Row],[OrderDate]])</f>
        <v>7</v>
      </c>
      <c r="S340" t="str">
        <f>"Q"&amp;ROUNDUP(Table1[[#This Row],[month]]/3,0)</f>
        <v>Q3</v>
      </c>
      <c r="T340" t="str">
        <f>CONCATENATE(Table1[[#This Row],[year]],"-",Table1[[#This Row],[Quarter]])</f>
        <v>2014-Q3</v>
      </c>
      <c r="U340" s="6" t="str">
        <f>IF(H339="","Pending",IF(Table1[[#This Row],[Days to ship]]&lt;Table1[[#This Row],[RequiredDate]],"On Time","Late"))</f>
        <v>On Time</v>
      </c>
      <c r="V340">
        <f>_xlfn.XLOOKUP(Table1[[#This Row],[orderID]],Table3[orderID],Table3[unitPrice])</f>
        <v>7</v>
      </c>
    </row>
    <row r="341" spans="1:22" x14ac:dyDescent="0.45">
      <c r="A341" s="3">
        <v>10587</v>
      </c>
      <c r="B341" s="6" t="s">
        <v>209</v>
      </c>
      <c r="C341" s="3">
        <v>1</v>
      </c>
      <c r="D341" s="6" t="str">
        <f>_xlfn.XLOOKUP(Table1[[#This Row],[EmployeeID]],Table4[employeeID],Table4[employeeName])</f>
        <v>Nancy Davolio</v>
      </c>
      <c r="E341" s="1">
        <v>41822</v>
      </c>
      <c r="F341" s="1">
        <v>41850</v>
      </c>
      <c r="G341" s="1">
        <v>41829</v>
      </c>
      <c r="H341" s="3">
        <f>IF(Table1[[#This Row],[ShippedDate]]="","",IF(Table1[[#This Row],[OrderDate]]="","",Table1[[#This Row],[ShippedDate]]-Table1[[#This Row],[OrderDate]]))</f>
        <v>7</v>
      </c>
      <c r="I341" s="3">
        <v>1</v>
      </c>
      <c r="J341" s="2">
        <v>62.52</v>
      </c>
      <c r="K341" s="2">
        <f>SUMIF(order_details!A:A,Table1[[#This Row],[orderID]],order_details!F:F)</f>
        <v>807.38</v>
      </c>
      <c r="L341" s="9">
        <f>_xlfn.XLOOKUP(Table1[[#This Row],[orderID]],Table3[orderID],Table3[discount])</f>
        <v>0</v>
      </c>
      <c r="M341" s="2">
        <f>SUM(Table1[[#This Row],[Sales]],Table1[[#This Row],[freight]])</f>
        <v>869.9</v>
      </c>
      <c r="N341" s="3">
        <f>_xlfn.XLOOKUP(Table1[[#This Row],[orderID]],Table3[orderID],Table3[quantity])</f>
        <v>6</v>
      </c>
      <c r="O341" s="6" t="str">
        <f>_xlfn.XLOOKUP(Table1[[#This Row],[CustomerID]],customers!A:A,customers!B:B)</f>
        <v>Que Delícia</v>
      </c>
      <c r="P341" s="6" t="str">
        <f>_xlfn.XLOOKUP(Table1[[#This Row],[shipperID]],Table6[shipperID],Table6[companyName])</f>
        <v>Speedy Express</v>
      </c>
      <c r="Q341">
        <f>YEAR(Table1[[#This Row],[OrderDate]])</f>
        <v>2014</v>
      </c>
      <c r="R341">
        <f>MONTH(Table1[[#This Row],[OrderDate]])</f>
        <v>7</v>
      </c>
      <c r="S341" t="str">
        <f>"Q"&amp;ROUNDUP(Table1[[#This Row],[month]]/3,0)</f>
        <v>Q3</v>
      </c>
      <c r="T341" t="str">
        <f>CONCATENATE(Table1[[#This Row],[year]],"-",Table1[[#This Row],[Quarter]])</f>
        <v>2014-Q3</v>
      </c>
      <c r="U341" s="6" t="str">
        <f>IF(H340="","Pending",IF(Table1[[#This Row],[Days to ship]]&lt;Table1[[#This Row],[RequiredDate]],"On Time","Late"))</f>
        <v>On Time</v>
      </c>
      <c r="V341">
        <f>_xlfn.XLOOKUP(Table1[[#This Row],[orderID]],Table3[orderID],Table3[unitPrice])</f>
        <v>31.23</v>
      </c>
    </row>
    <row r="342" spans="1:22" x14ac:dyDescent="0.45">
      <c r="A342" s="3">
        <v>10588</v>
      </c>
      <c r="B342" s="6" t="s">
        <v>194</v>
      </c>
      <c r="C342" s="3">
        <v>2</v>
      </c>
      <c r="D342" s="6" t="str">
        <f>_xlfn.XLOOKUP(Table1[[#This Row],[EmployeeID]],Table4[employeeID],Table4[employeeName])</f>
        <v>Andrew Fuller</v>
      </c>
      <c r="E342" s="1">
        <v>41823</v>
      </c>
      <c r="F342" s="1">
        <v>41851</v>
      </c>
      <c r="G342" s="1">
        <v>41830</v>
      </c>
      <c r="H342" s="3">
        <f>IF(Table1[[#This Row],[ShippedDate]]="","",IF(Table1[[#This Row],[OrderDate]]="","",Table1[[#This Row],[ShippedDate]]-Table1[[#This Row],[OrderDate]]))</f>
        <v>7</v>
      </c>
      <c r="I342" s="3">
        <v>3</v>
      </c>
      <c r="J342" s="2">
        <v>194.67</v>
      </c>
      <c r="K342" s="2">
        <f>SUMIF(order_details!A:A,Table1[[#This Row],[orderID]],order_details!F:F)</f>
        <v>3120</v>
      </c>
      <c r="L342" s="9">
        <f>_xlfn.XLOOKUP(Table1[[#This Row],[orderID]],Table3[orderID],Table3[discount])</f>
        <v>0.2</v>
      </c>
      <c r="M342" s="2">
        <f>SUM(Table1[[#This Row],[Sales]],Table1[[#This Row],[freight]])</f>
        <v>3314.67</v>
      </c>
      <c r="N342" s="3">
        <f>_xlfn.XLOOKUP(Table1[[#This Row],[orderID]],Table3[orderID],Table3[quantity])</f>
        <v>40</v>
      </c>
      <c r="O342" s="6" t="str">
        <f>_xlfn.XLOOKUP(Table1[[#This Row],[CustomerID]],customers!A:A,customers!B:B)</f>
        <v>QUICK-Stop</v>
      </c>
      <c r="P342" s="6" t="str">
        <f>_xlfn.XLOOKUP(Table1[[#This Row],[shipperID]],Table6[shipperID],Table6[companyName])</f>
        <v>Federal Shipping</v>
      </c>
      <c r="Q342">
        <f>YEAR(Table1[[#This Row],[OrderDate]])</f>
        <v>2014</v>
      </c>
      <c r="R342">
        <f>MONTH(Table1[[#This Row],[OrderDate]])</f>
        <v>7</v>
      </c>
      <c r="S342" t="str">
        <f>"Q"&amp;ROUNDUP(Table1[[#This Row],[month]]/3,0)</f>
        <v>Q3</v>
      </c>
      <c r="T342" t="str">
        <f>CONCATENATE(Table1[[#This Row],[year]],"-",Table1[[#This Row],[Quarter]])</f>
        <v>2014-Q3</v>
      </c>
      <c r="U342" s="6" t="str">
        <f>IF(H341="","Pending",IF(Table1[[#This Row],[Days to ship]]&lt;Table1[[#This Row],[RequiredDate]],"On Time","Late"))</f>
        <v>On Time</v>
      </c>
      <c r="V342">
        <f>_xlfn.XLOOKUP(Table1[[#This Row],[orderID]],Table3[orderID],Table3[unitPrice])</f>
        <v>62.5</v>
      </c>
    </row>
    <row r="343" spans="1:22" x14ac:dyDescent="0.45">
      <c r="A343" s="3">
        <v>10589</v>
      </c>
      <c r="B343" s="6" t="s">
        <v>168</v>
      </c>
      <c r="C343" s="3">
        <v>8</v>
      </c>
      <c r="D343" s="6" t="str">
        <f>_xlfn.XLOOKUP(Table1[[#This Row],[EmployeeID]],Table4[employeeID],Table4[employeeName])</f>
        <v>Laura Callahan</v>
      </c>
      <c r="E343" s="1">
        <v>41824</v>
      </c>
      <c r="F343" s="1">
        <v>41852</v>
      </c>
      <c r="G343" s="1">
        <v>41834</v>
      </c>
      <c r="H343" s="3">
        <f>IF(Table1[[#This Row],[ShippedDate]]="","",IF(Table1[[#This Row],[OrderDate]]="","",Table1[[#This Row],[ShippedDate]]-Table1[[#This Row],[OrderDate]]))</f>
        <v>10</v>
      </c>
      <c r="I343" s="3">
        <v>2</v>
      </c>
      <c r="J343" s="2">
        <v>4.42</v>
      </c>
      <c r="K343" s="2">
        <f>SUMIF(order_details!A:A,Table1[[#This Row],[orderID]],order_details!F:F)</f>
        <v>72</v>
      </c>
      <c r="L343" s="9">
        <f>_xlfn.XLOOKUP(Table1[[#This Row],[orderID]],Table3[orderID],Table3[discount])</f>
        <v>0</v>
      </c>
      <c r="M343" s="2">
        <f>SUM(Table1[[#This Row],[Sales]],Table1[[#This Row],[freight]])</f>
        <v>76.42</v>
      </c>
      <c r="N343" s="3">
        <f>_xlfn.XLOOKUP(Table1[[#This Row],[orderID]],Table3[orderID],Table3[quantity])</f>
        <v>4</v>
      </c>
      <c r="O343" s="6" t="str">
        <f>_xlfn.XLOOKUP(Table1[[#This Row],[CustomerID]],customers!A:A,customers!B:B)</f>
        <v>Great Lakes Food Market</v>
      </c>
      <c r="P343" s="6" t="str">
        <f>_xlfn.XLOOKUP(Table1[[#This Row],[shipperID]],Table6[shipperID],Table6[companyName])</f>
        <v>United Package</v>
      </c>
      <c r="Q343">
        <f>YEAR(Table1[[#This Row],[OrderDate]])</f>
        <v>2014</v>
      </c>
      <c r="R343">
        <f>MONTH(Table1[[#This Row],[OrderDate]])</f>
        <v>7</v>
      </c>
      <c r="S343" t="str">
        <f>"Q"&amp;ROUNDUP(Table1[[#This Row],[month]]/3,0)</f>
        <v>Q3</v>
      </c>
      <c r="T343" t="str">
        <f>CONCATENATE(Table1[[#This Row],[year]],"-",Table1[[#This Row],[Quarter]])</f>
        <v>2014-Q3</v>
      </c>
      <c r="U343" s="6" t="str">
        <f>IF(H342="","Pending",IF(Table1[[#This Row],[Days to ship]]&lt;Table1[[#This Row],[RequiredDate]],"On Time","Late"))</f>
        <v>On Time</v>
      </c>
      <c r="V343">
        <f>_xlfn.XLOOKUP(Table1[[#This Row],[orderID]],Table3[orderID],Table3[unitPrice])</f>
        <v>18</v>
      </c>
    </row>
    <row r="344" spans="1:22" x14ac:dyDescent="0.45">
      <c r="A344" s="3">
        <v>10590</v>
      </c>
      <c r="B344" s="6" t="s">
        <v>238</v>
      </c>
      <c r="C344" s="3">
        <v>4</v>
      </c>
      <c r="D344" s="6" t="str">
        <f>_xlfn.XLOOKUP(Table1[[#This Row],[EmployeeID]],Table4[employeeID],Table4[employeeName])</f>
        <v>Margaret Peacock</v>
      </c>
      <c r="E344" s="1">
        <v>41827</v>
      </c>
      <c r="F344" s="1">
        <v>41855</v>
      </c>
      <c r="G344" s="1">
        <v>41834</v>
      </c>
      <c r="H344" s="3">
        <f>IF(Table1[[#This Row],[ShippedDate]]="","",IF(Table1[[#This Row],[OrderDate]]="","",Table1[[#This Row],[ShippedDate]]-Table1[[#This Row],[OrderDate]]))</f>
        <v>7</v>
      </c>
      <c r="I344" s="3">
        <v>3</v>
      </c>
      <c r="J344" s="2">
        <v>44.77</v>
      </c>
      <c r="K344" s="2">
        <f>SUMIF(order_details!A:A,Table1[[#This Row],[orderID]],order_details!F:F)</f>
        <v>1101</v>
      </c>
      <c r="L344" s="9">
        <f>_xlfn.XLOOKUP(Table1[[#This Row],[orderID]],Table3[orderID],Table3[discount])</f>
        <v>0</v>
      </c>
      <c r="M344" s="2">
        <f>SUM(Table1[[#This Row],[Sales]],Table1[[#This Row],[freight]])</f>
        <v>1145.77</v>
      </c>
      <c r="N344" s="3">
        <f>_xlfn.XLOOKUP(Table1[[#This Row],[orderID]],Table3[orderID],Table3[quantity])</f>
        <v>20</v>
      </c>
      <c r="O344" s="6" t="str">
        <f>_xlfn.XLOOKUP(Table1[[#This Row],[CustomerID]],customers!A:A,customers!B:B)</f>
        <v>Mère Paillarde</v>
      </c>
      <c r="P344" s="6" t="str">
        <f>_xlfn.XLOOKUP(Table1[[#This Row],[shipperID]],Table6[shipperID],Table6[companyName])</f>
        <v>Federal Shipping</v>
      </c>
      <c r="Q344">
        <f>YEAR(Table1[[#This Row],[OrderDate]])</f>
        <v>2014</v>
      </c>
      <c r="R344">
        <f>MONTH(Table1[[#This Row],[OrderDate]])</f>
        <v>7</v>
      </c>
      <c r="S344" t="str">
        <f>"Q"&amp;ROUNDUP(Table1[[#This Row],[month]]/3,0)</f>
        <v>Q3</v>
      </c>
      <c r="T344" t="str">
        <f>CONCATENATE(Table1[[#This Row],[year]],"-",Table1[[#This Row],[Quarter]])</f>
        <v>2014-Q3</v>
      </c>
      <c r="U344" s="6" t="str">
        <f>IF(H343="","Pending",IF(Table1[[#This Row],[Days to ship]]&lt;Table1[[#This Row],[RequiredDate]],"On Time","Late"))</f>
        <v>On Time</v>
      </c>
      <c r="V344">
        <f>_xlfn.XLOOKUP(Table1[[#This Row],[orderID]],Table3[orderID],Table3[unitPrice])</f>
        <v>18</v>
      </c>
    </row>
    <row r="345" spans="1:22" x14ac:dyDescent="0.45">
      <c r="A345" s="3">
        <v>10591</v>
      </c>
      <c r="B345" s="6" t="s">
        <v>207</v>
      </c>
      <c r="C345" s="3">
        <v>1</v>
      </c>
      <c r="D345" s="6" t="str">
        <f>_xlfn.XLOOKUP(Table1[[#This Row],[EmployeeID]],Table4[employeeID],Table4[employeeName])</f>
        <v>Nancy Davolio</v>
      </c>
      <c r="E345" s="1">
        <v>41827</v>
      </c>
      <c r="F345" s="1">
        <v>41841</v>
      </c>
      <c r="G345" s="1">
        <v>41836</v>
      </c>
      <c r="H345" s="3">
        <f>IF(Table1[[#This Row],[ShippedDate]]="","",IF(Table1[[#This Row],[OrderDate]]="","",Table1[[#This Row],[ShippedDate]]-Table1[[#This Row],[OrderDate]]))</f>
        <v>9</v>
      </c>
      <c r="I345" s="3">
        <v>1</v>
      </c>
      <c r="J345" s="2">
        <v>55.92</v>
      </c>
      <c r="K345" s="2">
        <f>SUMIF(order_details!A:A,Table1[[#This Row],[orderID]],order_details!F:F)</f>
        <v>812.5</v>
      </c>
      <c r="L345" s="9">
        <f>_xlfn.XLOOKUP(Table1[[#This Row],[orderID]],Table3[orderID],Table3[discount])</f>
        <v>0</v>
      </c>
      <c r="M345" s="2">
        <f>SUM(Table1[[#This Row],[Sales]],Table1[[#This Row],[freight]])</f>
        <v>868.42</v>
      </c>
      <c r="N345" s="3">
        <f>_xlfn.XLOOKUP(Table1[[#This Row],[orderID]],Table3[orderID],Table3[quantity])</f>
        <v>14</v>
      </c>
      <c r="O345" s="6" t="str">
        <f>_xlfn.XLOOKUP(Table1[[#This Row],[CustomerID]],customers!A:A,customers!B:B)</f>
        <v>Vaffeljernet</v>
      </c>
      <c r="P345" s="6" t="str">
        <f>_xlfn.XLOOKUP(Table1[[#This Row],[shipperID]],Table6[shipperID],Table6[companyName])</f>
        <v>Speedy Express</v>
      </c>
      <c r="Q345">
        <f>YEAR(Table1[[#This Row],[OrderDate]])</f>
        <v>2014</v>
      </c>
      <c r="R345">
        <f>MONTH(Table1[[#This Row],[OrderDate]])</f>
        <v>7</v>
      </c>
      <c r="S345" t="str">
        <f>"Q"&amp;ROUNDUP(Table1[[#This Row],[month]]/3,0)</f>
        <v>Q3</v>
      </c>
      <c r="T345" t="str">
        <f>CONCATENATE(Table1[[#This Row],[year]],"-",Table1[[#This Row],[Quarter]])</f>
        <v>2014-Q3</v>
      </c>
      <c r="U345" s="6" t="str">
        <f>IF(H344="","Pending",IF(Table1[[#This Row],[Days to ship]]&lt;Table1[[#This Row],[RequiredDate]],"On Time","Late"))</f>
        <v>On Time</v>
      </c>
      <c r="V345">
        <f>_xlfn.XLOOKUP(Table1[[#This Row],[orderID]],Table3[orderID],Table3[unitPrice])</f>
        <v>10</v>
      </c>
    </row>
    <row r="346" spans="1:22" x14ac:dyDescent="0.45">
      <c r="A346" s="3">
        <v>10592</v>
      </c>
      <c r="B346" s="6" t="s">
        <v>160</v>
      </c>
      <c r="C346" s="3">
        <v>3</v>
      </c>
      <c r="D346" s="6" t="str">
        <f>_xlfn.XLOOKUP(Table1[[#This Row],[EmployeeID]],Table4[employeeID],Table4[employeeName])</f>
        <v>Janet Leverling</v>
      </c>
      <c r="E346" s="1">
        <v>41828</v>
      </c>
      <c r="F346" s="1">
        <v>41856</v>
      </c>
      <c r="G346" s="1">
        <v>41836</v>
      </c>
      <c r="H346" s="3">
        <f>IF(Table1[[#This Row],[ShippedDate]]="","",IF(Table1[[#This Row],[OrderDate]]="","",Table1[[#This Row],[ShippedDate]]-Table1[[#This Row],[OrderDate]]))</f>
        <v>8</v>
      </c>
      <c r="I346" s="3">
        <v>1</v>
      </c>
      <c r="J346" s="2">
        <v>32.1</v>
      </c>
      <c r="K346" s="2">
        <f>SUMIF(order_details!A:A,Table1[[#This Row],[orderID]],order_details!F:F)</f>
        <v>516.46749999999997</v>
      </c>
      <c r="L346" s="9">
        <f>_xlfn.XLOOKUP(Table1[[#This Row],[orderID]],Table3[orderID],Table3[discount])</f>
        <v>0.05</v>
      </c>
      <c r="M346" s="2">
        <f>SUM(Table1[[#This Row],[Sales]],Table1[[#This Row],[freight]])</f>
        <v>548.5675</v>
      </c>
      <c r="N346" s="3">
        <f>_xlfn.XLOOKUP(Table1[[#This Row],[orderID]],Table3[orderID],Table3[quantity])</f>
        <v>25</v>
      </c>
      <c r="O346" s="6" t="str">
        <f>_xlfn.XLOOKUP(Table1[[#This Row],[CustomerID]],customers!A:A,customers!B:B)</f>
        <v>Lehmanns Marktstand</v>
      </c>
      <c r="P346" s="6" t="str">
        <f>_xlfn.XLOOKUP(Table1[[#This Row],[shipperID]],Table6[shipperID],Table6[companyName])</f>
        <v>Speedy Express</v>
      </c>
      <c r="Q346">
        <f>YEAR(Table1[[#This Row],[OrderDate]])</f>
        <v>2014</v>
      </c>
      <c r="R346">
        <f>MONTH(Table1[[#This Row],[OrderDate]])</f>
        <v>7</v>
      </c>
      <c r="S346" t="str">
        <f>"Q"&amp;ROUNDUP(Table1[[#This Row],[month]]/3,0)</f>
        <v>Q3</v>
      </c>
      <c r="T346" t="str">
        <f>CONCATENATE(Table1[[#This Row],[year]],"-",Table1[[#This Row],[Quarter]])</f>
        <v>2014-Q3</v>
      </c>
      <c r="U346" s="6" t="str">
        <f>IF(H345="","Pending",IF(Table1[[#This Row],[Days to ship]]&lt;Table1[[#This Row],[RequiredDate]],"On Time","Late"))</f>
        <v>On Time</v>
      </c>
      <c r="V346">
        <f>_xlfn.XLOOKUP(Table1[[#This Row],[orderID]],Table3[orderID],Table3[unitPrice])</f>
        <v>15.5</v>
      </c>
    </row>
    <row r="347" spans="1:22" x14ac:dyDescent="0.45">
      <c r="A347" s="3">
        <v>10593</v>
      </c>
      <c r="B347" s="6" t="s">
        <v>160</v>
      </c>
      <c r="C347" s="3">
        <v>7</v>
      </c>
      <c r="D347" s="6" t="str">
        <f>_xlfn.XLOOKUP(Table1[[#This Row],[EmployeeID]],Table4[employeeID],Table4[employeeName])</f>
        <v>Robert King</v>
      </c>
      <c r="E347" s="1">
        <v>41829</v>
      </c>
      <c r="F347" s="1">
        <v>41857</v>
      </c>
      <c r="G347" s="1">
        <v>41864</v>
      </c>
      <c r="H347" s="3">
        <f>IF(Table1[[#This Row],[ShippedDate]]="","",IF(Table1[[#This Row],[OrderDate]]="","",Table1[[#This Row],[ShippedDate]]-Table1[[#This Row],[OrderDate]]))</f>
        <v>35</v>
      </c>
      <c r="I347" s="3">
        <v>2</v>
      </c>
      <c r="J347" s="2">
        <v>174.2</v>
      </c>
      <c r="K347" s="2">
        <f>SUMIF(order_details!A:A,Table1[[#This Row],[orderID]],order_details!F:F)</f>
        <v>1994.4</v>
      </c>
      <c r="L347" s="9">
        <f>_xlfn.XLOOKUP(Table1[[#This Row],[orderID]],Table3[orderID],Table3[discount])</f>
        <v>0.2</v>
      </c>
      <c r="M347" s="2">
        <f>SUM(Table1[[#This Row],[Sales]],Table1[[#This Row],[freight]])</f>
        <v>2168.6</v>
      </c>
      <c r="N347" s="3">
        <f>_xlfn.XLOOKUP(Table1[[#This Row],[orderID]],Table3[orderID],Table3[quantity])</f>
        <v>21</v>
      </c>
      <c r="O347" s="6" t="str">
        <f>_xlfn.XLOOKUP(Table1[[#This Row],[CustomerID]],customers!A:A,customers!B:B)</f>
        <v>Lehmanns Marktstand</v>
      </c>
      <c r="P347" s="6" t="str">
        <f>_xlfn.XLOOKUP(Table1[[#This Row],[shipperID]],Table6[shipperID],Table6[companyName])</f>
        <v>United Package</v>
      </c>
      <c r="Q347">
        <f>YEAR(Table1[[#This Row],[OrderDate]])</f>
        <v>2014</v>
      </c>
      <c r="R347">
        <f>MONTH(Table1[[#This Row],[OrderDate]])</f>
        <v>7</v>
      </c>
      <c r="S347" t="str">
        <f>"Q"&amp;ROUNDUP(Table1[[#This Row],[month]]/3,0)</f>
        <v>Q3</v>
      </c>
      <c r="T347" t="str">
        <f>CONCATENATE(Table1[[#This Row],[year]],"-",Table1[[#This Row],[Quarter]])</f>
        <v>2014-Q3</v>
      </c>
      <c r="U347" s="6" t="str">
        <f>IF(H346="","Pending",IF(Table1[[#This Row],[Days to ship]]&lt;Table1[[#This Row],[RequiredDate]],"On Time","Late"))</f>
        <v>On Time</v>
      </c>
      <c r="V347">
        <f>_xlfn.XLOOKUP(Table1[[#This Row],[orderID]],Table3[orderID],Table3[unitPrice])</f>
        <v>81</v>
      </c>
    </row>
    <row r="348" spans="1:22" x14ac:dyDescent="0.45">
      <c r="A348" s="3">
        <v>10594</v>
      </c>
      <c r="B348" s="6" t="s">
        <v>190</v>
      </c>
      <c r="C348" s="3">
        <v>3</v>
      </c>
      <c r="D348" s="6" t="str">
        <f>_xlfn.XLOOKUP(Table1[[#This Row],[EmployeeID]],Table4[employeeID],Table4[employeeName])</f>
        <v>Janet Leverling</v>
      </c>
      <c r="E348" s="1">
        <v>41829</v>
      </c>
      <c r="F348" s="1">
        <v>41857</v>
      </c>
      <c r="G348" s="1">
        <v>41836</v>
      </c>
      <c r="H348" s="3">
        <f>IF(Table1[[#This Row],[ShippedDate]]="","",IF(Table1[[#This Row],[OrderDate]]="","",Table1[[#This Row],[ShippedDate]]-Table1[[#This Row],[OrderDate]]))</f>
        <v>7</v>
      </c>
      <c r="I348" s="3">
        <v>2</v>
      </c>
      <c r="J348" s="2">
        <v>5.24</v>
      </c>
      <c r="K348" s="2">
        <f>SUMIF(order_details!A:A,Table1[[#This Row],[orderID]],order_details!F:F)</f>
        <v>565.5</v>
      </c>
      <c r="L348" s="9">
        <f>_xlfn.XLOOKUP(Table1[[#This Row],[orderID]],Table3[orderID],Table3[discount])</f>
        <v>0</v>
      </c>
      <c r="M348" s="2">
        <f>SUM(Table1[[#This Row],[Sales]],Table1[[#This Row],[freight]])</f>
        <v>570.74</v>
      </c>
      <c r="N348" s="3">
        <f>_xlfn.XLOOKUP(Table1[[#This Row],[orderID]],Table3[orderID],Table3[quantity])</f>
        <v>24</v>
      </c>
      <c r="O348" s="6" t="str">
        <f>_xlfn.XLOOKUP(Table1[[#This Row],[CustomerID]],customers!A:A,customers!B:B)</f>
        <v>Old World Delicatessen</v>
      </c>
      <c r="P348" s="6" t="str">
        <f>_xlfn.XLOOKUP(Table1[[#This Row],[shipperID]],Table6[shipperID],Table6[companyName])</f>
        <v>United Package</v>
      </c>
      <c r="Q348">
        <f>YEAR(Table1[[#This Row],[OrderDate]])</f>
        <v>2014</v>
      </c>
      <c r="R348">
        <f>MONTH(Table1[[#This Row],[OrderDate]])</f>
        <v>7</v>
      </c>
      <c r="S348" t="str">
        <f>"Q"&amp;ROUNDUP(Table1[[#This Row],[month]]/3,0)</f>
        <v>Q3</v>
      </c>
      <c r="T348" t="str">
        <f>CONCATENATE(Table1[[#This Row],[year]],"-",Table1[[#This Row],[Quarter]])</f>
        <v>2014-Q3</v>
      </c>
      <c r="U348" s="6" t="str">
        <f>IF(H347="","Pending",IF(Table1[[#This Row],[Days to ship]]&lt;Table1[[#This Row],[RequiredDate]],"On Time","Late"))</f>
        <v>On Time</v>
      </c>
      <c r="V348">
        <f>_xlfn.XLOOKUP(Table1[[#This Row],[orderID]],Table3[orderID],Table3[unitPrice])</f>
        <v>7</v>
      </c>
    </row>
    <row r="349" spans="1:22" x14ac:dyDescent="0.45">
      <c r="A349" s="3">
        <v>10595</v>
      </c>
      <c r="B349" s="6" t="s">
        <v>158</v>
      </c>
      <c r="C349" s="3">
        <v>2</v>
      </c>
      <c r="D349" s="6" t="str">
        <f>_xlfn.XLOOKUP(Table1[[#This Row],[EmployeeID]],Table4[employeeID],Table4[employeeName])</f>
        <v>Andrew Fuller</v>
      </c>
      <c r="E349" s="1">
        <v>41830</v>
      </c>
      <c r="F349" s="1">
        <v>41858</v>
      </c>
      <c r="G349" s="1">
        <v>41834</v>
      </c>
      <c r="H349" s="3">
        <f>IF(Table1[[#This Row],[ShippedDate]]="","",IF(Table1[[#This Row],[OrderDate]]="","",Table1[[#This Row],[ShippedDate]]-Table1[[#This Row],[OrderDate]]))</f>
        <v>4</v>
      </c>
      <c r="I349" s="3">
        <v>1</v>
      </c>
      <c r="J349" s="2">
        <v>96.78</v>
      </c>
      <c r="K349" s="2">
        <f>SUMIF(order_details!A:A,Table1[[#This Row],[orderID]],order_details!F:F)</f>
        <v>4725</v>
      </c>
      <c r="L349" s="9">
        <f>_xlfn.XLOOKUP(Table1[[#This Row],[orderID]],Table3[orderID],Table3[discount])</f>
        <v>0.25</v>
      </c>
      <c r="M349" s="2">
        <f>SUM(Table1[[#This Row],[Sales]],Table1[[#This Row],[freight]])</f>
        <v>4821.78</v>
      </c>
      <c r="N349" s="3">
        <f>_xlfn.XLOOKUP(Table1[[#This Row],[orderID]],Table3[orderID],Table3[quantity])</f>
        <v>30</v>
      </c>
      <c r="O349" s="6" t="str">
        <f>_xlfn.XLOOKUP(Table1[[#This Row],[CustomerID]],customers!A:A,customers!B:B)</f>
        <v>Ernst Handel</v>
      </c>
      <c r="P349" s="6" t="str">
        <f>_xlfn.XLOOKUP(Table1[[#This Row],[shipperID]],Table6[shipperID],Table6[companyName])</f>
        <v>Speedy Express</v>
      </c>
      <c r="Q349">
        <f>YEAR(Table1[[#This Row],[OrderDate]])</f>
        <v>2014</v>
      </c>
      <c r="R349">
        <f>MONTH(Table1[[#This Row],[OrderDate]])</f>
        <v>7</v>
      </c>
      <c r="S349" t="str">
        <f>"Q"&amp;ROUNDUP(Table1[[#This Row],[month]]/3,0)</f>
        <v>Q3</v>
      </c>
      <c r="T349" t="str">
        <f>CONCATENATE(Table1[[#This Row],[year]],"-",Table1[[#This Row],[Quarter]])</f>
        <v>2014-Q3</v>
      </c>
      <c r="U349" s="6" t="str">
        <f>IF(H348="","Pending",IF(Table1[[#This Row],[Days to ship]]&lt;Table1[[#This Row],[RequiredDate]],"On Time","Late"))</f>
        <v>On Time</v>
      </c>
      <c r="V349">
        <f>_xlfn.XLOOKUP(Table1[[#This Row],[orderID]],Table3[orderID],Table3[unitPrice])</f>
        <v>18</v>
      </c>
    </row>
    <row r="350" spans="1:22" x14ac:dyDescent="0.45">
      <c r="A350" s="3">
        <v>10596</v>
      </c>
      <c r="B350" s="6" t="s">
        <v>164</v>
      </c>
      <c r="C350" s="3">
        <v>8</v>
      </c>
      <c r="D350" s="6" t="str">
        <f>_xlfn.XLOOKUP(Table1[[#This Row],[EmployeeID]],Table4[employeeID],Table4[employeeName])</f>
        <v>Laura Callahan</v>
      </c>
      <c r="E350" s="1">
        <v>41831</v>
      </c>
      <c r="F350" s="1">
        <v>41859</v>
      </c>
      <c r="G350" s="1">
        <v>41863</v>
      </c>
      <c r="H350" s="3">
        <f>IF(Table1[[#This Row],[ShippedDate]]="","",IF(Table1[[#This Row],[OrderDate]]="","",Table1[[#This Row],[ShippedDate]]-Table1[[#This Row],[OrderDate]]))</f>
        <v>32</v>
      </c>
      <c r="I350" s="3">
        <v>1</v>
      </c>
      <c r="J350" s="2">
        <v>16.34</v>
      </c>
      <c r="K350" s="2">
        <f>SUMIF(order_details!A:A,Table1[[#This Row],[orderID]],order_details!F:F)</f>
        <v>1180.8800000000001</v>
      </c>
      <c r="L350" s="9">
        <f>_xlfn.XLOOKUP(Table1[[#This Row],[orderID]],Table3[orderID],Table3[discount])</f>
        <v>0.2</v>
      </c>
      <c r="M350" s="2">
        <f>SUM(Table1[[#This Row],[Sales]],Table1[[#This Row],[freight]])</f>
        <v>1197.22</v>
      </c>
      <c r="N350" s="3">
        <f>_xlfn.XLOOKUP(Table1[[#This Row],[orderID]],Table3[orderID],Table3[quantity])</f>
        <v>5</v>
      </c>
      <c r="O350" s="6" t="str">
        <f>_xlfn.XLOOKUP(Table1[[#This Row],[CustomerID]],customers!A:A,customers!B:B)</f>
        <v>White Clover Markets</v>
      </c>
      <c r="P350" s="6" t="str">
        <f>_xlfn.XLOOKUP(Table1[[#This Row],[shipperID]],Table6[shipperID],Table6[companyName])</f>
        <v>Speedy Express</v>
      </c>
      <c r="Q350">
        <f>YEAR(Table1[[#This Row],[OrderDate]])</f>
        <v>2014</v>
      </c>
      <c r="R350">
        <f>MONTH(Table1[[#This Row],[OrderDate]])</f>
        <v>7</v>
      </c>
      <c r="S350" t="str">
        <f>"Q"&amp;ROUNDUP(Table1[[#This Row],[month]]/3,0)</f>
        <v>Q3</v>
      </c>
      <c r="T350" t="str">
        <f>CONCATENATE(Table1[[#This Row],[year]],"-",Table1[[#This Row],[Quarter]])</f>
        <v>2014-Q3</v>
      </c>
      <c r="U350" s="6" t="str">
        <f>IF(H349="","Pending",IF(Table1[[#This Row],[Days to ship]]&lt;Table1[[#This Row],[RequiredDate]],"On Time","Late"))</f>
        <v>On Time</v>
      </c>
      <c r="V350">
        <f>_xlfn.XLOOKUP(Table1[[#This Row],[orderID]],Table3[orderID],Table3[unitPrice])</f>
        <v>38</v>
      </c>
    </row>
    <row r="351" spans="1:22" x14ac:dyDescent="0.45">
      <c r="A351" s="3">
        <v>10597</v>
      </c>
      <c r="B351" s="6" t="s">
        <v>176</v>
      </c>
      <c r="C351" s="3">
        <v>7</v>
      </c>
      <c r="D351" s="6" t="str">
        <f>_xlfn.XLOOKUP(Table1[[#This Row],[EmployeeID]],Table4[employeeID],Table4[employeeName])</f>
        <v>Robert King</v>
      </c>
      <c r="E351" s="1">
        <v>41831</v>
      </c>
      <c r="F351" s="1">
        <v>41859</v>
      </c>
      <c r="G351" s="1">
        <v>41838</v>
      </c>
      <c r="H351" s="3">
        <f>IF(Table1[[#This Row],[ShippedDate]]="","",IF(Table1[[#This Row],[OrderDate]]="","",Table1[[#This Row],[ShippedDate]]-Table1[[#This Row],[OrderDate]]))</f>
        <v>7</v>
      </c>
      <c r="I351" s="3">
        <v>3</v>
      </c>
      <c r="J351" s="2">
        <v>35.119999999999997</v>
      </c>
      <c r="K351" s="2">
        <f>SUMIF(order_details!A:A,Table1[[#This Row],[orderID]],order_details!F:F)</f>
        <v>718.08</v>
      </c>
      <c r="L351" s="9">
        <f>_xlfn.XLOOKUP(Table1[[#This Row],[orderID]],Table3[orderID],Table3[discount])</f>
        <v>0.2</v>
      </c>
      <c r="M351" s="2">
        <f>SUM(Table1[[#This Row],[Sales]],Table1[[#This Row],[freight]])</f>
        <v>753.2</v>
      </c>
      <c r="N351" s="3">
        <f>_xlfn.XLOOKUP(Table1[[#This Row],[orderID]],Table3[orderID],Table3[quantity])</f>
        <v>35</v>
      </c>
      <c r="O351" s="6" t="str">
        <f>_xlfn.XLOOKUP(Table1[[#This Row],[CustomerID]],customers!A:A,customers!B:B)</f>
        <v>Piccolo und mehr</v>
      </c>
      <c r="P351" s="6" t="str">
        <f>_xlfn.XLOOKUP(Table1[[#This Row],[shipperID]],Table6[shipperID],Table6[companyName])</f>
        <v>Federal Shipping</v>
      </c>
      <c r="Q351">
        <f>YEAR(Table1[[#This Row],[OrderDate]])</f>
        <v>2014</v>
      </c>
      <c r="R351">
        <f>MONTH(Table1[[#This Row],[OrderDate]])</f>
        <v>7</v>
      </c>
      <c r="S351" t="str">
        <f>"Q"&amp;ROUNDUP(Table1[[#This Row],[month]]/3,0)</f>
        <v>Q3</v>
      </c>
      <c r="T351" t="str">
        <f>CONCATENATE(Table1[[#This Row],[year]],"-",Table1[[#This Row],[Quarter]])</f>
        <v>2014-Q3</v>
      </c>
      <c r="U351" s="6" t="str">
        <f>IF(H350="","Pending",IF(Table1[[#This Row],[Days to ship]]&lt;Table1[[#This Row],[RequiredDate]],"On Time","Late"))</f>
        <v>On Time</v>
      </c>
      <c r="V351">
        <f>_xlfn.XLOOKUP(Table1[[#This Row],[orderID]],Table3[orderID],Table3[unitPrice])</f>
        <v>4.5</v>
      </c>
    </row>
    <row r="352" spans="1:22" x14ac:dyDescent="0.45">
      <c r="A352" s="3">
        <v>10598</v>
      </c>
      <c r="B352" s="6" t="s">
        <v>153</v>
      </c>
      <c r="C352" s="3">
        <v>1</v>
      </c>
      <c r="D352" s="6" t="str">
        <f>_xlfn.XLOOKUP(Table1[[#This Row],[EmployeeID]],Table4[employeeID],Table4[employeeName])</f>
        <v>Nancy Davolio</v>
      </c>
      <c r="E352" s="1">
        <v>41834</v>
      </c>
      <c r="F352" s="1">
        <v>41862</v>
      </c>
      <c r="G352" s="1">
        <v>41838</v>
      </c>
      <c r="H352" s="3">
        <f>IF(Table1[[#This Row],[ShippedDate]]="","",IF(Table1[[#This Row],[OrderDate]]="","",Table1[[#This Row],[ShippedDate]]-Table1[[#This Row],[OrderDate]]))</f>
        <v>4</v>
      </c>
      <c r="I352" s="3">
        <v>3</v>
      </c>
      <c r="J352" s="2">
        <v>44.42</v>
      </c>
      <c r="K352" s="2">
        <f>SUMIF(order_details!A:A,Table1[[#This Row],[orderID]],order_details!F:F)</f>
        <v>2388.5</v>
      </c>
      <c r="L352" s="9">
        <f>_xlfn.XLOOKUP(Table1[[#This Row],[orderID]],Table3[orderID],Table3[discount])</f>
        <v>0</v>
      </c>
      <c r="M352" s="2">
        <f>SUM(Table1[[#This Row],[Sales]],Table1[[#This Row],[freight]])</f>
        <v>2432.92</v>
      </c>
      <c r="N352" s="3">
        <f>_xlfn.XLOOKUP(Table1[[#This Row],[orderID]],Table3[orderID],Table3[quantity])</f>
        <v>50</v>
      </c>
      <c r="O352" s="6" t="str">
        <f>_xlfn.XLOOKUP(Table1[[#This Row],[CustomerID]],customers!A:A,customers!B:B)</f>
        <v>Rattlesnake Canyon Grocery</v>
      </c>
      <c r="P352" s="6" t="str">
        <f>_xlfn.XLOOKUP(Table1[[#This Row],[shipperID]],Table6[shipperID],Table6[companyName])</f>
        <v>Federal Shipping</v>
      </c>
      <c r="Q352">
        <f>YEAR(Table1[[#This Row],[OrderDate]])</f>
        <v>2014</v>
      </c>
      <c r="R352">
        <f>MONTH(Table1[[#This Row],[OrderDate]])</f>
        <v>7</v>
      </c>
      <c r="S352" t="str">
        <f>"Q"&amp;ROUNDUP(Table1[[#This Row],[month]]/3,0)</f>
        <v>Q3</v>
      </c>
      <c r="T352" t="str">
        <f>CONCATENATE(Table1[[#This Row],[year]],"-",Table1[[#This Row],[Quarter]])</f>
        <v>2014-Q3</v>
      </c>
      <c r="U352" s="6" t="str">
        <f>IF(H351="","Pending",IF(Table1[[#This Row],[Days to ship]]&lt;Table1[[#This Row],[RequiredDate]],"On Time","Late"))</f>
        <v>On Time</v>
      </c>
      <c r="V352">
        <f>_xlfn.XLOOKUP(Table1[[#This Row],[orderID]],Table3[orderID],Table3[unitPrice])</f>
        <v>43.9</v>
      </c>
    </row>
    <row r="353" spans="1:22" x14ac:dyDescent="0.45">
      <c r="A353" s="3">
        <v>10599</v>
      </c>
      <c r="B353" s="6" t="s">
        <v>193</v>
      </c>
      <c r="C353" s="3">
        <v>6</v>
      </c>
      <c r="D353" s="6" t="str">
        <f>_xlfn.XLOOKUP(Table1[[#This Row],[EmployeeID]],Table4[employeeID],Table4[employeeName])</f>
        <v>Michael Suyama</v>
      </c>
      <c r="E353" s="1">
        <v>41835</v>
      </c>
      <c r="F353" s="1">
        <v>41877</v>
      </c>
      <c r="G353" s="1">
        <v>41841</v>
      </c>
      <c r="H353" s="3">
        <f>IF(Table1[[#This Row],[ShippedDate]]="","",IF(Table1[[#This Row],[OrderDate]]="","",Table1[[#This Row],[ShippedDate]]-Table1[[#This Row],[OrderDate]]))</f>
        <v>6</v>
      </c>
      <c r="I353" s="3">
        <v>3</v>
      </c>
      <c r="J353" s="2">
        <v>29.98</v>
      </c>
      <c r="K353" s="2">
        <f>SUMIF(order_details!A:A,Table1[[#This Row],[orderID]],order_details!F:F)</f>
        <v>493</v>
      </c>
      <c r="L353" s="9">
        <f>_xlfn.XLOOKUP(Table1[[#This Row],[orderID]],Table3[orderID],Table3[discount])</f>
        <v>0</v>
      </c>
      <c r="M353" s="2">
        <f>SUM(Table1[[#This Row],[Sales]],Table1[[#This Row],[freight]])</f>
        <v>522.98</v>
      </c>
      <c r="N353" s="3">
        <f>_xlfn.XLOOKUP(Table1[[#This Row],[orderID]],Table3[orderID],Table3[quantity])</f>
        <v>10</v>
      </c>
      <c r="O353" s="6" t="str">
        <f>_xlfn.XLOOKUP(Table1[[#This Row],[CustomerID]],customers!A:A,customers!B:B)</f>
        <v>B's Beverages</v>
      </c>
      <c r="P353" s="6" t="str">
        <f>_xlfn.XLOOKUP(Table1[[#This Row],[shipperID]],Table6[shipperID],Table6[companyName])</f>
        <v>Federal Shipping</v>
      </c>
      <c r="Q353">
        <f>YEAR(Table1[[#This Row],[OrderDate]])</f>
        <v>2014</v>
      </c>
      <c r="R353">
        <f>MONTH(Table1[[#This Row],[OrderDate]])</f>
        <v>7</v>
      </c>
      <c r="S353" t="str">
        <f>"Q"&amp;ROUNDUP(Table1[[#This Row],[month]]/3,0)</f>
        <v>Q3</v>
      </c>
      <c r="T353" t="str">
        <f>CONCATENATE(Table1[[#This Row],[year]],"-",Table1[[#This Row],[Quarter]])</f>
        <v>2014-Q3</v>
      </c>
      <c r="U353" s="6" t="str">
        <f>IF(H352="","Pending",IF(Table1[[#This Row],[Days to ship]]&lt;Table1[[#This Row],[RequiredDate]],"On Time","Late"))</f>
        <v>On Time</v>
      </c>
      <c r="V353">
        <f>_xlfn.XLOOKUP(Table1[[#This Row],[orderID]],Table3[orderID],Table3[unitPrice])</f>
        <v>49.3</v>
      </c>
    </row>
    <row r="354" spans="1:22" x14ac:dyDescent="0.45">
      <c r="A354" s="3">
        <v>10600</v>
      </c>
      <c r="B354" s="6" t="s">
        <v>239</v>
      </c>
      <c r="C354" s="3">
        <v>4</v>
      </c>
      <c r="D354" s="6" t="str">
        <f>_xlfn.XLOOKUP(Table1[[#This Row],[EmployeeID]],Table4[employeeID],Table4[employeeName])</f>
        <v>Margaret Peacock</v>
      </c>
      <c r="E354" s="1">
        <v>41836</v>
      </c>
      <c r="F354" s="1">
        <v>41864</v>
      </c>
      <c r="G354" s="1">
        <v>41841</v>
      </c>
      <c r="H354" s="3">
        <f>IF(Table1[[#This Row],[ShippedDate]]="","",IF(Table1[[#This Row],[OrderDate]]="","",Table1[[#This Row],[ShippedDate]]-Table1[[#This Row],[OrderDate]]))</f>
        <v>5</v>
      </c>
      <c r="I354" s="3">
        <v>1</v>
      </c>
      <c r="J354" s="2">
        <v>45.13</v>
      </c>
      <c r="K354" s="2">
        <f>SUMIF(order_details!A:A,Table1[[#This Row],[orderID]],order_details!F:F)</f>
        <v>479.8</v>
      </c>
      <c r="L354" s="9">
        <f>_xlfn.XLOOKUP(Table1[[#This Row],[orderID]],Table3[orderID],Table3[discount])</f>
        <v>0</v>
      </c>
      <c r="M354" s="2">
        <f>SUM(Table1[[#This Row],[Sales]],Table1[[#This Row],[freight]])</f>
        <v>524.93000000000006</v>
      </c>
      <c r="N354" s="3">
        <f>_xlfn.XLOOKUP(Table1[[#This Row],[orderID]],Table3[orderID],Table3[quantity])</f>
        <v>4</v>
      </c>
      <c r="O354" s="6" t="str">
        <f>_xlfn.XLOOKUP(Table1[[#This Row],[CustomerID]],customers!A:A,customers!B:B)</f>
        <v>Hungry Coyote Import Store</v>
      </c>
      <c r="P354" s="6" t="str">
        <f>_xlfn.XLOOKUP(Table1[[#This Row],[shipperID]],Table6[shipperID],Table6[companyName])</f>
        <v>Speedy Express</v>
      </c>
      <c r="Q354">
        <f>YEAR(Table1[[#This Row],[OrderDate]])</f>
        <v>2014</v>
      </c>
      <c r="R354">
        <f>MONTH(Table1[[#This Row],[OrderDate]])</f>
        <v>7</v>
      </c>
      <c r="S354" t="str">
        <f>"Q"&amp;ROUNDUP(Table1[[#This Row],[month]]/3,0)</f>
        <v>Q3</v>
      </c>
      <c r="T354" t="str">
        <f>CONCATENATE(Table1[[#This Row],[year]],"-",Table1[[#This Row],[Quarter]])</f>
        <v>2014-Q3</v>
      </c>
      <c r="U354" s="6" t="str">
        <f>IF(H353="","Pending",IF(Table1[[#This Row],[Days to ship]]&lt;Table1[[#This Row],[RequiredDate]],"On Time","Late"))</f>
        <v>On Time</v>
      </c>
      <c r="V354">
        <f>_xlfn.XLOOKUP(Table1[[#This Row],[orderID]],Table3[orderID],Table3[unitPrice])</f>
        <v>7.45</v>
      </c>
    </row>
    <row r="355" spans="1:22" x14ac:dyDescent="0.45">
      <c r="A355" s="3">
        <v>10601</v>
      </c>
      <c r="B355" s="6" t="s">
        <v>174</v>
      </c>
      <c r="C355" s="3">
        <v>7</v>
      </c>
      <c r="D355" s="6" t="str">
        <f>_xlfn.XLOOKUP(Table1[[#This Row],[EmployeeID]],Table4[employeeID],Table4[employeeName])</f>
        <v>Robert King</v>
      </c>
      <c r="E355" s="1">
        <v>41836</v>
      </c>
      <c r="F355" s="1">
        <v>41878</v>
      </c>
      <c r="G355" s="1">
        <v>41842</v>
      </c>
      <c r="H355" s="3">
        <f>IF(Table1[[#This Row],[ShippedDate]]="","",IF(Table1[[#This Row],[OrderDate]]="","",Table1[[#This Row],[ShippedDate]]-Table1[[#This Row],[OrderDate]]))</f>
        <v>6</v>
      </c>
      <c r="I355" s="3">
        <v>1</v>
      </c>
      <c r="J355" s="2">
        <v>58.3</v>
      </c>
      <c r="K355" s="2">
        <f>SUMIF(order_details!A:A,Table1[[#This Row],[orderID]],order_details!F:F)</f>
        <v>2285</v>
      </c>
      <c r="L355" s="9">
        <f>_xlfn.XLOOKUP(Table1[[#This Row],[orderID]],Table3[orderID],Table3[discount])</f>
        <v>0</v>
      </c>
      <c r="M355" s="2">
        <f>SUM(Table1[[#This Row],[Sales]],Table1[[#This Row],[freight]])</f>
        <v>2343.3000000000002</v>
      </c>
      <c r="N355" s="3">
        <f>_xlfn.XLOOKUP(Table1[[#This Row],[orderID]],Table3[orderID],Table3[quantity])</f>
        <v>60</v>
      </c>
      <c r="O355" s="6" t="str">
        <f>_xlfn.XLOOKUP(Table1[[#This Row],[CustomerID]],customers!A:A,customers!B:B)</f>
        <v>HILARION-Abastos</v>
      </c>
      <c r="P355" s="6" t="str">
        <f>_xlfn.XLOOKUP(Table1[[#This Row],[shipperID]],Table6[shipperID],Table6[companyName])</f>
        <v>Speedy Express</v>
      </c>
      <c r="Q355">
        <f>YEAR(Table1[[#This Row],[OrderDate]])</f>
        <v>2014</v>
      </c>
      <c r="R355">
        <f>MONTH(Table1[[#This Row],[OrderDate]])</f>
        <v>7</v>
      </c>
      <c r="S355" t="str">
        <f>"Q"&amp;ROUNDUP(Table1[[#This Row],[month]]/3,0)</f>
        <v>Q3</v>
      </c>
      <c r="T355" t="str">
        <f>CONCATENATE(Table1[[#This Row],[year]],"-",Table1[[#This Row],[Quarter]])</f>
        <v>2014-Q3</v>
      </c>
      <c r="U355" s="6" t="str">
        <f>IF(H354="","Pending",IF(Table1[[#This Row],[Days to ship]]&lt;Table1[[#This Row],[RequiredDate]],"On Time","Late"))</f>
        <v>On Time</v>
      </c>
      <c r="V355">
        <f>_xlfn.XLOOKUP(Table1[[#This Row],[orderID]],Table3[orderID],Table3[unitPrice])</f>
        <v>6</v>
      </c>
    </row>
    <row r="356" spans="1:22" x14ac:dyDescent="0.45">
      <c r="A356" s="3">
        <v>10602</v>
      </c>
      <c r="B356" s="6" t="s">
        <v>207</v>
      </c>
      <c r="C356" s="3">
        <v>8</v>
      </c>
      <c r="D356" s="6" t="str">
        <f>_xlfn.XLOOKUP(Table1[[#This Row],[EmployeeID]],Table4[employeeID],Table4[employeeName])</f>
        <v>Laura Callahan</v>
      </c>
      <c r="E356" s="1">
        <v>41837</v>
      </c>
      <c r="F356" s="1">
        <v>41865</v>
      </c>
      <c r="G356" s="1">
        <v>41842</v>
      </c>
      <c r="H356" s="3">
        <f>IF(Table1[[#This Row],[ShippedDate]]="","",IF(Table1[[#This Row],[OrderDate]]="","",Table1[[#This Row],[ShippedDate]]-Table1[[#This Row],[OrderDate]]))</f>
        <v>5</v>
      </c>
      <c r="I356" s="3">
        <v>2</v>
      </c>
      <c r="J356" s="2">
        <v>2.92</v>
      </c>
      <c r="K356" s="2">
        <f>SUMIF(order_details!A:A,Table1[[#This Row],[orderID]],order_details!F:F)</f>
        <v>48.75</v>
      </c>
      <c r="L356" s="9">
        <f>_xlfn.XLOOKUP(Table1[[#This Row],[orderID]],Table3[orderID],Table3[discount])</f>
        <v>0.25</v>
      </c>
      <c r="M356" s="2">
        <f>SUM(Table1[[#This Row],[Sales]],Table1[[#This Row],[freight]])</f>
        <v>51.67</v>
      </c>
      <c r="N356" s="3">
        <f>_xlfn.XLOOKUP(Table1[[#This Row],[orderID]],Table3[orderID],Table3[quantity])</f>
        <v>5</v>
      </c>
      <c r="O356" s="6" t="str">
        <f>_xlfn.XLOOKUP(Table1[[#This Row],[CustomerID]],customers!A:A,customers!B:B)</f>
        <v>Vaffeljernet</v>
      </c>
      <c r="P356" s="6" t="str">
        <f>_xlfn.XLOOKUP(Table1[[#This Row],[shipperID]],Table6[shipperID],Table6[companyName])</f>
        <v>United Package</v>
      </c>
      <c r="Q356">
        <f>YEAR(Table1[[#This Row],[OrderDate]])</f>
        <v>2014</v>
      </c>
      <c r="R356">
        <f>MONTH(Table1[[#This Row],[OrderDate]])</f>
        <v>7</v>
      </c>
      <c r="S356" t="str">
        <f>"Q"&amp;ROUNDUP(Table1[[#This Row],[month]]/3,0)</f>
        <v>Q3</v>
      </c>
      <c r="T356" t="str">
        <f>CONCATENATE(Table1[[#This Row],[year]],"-",Table1[[#This Row],[Quarter]])</f>
        <v>2014-Q3</v>
      </c>
      <c r="U356" s="6" t="str">
        <f>IF(H355="","Pending",IF(Table1[[#This Row],[Days to ship]]&lt;Table1[[#This Row],[RequiredDate]],"On Time","Late"))</f>
        <v>On Time</v>
      </c>
      <c r="V356">
        <f>_xlfn.XLOOKUP(Table1[[#This Row],[orderID]],Table3[orderID],Table3[unitPrice])</f>
        <v>13</v>
      </c>
    </row>
    <row r="357" spans="1:22" x14ac:dyDescent="0.45">
      <c r="A357" s="3">
        <v>10603</v>
      </c>
      <c r="B357" s="6" t="s">
        <v>165</v>
      </c>
      <c r="C357" s="3">
        <v>8</v>
      </c>
      <c r="D357" s="6" t="str">
        <f>_xlfn.XLOOKUP(Table1[[#This Row],[EmployeeID]],Table4[employeeID],Table4[employeeName])</f>
        <v>Laura Callahan</v>
      </c>
      <c r="E357" s="1">
        <v>41838</v>
      </c>
      <c r="F357" s="1">
        <v>41866</v>
      </c>
      <c r="G357" s="1">
        <v>41859</v>
      </c>
      <c r="H357" s="3">
        <f>IF(Table1[[#This Row],[ShippedDate]]="","",IF(Table1[[#This Row],[OrderDate]]="","",Table1[[#This Row],[ShippedDate]]-Table1[[#This Row],[OrderDate]]))</f>
        <v>21</v>
      </c>
      <c r="I357" s="3">
        <v>2</v>
      </c>
      <c r="J357" s="2">
        <v>48.77</v>
      </c>
      <c r="K357" s="2">
        <f>SUMIF(order_details!A:A,Table1[[#This Row],[orderID]],order_details!F:F)</f>
        <v>1483</v>
      </c>
      <c r="L357" s="9">
        <f>_xlfn.XLOOKUP(Table1[[#This Row],[orderID]],Table3[orderID],Table3[discount])</f>
        <v>0</v>
      </c>
      <c r="M357" s="2">
        <f>SUM(Table1[[#This Row],[Sales]],Table1[[#This Row],[freight]])</f>
        <v>1531.77</v>
      </c>
      <c r="N357" s="3">
        <f>_xlfn.XLOOKUP(Table1[[#This Row],[orderID]],Table3[orderID],Table3[quantity])</f>
        <v>48</v>
      </c>
      <c r="O357" s="6" t="str">
        <f>_xlfn.XLOOKUP(Table1[[#This Row],[CustomerID]],customers!A:A,customers!B:B)</f>
        <v>Save-a-lot Markets</v>
      </c>
      <c r="P357" s="6" t="str">
        <f>_xlfn.XLOOKUP(Table1[[#This Row],[shipperID]],Table6[shipperID],Table6[companyName])</f>
        <v>United Package</v>
      </c>
      <c r="Q357">
        <f>YEAR(Table1[[#This Row],[OrderDate]])</f>
        <v>2014</v>
      </c>
      <c r="R357">
        <f>MONTH(Table1[[#This Row],[OrderDate]])</f>
        <v>7</v>
      </c>
      <c r="S357" t="str">
        <f>"Q"&amp;ROUNDUP(Table1[[#This Row],[month]]/3,0)</f>
        <v>Q3</v>
      </c>
      <c r="T357" t="str">
        <f>CONCATENATE(Table1[[#This Row],[year]],"-",Table1[[#This Row],[Quarter]])</f>
        <v>2014-Q3</v>
      </c>
      <c r="U357" s="6" t="str">
        <f>IF(H356="","Pending",IF(Table1[[#This Row],[Days to ship]]&lt;Table1[[#This Row],[RequiredDate]],"On Time","Late"))</f>
        <v>On Time</v>
      </c>
      <c r="V357">
        <f>_xlfn.XLOOKUP(Table1[[#This Row],[orderID]],Table3[orderID],Table3[unitPrice])</f>
        <v>21</v>
      </c>
    </row>
    <row r="358" spans="1:22" x14ac:dyDescent="0.45">
      <c r="A358" s="3">
        <v>10604</v>
      </c>
      <c r="B358" s="6" t="s">
        <v>216</v>
      </c>
      <c r="C358" s="3">
        <v>1</v>
      </c>
      <c r="D358" s="6" t="str">
        <f>_xlfn.XLOOKUP(Table1[[#This Row],[EmployeeID]],Table4[employeeID],Table4[employeeName])</f>
        <v>Nancy Davolio</v>
      </c>
      <c r="E358" s="1">
        <v>41838</v>
      </c>
      <c r="F358" s="1">
        <v>41866</v>
      </c>
      <c r="G358" s="1">
        <v>41849</v>
      </c>
      <c r="H358" s="3">
        <f>IF(Table1[[#This Row],[ShippedDate]]="","",IF(Table1[[#This Row],[OrderDate]]="","",Table1[[#This Row],[ShippedDate]]-Table1[[#This Row],[OrderDate]]))</f>
        <v>11</v>
      </c>
      <c r="I358" s="3">
        <v>1</v>
      </c>
      <c r="J358" s="2">
        <v>7.46</v>
      </c>
      <c r="K358" s="2">
        <f>SUMIF(order_details!A:A,Table1[[#This Row],[orderID]],order_details!F:F)</f>
        <v>230.85000000000002</v>
      </c>
      <c r="L358" s="9">
        <f>_xlfn.XLOOKUP(Table1[[#This Row],[orderID]],Table3[orderID],Table3[discount])</f>
        <v>0.1</v>
      </c>
      <c r="M358" s="2">
        <f>SUM(Table1[[#This Row],[Sales]],Table1[[#This Row],[freight]])</f>
        <v>238.31000000000003</v>
      </c>
      <c r="N358" s="3">
        <f>_xlfn.XLOOKUP(Table1[[#This Row],[orderID]],Table3[orderID],Table3[quantity])</f>
        <v>6</v>
      </c>
      <c r="O358" s="6" t="str">
        <f>_xlfn.XLOOKUP(Table1[[#This Row],[CustomerID]],customers!A:A,customers!B:B)</f>
        <v>Furia Bacalhau e Frutos do Mar</v>
      </c>
      <c r="P358" s="6" t="str">
        <f>_xlfn.XLOOKUP(Table1[[#This Row],[shipperID]],Table6[shipperID],Table6[companyName])</f>
        <v>Speedy Express</v>
      </c>
      <c r="Q358">
        <f>YEAR(Table1[[#This Row],[OrderDate]])</f>
        <v>2014</v>
      </c>
      <c r="R358">
        <f>MONTH(Table1[[#This Row],[OrderDate]])</f>
        <v>7</v>
      </c>
      <c r="S358" t="str">
        <f>"Q"&amp;ROUNDUP(Table1[[#This Row],[month]]/3,0)</f>
        <v>Q3</v>
      </c>
      <c r="T358" t="str">
        <f>CONCATENATE(Table1[[#This Row],[year]],"-",Table1[[#This Row],[Quarter]])</f>
        <v>2014-Q3</v>
      </c>
      <c r="U358" s="6" t="str">
        <f>IF(H357="","Pending",IF(Table1[[#This Row],[Days to ship]]&lt;Table1[[#This Row],[RequiredDate]],"On Time","Late"))</f>
        <v>On Time</v>
      </c>
      <c r="V358">
        <f>_xlfn.XLOOKUP(Table1[[#This Row],[orderID]],Table3[orderID],Table3[unitPrice])</f>
        <v>12.75</v>
      </c>
    </row>
    <row r="359" spans="1:22" x14ac:dyDescent="0.45">
      <c r="A359" s="3">
        <v>10605</v>
      </c>
      <c r="B359" s="6" t="s">
        <v>238</v>
      </c>
      <c r="C359" s="3">
        <v>1</v>
      </c>
      <c r="D359" s="6" t="str">
        <f>_xlfn.XLOOKUP(Table1[[#This Row],[EmployeeID]],Table4[employeeID],Table4[employeeName])</f>
        <v>Nancy Davolio</v>
      </c>
      <c r="E359" s="1">
        <v>41841</v>
      </c>
      <c r="F359" s="1">
        <v>41869</v>
      </c>
      <c r="G359" s="1">
        <v>41849</v>
      </c>
      <c r="H359" s="3">
        <f>IF(Table1[[#This Row],[ShippedDate]]="","",IF(Table1[[#This Row],[OrderDate]]="","",Table1[[#This Row],[ShippedDate]]-Table1[[#This Row],[OrderDate]]))</f>
        <v>8</v>
      </c>
      <c r="I359" s="3">
        <v>2</v>
      </c>
      <c r="J359" s="2">
        <v>379.13</v>
      </c>
      <c r="K359" s="2">
        <f>SUMIF(order_details!A:A,Table1[[#This Row],[orderID]],order_details!F:F)</f>
        <v>4109.7</v>
      </c>
      <c r="L359" s="9">
        <f>_xlfn.XLOOKUP(Table1[[#This Row],[orderID]],Table3[orderID],Table3[discount])</f>
        <v>0.05</v>
      </c>
      <c r="M359" s="2">
        <f>SUM(Table1[[#This Row],[Sales]],Table1[[#This Row],[freight]])</f>
        <v>4488.83</v>
      </c>
      <c r="N359" s="3">
        <f>_xlfn.XLOOKUP(Table1[[#This Row],[orderID]],Table3[orderID],Table3[quantity])</f>
        <v>30</v>
      </c>
      <c r="O359" s="6" t="str">
        <f>_xlfn.XLOOKUP(Table1[[#This Row],[CustomerID]],customers!A:A,customers!B:B)</f>
        <v>Mère Paillarde</v>
      </c>
      <c r="P359" s="6" t="str">
        <f>_xlfn.XLOOKUP(Table1[[#This Row],[shipperID]],Table6[shipperID],Table6[companyName])</f>
        <v>United Package</v>
      </c>
      <c r="Q359">
        <f>YEAR(Table1[[#This Row],[OrderDate]])</f>
        <v>2014</v>
      </c>
      <c r="R359">
        <f>MONTH(Table1[[#This Row],[OrderDate]])</f>
        <v>7</v>
      </c>
      <c r="S359" t="str">
        <f>"Q"&amp;ROUNDUP(Table1[[#This Row],[month]]/3,0)</f>
        <v>Q3</v>
      </c>
      <c r="T359" t="str">
        <f>CONCATENATE(Table1[[#This Row],[year]],"-",Table1[[#This Row],[Quarter]])</f>
        <v>2014-Q3</v>
      </c>
      <c r="U359" s="6" t="str">
        <f>IF(H358="","Pending",IF(Table1[[#This Row],[Days to ship]]&lt;Table1[[#This Row],[RequiredDate]],"On Time","Late"))</f>
        <v>On Time</v>
      </c>
      <c r="V359">
        <f>_xlfn.XLOOKUP(Table1[[#This Row],[orderID]],Table3[orderID],Table3[unitPrice])</f>
        <v>17.45</v>
      </c>
    </row>
    <row r="360" spans="1:22" x14ac:dyDescent="0.45">
      <c r="A360" s="3">
        <v>10606</v>
      </c>
      <c r="B360" s="6" t="s">
        <v>230</v>
      </c>
      <c r="C360" s="3">
        <v>4</v>
      </c>
      <c r="D360" s="6" t="str">
        <f>_xlfn.XLOOKUP(Table1[[#This Row],[EmployeeID]],Table4[employeeID],Table4[employeeName])</f>
        <v>Margaret Peacock</v>
      </c>
      <c r="E360" s="1">
        <v>41842</v>
      </c>
      <c r="F360" s="1">
        <v>41870</v>
      </c>
      <c r="G360" s="1">
        <v>41851</v>
      </c>
      <c r="H360" s="3">
        <f>IF(Table1[[#This Row],[ShippedDate]]="","",IF(Table1[[#This Row],[OrderDate]]="","",Table1[[#This Row],[ShippedDate]]-Table1[[#This Row],[OrderDate]]))</f>
        <v>9</v>
      </c>
      <c r="I360" s="3">
        <v>3</v>
      </c>
      <c r="J360" s="2">
        <v>79.400000000000006</v>
      </c>
      <c r="K360" s="2">
        <f>SUMIF(order_details!A:A,Table1[[#This Row],[orderID]],order_details!F:F)</f>
        <v>1130.4000000000001</v>
      </c>
      <c r="L360" s="9">
        <f>_xlfn.XLOOKUP(Table1[[#This Row],[orderID]],Table3[orderID],Table3[discount])</f>
        <v>0.2</v>
      </c>
      <c r="M360" s="2">
        <f>SUM(Table1[[#This Row],[Sales]],Table1[[#This Row],[freight]])</f>
        <v>1209.8000000000002</v>
      </c>
      <c r="N360" s="3">
        <f>_xlfn.XLOOKUP(Table1[[#This Row],[orderID]],Table3[orderID],Table3[quantity])</f>
        <v>20</v>
      </c>
      <c r="O360" s="6" t="str">
        <f>_xlfn.XLOOKUP(Table1[[#This Row],[CustomerID]],customers!A:A,customers!B:B)</f>
        <v>Tradição Hipermercados</v>
      </c>
      <c r="P360" s="6" t="str">
        <f>_xlfn.XLOOKUP(Table1[[#This Row],[shipperID]],Table6[shipperID],Table6[companyName])</f>
        <v>Federal Shipping</v>
      </c>
      <c r="Q360">
        <f>YEAR(Table1[[#This Row],[OrderDate]])</f>
        <v>2014</v>
      </c>
      <c r="R360">
        <f>MONTH(Table1[[#This Row],[OrderDate]])</f>
        <v>7</v>
      </c>
      <c r="S360" t="str">
        <f>"Q"&amp;ROUNDUP(Table1[[#This Row],[month]]/3,0)</f>
        <v>Q3</v>
      </c>
      <c r="T360" t="str">
        <f>CONCATENATE(Table1[[#This Row],[year]],"-",Table1[[#This Row],[Quarter]])</f>
        <v>2014-Q3</v>
      </c>
      <c r="U360" s="6" t="str">
        <f>IF(H359="","Pending",IF(Table1[[#This Row],[Days to ship]]&lt;Table1[[#This Row],[RequiredDate]],"On Time","Late"))</f>
        <v>On Time</v>
      </c>
      <c r="V360">
        <f>_xlfn.XLOOKUP(Table1[[#This Row],[orderID]],Table3[orderID],Table3[unitPrice])</f>
        <v>22</v>
      </c>
    </row>
    <row r="361" spans="1:22" x14ac:dyDescent="0.45">
      <c r="A361" s="3">
        <v>10607</v>
      </c>
      <c r="B361" s="6" t="s">
        <v>165</v>
      </c>
      <c r="C361" s="3">
        <v>5</v>
      </c>
      <c r="D361" s="6" t="str">
        <f>_xlfn.XLOOKUP(Table1[[#This Row],[EmployeeID]],Table4[employeeID],Table4[employeeName])</f>
        <v>Steven Buchanan</v>
      </c>
      <c r="E361" s="1">
        <v>41842</v>
      </c>
      <c r="F361" s="1">
        <v>41870</v>
      </c>
      <c r="G361" s="1">
        <v>41845</v>
      </c>
      <c r="H361" s="3">
        <f>IF(Table1[[#This Row],[ShippedDate]]="","",IF(Table1[[#This Row],[OrderDate]]="","",Table1[[#This Row],[ShippedDate]]-Table1[[#This Row],[OrderDate]]))</f>
        <v>3</v>
      </c>
      <c r="I361" s="3">
        <v>1</v>
      </c>
      <c r="J361" s="2">
        <v>200.24</v>
      </c>
      <c r="K361" s="2">
        <f>SUMIF(order_details!A:A,Table1[[#This Row],[orderID]],order_details!F:F)</f>
        <v>6475.4000000000005</v>
      </c>
      <c r="L361" s="9">
        <f>_xlfn.XLOOKUP(Table1[[#This Row],[orderID]],Table3[orderID],Table3[discount])</f>
        <v>0</v>
      </c>
      <c r="M361" s="2">
        <f>SUM(Table1[[#This Row],[Sales]],Table1[[#This Row],[freight]])</f>
        <v>6675.64</v>
      </c>
      <c r="N361" s="3">
        <f>_xlfn.XLOOKUP(Table1[[#This Row],[orderID]],Table3[orderID],Table3[quantity])</f>
        <v>45</v>
      </c>
      <c r="O361" s="6" t="str">
        <f>_xlfn.XLOOKUP(Table1[[#This Row],[CustomerID]],customers!A:A,customers!B:B)</f>
        <v>Save-a-lot Markets</v>
      </c>
      <c r="P361" s="6" t="str">
        <f>_xlfn.XLOOKUP(Table1[[#This Row],[shipperID]],Table6[shipperID],Table6[companyName])</f>
        <v>Speedy Express</v>
      </c>
      <c r="Q361">
        <f>YEAR(Table1[[#This Row],[OrderDate]])</f>
        <v>2014</v>
      </c>
      <c r="R361">
        <f>MONTH(Table1[[#This Row],[OrderDate]])</f>
        <v>7</v>
      </c>
      <c r="S361" t="str">
        <f>"Q"&amp;ROUNDUP(Table1[[#This Row],[month]]/3,0)</f>
        <v>Q3</v>
      </c>
      <c r="T361" t="str">
        <f>CONCATENATE(Table1[[#This Row],[year]],"-",Table1[[#This Row],[Quarter]])</f>
        <v>2014-Q3</v>
      </c>
      <c r="U361" s="6" t="str">
        <f>IF(H360="","Pending",IF(Table1[[#This Row],[Days to ship]]&lt;Table1[[#This Row],[RequiredDate]],"On Time","Late"))</f>
        <v>On Time</v>
      </c>
      <c r="V361">
        <f>_xlfn.XLOOKUP(Table1[[#This Row],[orderID]],Table3[orderID],Table3[unitPrice])</f>
        <v>30</v>
      </c>
    </row>
    <row r="362" spans="1:22" x14ac:dyDescent="0.45">
      <c r="A362" s="3">
        <v>10608</v>
      </c>
      <c r="B362" s="6" t="s">
        <v>215</v>
      </c>
      <c r="C362" s="3">
        <v>4</v>
      </c>
      <c r="D362" s="6" t="str">
        <f>_xlfn.XLOOKUP(Table1[[#This Row],[EmployeeID]],Table4[employeeID],Table4[employeeName])</f>
        <v>Margaret Peacock</v>
      </c>
      <c r="E362" s="1">
        <v>41843</v>
      </c>
      <c r="F362" s="1">
        <v>41871</v>
      </c>
      <c r="G362" s="1">
        <v>41852</v>
      </c>
      <c r="H362" s="3">
        <f>IF(Table1[[#This Row],[ShippedDate]]="","",IF(Table1[[#This Row],[OrderDate]]="","",Table1[[#This Row],[ShippedDate]]-Table1[[#This Row],[OrderDate]]))</f>
        <v>9</v>
      </c>
      <c r="I362" s="3">
        <v>2</v>
      </c>
      <c r="J362" s="2">
        <v>27.79</v>
      </c>
      <c r="K362" s="2">
        <f>SUMIF(order_details!A:A,Table1[[#This Row],[orderID]],order_details!F:F)</f>
        <v>1064</v>
      </c>
      <c r="L362" s="9">
        <f>_xlfn.XLOOKUP(Table1[[#This Row],[orderID]],Table3[orderID],Table3[discount])</f>
        <v>0</v>
      </c>
      <c r="M362" s="2">
        <f>SUM(Table1[[#This Row],[Sales]],Table1[[#This Row],[freight]])</f>
        <v>1091.79</v>
      </c>
      <c r="N362" s="3">
        <f>_xlfn.XLOOKUP(Table1[[#This Row],[orderID]],Table3[orderID],Table3[quantity])</f>
        <v>28</v>
      </c>
      <c r="O362" s="6" t="str">
        <f>_xlfn.XLOOKUP(Table1[[#This Row],[CustomerID]],customers!A:A,customers!B:B)</f>
        <v>Toms Spezialitäten</v>
      </c>
      <c r="P362" s="6" t="str">
        <f>_xlfn.XLOOKUP(Table1[[#This Row],[shipperID]],Table6[shipperID],Table6[companyName])</f>
        <v>United Package</v>
      </c>
      <c r="Q362">
        <f>YEAR(Table1[[#This Row],[OrderDate]])</f>
        <v>2014</v>
      </c>
      <c r="R362">
        <f>MONTH(Table1[[#This Row],[OrderDate]])</f>
        <v>7</v>
      </c>
      <c r="S362" t="str">
        <f>"Q"&amp;ROUNDUP(Table1[[#This Row],[month]]/3,0)</f>
        <v>Q3</v>
      </c>
      <c r="T362" t="str">
        <f>CONCATENATE(Table1[[#This Row],[year]],"-",Table1[[#This Row],[Quarter]])</f>
        <v>2014-Q3</v>
      </c>
      <c r="U362" s="6" t="str">
        <f>IF(H361="","Pending",IF(Table1[[#This Row],[Days to ship]]&lt;Table1[[#This Row],[RequiredDate]],"On Time","Late"))</f>
        <v>On Time</v>
      </c>
      <c r="V362">
        <f>_xlfn.XLOOKUP(Table1[[#This Row],[orderID]],Table3[orderID],Table3[unitPrice])</f>
        <v>38</v>
      </c>
    </row>
    <row r="363" spans="1:22" x14ac:dyDescent="0.45">
      <c r="A363" s="3">
        <v>10609</v>
      </c>
      <c r="B363" s="6" t="s">
        <v>224</v>
      </c>
      <c r="C363" s="3">
        <v>7</v>
      </c>
      <c r="D363" s="6" t="str">
        <f>_xlfn.XLOOKUP(Table1[[#This Row],[EmployeeID]],Table4[employeeID],Table4[employeeName])</f>
        <v>Robert King</v>
      </c>
      <c r="E363" s="1">
        <v>41844</v>
      </c>
      <c r="F363" s="1">
        <v>41872</v>
      </c>
      <c r="G363" s="1">
        <v>41850</v>
      </c>
      <c r="H363" s="3">
        <f>IF(Table1[[#This Row],[ShippedDate]]="","",IF(Table1[[#This Row],[OrderDate]]="","",Table1[[#This Row],[ShippedDate]]-Table1[[#This Row],[OrderDate]]))</f>
        <v>6</v>
      </c>
      <c r="I363" s="3">
        <v>2</v>
      </c>
      <c r="J363" s="2">
        <v>1.85</v>
      </c>
      <c r="K363" s="2">
        <f>SUMIF(order_details!A:A,Table1[[#This Row],[orderID]],order_details!F:F)</f>
        <v>424</v>
      </c>
      <c r="L363" s="9">
        <f>_xlfn.XLOOKUP(Table1[[#This Row],[orderID]],Table3[orderID],Table3[discount])</f>
        <v>0</v>
      </c>
      <c r="M363" s="2">
        <f>SUM(Table1[[#This Row],[Sales]],Table1[[#This Row],[freight]])</f>
        <v>425.85</v>
      </c>
      <c r="N363" s="3">
        <f>_xlfn.XLOOKUP(Table1[[#This Row],[orderID]],Table3[orderID],Table3[quantity])</f>
        <v>3</v>
      </c>
      <c r="O363" s="6" t="str">
        <f>_xlfn.XLOOKUP(Table1[[#This Row],[CustomerID]],customers!A:A,customers!B:B)</f>
        <v>Du monde entier</v>
      </c>
      <c r="P363" s="6" t="str">
        <f>_xlfn.XLOOKUP(Table1[[#This Row],[shipperID]],Table6[shipperID],Table6[companyName])</f>
        <v>United Package</v>
      </c>
      <c r="Q363">
        <f>YEAR(Table1[[#This Row],[OrderDate]])</f>
        <v>2014</v>
      </c>
      <c r="R363">
        <f>MONTH(Table1[[#This Row],[OrderDate]])</f>
        <v>7</v>
      </c>
      <c r="S363" t="str">
        <f>"Q"&amp;ROUNDUP(Table1[[#This Row],[month]]/3,0)</f>
        <v>Q3</v>
      </c>
      <c r="T363" t="str">
        <f>CONCATENATE(Table1[[#This Row],[year]],"-",Table1[[#This Row],[Quarter]])</f>
        <v>2014-Q3</v>
      </c>
      <c r="U363" s="6" t="str">
        <f>IF(H362="","Pending",IF(Table1[[#This Row],[Days to ship]]&lt;Table1[[#This Row],[RequiredDate]],"On Time","Late"))</f>
        <v>On Time</v>
      </c>
      <c r="V363">
        <f>_xlfn.XLOOKUP(Table1[[#This Row],[orderID]],Table3[orderID],Table3[unitPrice])</f>
        <v>18</v>
      </c>
    </row>
    <row r="364" spans="1:22" x14ac:dyDescent="0.45">
      <c r="A364" s="3">
        <v>10610</v>
      </c>
      <c r="B364" s="6" t="s">
        <v>178</v>
      </c>
      <c r="C364" s="3">
        <v>8</v>
      </c>
      <c r="D364" s="6" t="str">
        <f>_xlfn.XLOOKUP(Table1[[#This Row],[EmployeeID]],Table4[employeeID],Table4[employeeName])</f>
        <v>Laura Callahan</v>
      </c>
      <c r="E364" s="1">
        <v>41845</v>
      </c>
      <c r="F364" s="1">
        <v>41873</v>
      </c>
      <c r="G364" s="1">
        <v>41857</v>
      </c>
      <c r="H364" s="3">
        <f>IF(Table1[[#This Row],[ShippedDate]]="","",IF(Table1[[#This Row],[OrderDate]]="","",Table1[[#This Row],[ShippedDate]]-Table1[[#This Row],[OrderDate]]))</f>
        <v>12</v>
      </c>
      <c r="I364" s="3">
        <v>1</v>
      </c>
      <c r="J364" s="2">
        <v>26.78</v>
      </c>
      <c r="K364" s="2">
        <f>SUMIF(order_details!A:A,Table1[[#This Row],[orderID]],order_details!F:F)</f>
        <v>299.25</v>
      </c>
      <c r="L364" s="9">
        <f>_xlfn.XLOOKUP(Table1[[#This Row],[orderID]],Table3[orderID],Table3[discount])</f>
        <v>0.25</v>
      </c>
      <c r="M364" s="2">
        <f>SUM(Table1[[#This Row],[Sales]],Table1[[#This Row],[freight]])</f>
        <v>326.02999999999997</v>
      </c>
      <c r="N364" s="3">
        <f>_xlfn.XLOOKUP(Table1[[#This Row],[orderID]],Table3[orderID],Table3[quantity])</f>
        <v>21</v>
      </c>
      <c r="O364" s="6" t="str">
        <f>_xlfn.XLOOKUP(Table1[[#This Row],[CustomerID]],customers!A:A,customers!B:B)</f>
        <v>La maison d'Asie</v>
      </c>
      <c r="P364" s="6" t="str">
        <f>_xlfn.XLOOKUP(Table1[[#This Row],[shipperID]],Table6[shipperID],Table6[companyName])</f>
        <v>Speedy Express</v>
      </c>
      <c r="Q364">
        <f>YEAR(Table1[[#This Row],[OrderDate]])</f>
        <v>2014</v>
      </c>
      <c r="R364">
        <f>MONTH(Table1[[#This Row],[OrderDate]])</f>
        <v>7</v>
      </c>
      <c r="S364" t="str">
        <f>"Q"&amp;ROUNDUP(Table1[[#This Row],[month]]/3,0)</f>
        <v>Q3</v>
      </c>
      <c r="T364" t="str">
        <f>CONCATENATE(Table1[[#This Row],[year]],"-",Table1[[#This Row],[Quarter]])</f>
        <v>2014-Q3</v>
      </c>
      <c r="U364" s="6" t="str">
        <f>IF(H363="","Pending",IF(Table1[[#This Row],[Days to ship]]&lt;Table1[[#This Row],[RequiredDate]],"On Time","Late"))</f>
        <v>On Time</v>
      </c>
      <c r="V364">
        <f>_xlfn.XLOOKUP(Table1[[#This Row],[orderID]],Table3[orderID],Table3[unitPrice])</f>
        <v>19</v>
      </c>
    </row>
    <row r="365" spans="1:22" x14ac:dyDescent="0.45">
      <c r="A365" s="3">
        <v>10611</v>
      </c>
      <c r="B365" s="6" t="s">
        <v>183</v>
      </c>
      <c r="C365" s="3">
        <v>6</v>
      </c>
      <c r="D365" s="6" t="str">
        <f>_xlfn.XLOOKUP(Table1[[#This Row],[EmployeeID]],Table4[employeeID],Table4[employeeName])</f>
        <v>Michael Suyama</v>
      </c>
      <c r="E365" s="1">
        <v>41845</v>
      </c>
      <c r="F365" s="1">
        <v>41873</v>
      </c>
      <c r="G365" s="1">
        <v>41852</v>
      </c>
      <c r="H365" s="3">
        <f>IF(Table1[[#This Row],[ShippedDate]]="","",IF(Table1[[#This Row],[OrderDate]]="","",Table1[[#This Row],[ShippedDate]]-Table1[[#This Row],[OrderDate]]))</f>
        <v>7</v>
      </c>
      <c r="I365" s="3">
        <v>2</v>
      </c>
      <c r="J365" s="2">
        <v>80.650000000000006</v>
      </c>
      <c r="K365" s="2">
        <f>SUMIF(order_details!A:A,Table1[[#This Row],[orderID]],order_details!F:F)</f>
        <v>808</v>
      </c>
      <c r="L365" s="9">
        <f>_xlfn.XLOOKUP(Table1[[#This Row],[orderID]],Table3[orderID],Table3[discount])</f>
        <v>0</v>
      </c>
      <c r="M365" s="2">
        <f>SUM(Table1[[#This Row],[Sales]],Table1[[#This Row],[freight]])</f>
        <v>888.65</v>
      </c>
      <c r="N365" s="3">
        <f>_xlfn.XLOOKUP(Table1[[#This Row],[orderID]],Table3[orderID],Table3[quantity])</f>
        <v>6</v>
      </c>
      <c r="O365" s="6" t="str">
        <f>_xlfn.XLOOKUP(Table1[[#This Row],[CustomerID]],customers!A:A,customers!B:B)</f>
        <v>Wolski  Zajazd</v>
      </c>
      <c r="P365" s="6" t="str">
        <f>_xlfn.XLOOKUP(Table1[[#This Row],[shipperID]],Table6[shipperID],Table6[companyName])</f>
        <v>United Package</v>
      </c>
      <c r="Q365">
        <f>YEAR(Table1[[#This Row],[OrderDate]])</f>
        <v>2014</v>
      </c>
      <c r="R365">
        <f>MONTH(Table1[[#This Row],[OrderDate]])</f>
        <v>7</v>
      </c>
      <c r="S365" t="str">
        <f>"Q"&amp;ROUNDUP(Table1[[#This Row],[month]]/3,0)</f>
        <v>Q3</v>
      </c>
      <c r="T365" t="str">
        <f>CONCATENATE(Table1[[#This Row],[year]],"-",Table1[[#This Row],[Quarter]])</f>
        <v>2014-Q3</v>
      </c>
      <c r="U365" s="6" t="str">
        <f>IF(H364="","Pending",IF(Table1[[#This Row],[Days to ship]]&lt;Table1[[#This Row],[RequiredDate]],"On Time","Late"))</f>
        <v>On Time</v>
      </c>
      <c r="V365">
        <f>_xlfn.XLOOKUP(Table1[[#This Row],[orderID]],Table3[orderID],Table3[unitPrice])</f>
        <v>18</v>
      </c>
    </row>
    <row r="366" spans="1:22" x14ac:dyDescent="0.45">
      <c r="A366" s="3">
        <v>10612</v>
      </c>
      <c r="B366" s="6" t="s">
        <v>165</v>
      </c>
      <c r="C366" s="3">
        <v>1</v>
      </c>
      <c r="D366" s="6" t="str">
        <f>_xlfn.XLOOKUP(Table1[[#This Row],[EmployeeID]],Table4[employeeID],Table4[employeeName])</f>
        <v>Nancy Davolio</v>
      </c>
      <c r="E366" s="1">
        <v>41848</v>
      </c>
      <c r="F366" s="1">
        <v>41876</v>
      </c>
      <c r="G366" s="1">
        <v>41852</v>
      </c>
      <c r="H366" s="3">
        <f>IF(Table1[[#This Row],[ShippedDate]]="","",IF(Table1[[#This Row],[OrderDate]]="","",Table1[[#This Row],[ShippedDate]]-Table1[[#This Row],[OrderDate]]))</f>
        <v>4</v>
      </c>
      <c r="I366" s="3">
        <v>2</v>
      </c>
      <c r="J366" s="2">
        <v>544.08000000000004</v>
      </c>
      <c r="K366" s="2">
        <f>SUMIF(order_details!A:A,Table1[[#This Row],[orderID]],order_details!F:F)</f>
        <v>6375</v>
      </c>
      <c r="L366" s="9">
        <f>_xlfn.XLOOKUP(Table1[[#This Row],[orderID]],Table3[orderID],Table3[discount])</f>
        <v>0</v>
      </c>
      <c r="M366" s="2">
        <f>SUM(Table1[[#This Row],[Sales]],Table1[[#This Row],[freight]])</f>
        <v>6919.08</v>
      </c>
      <c r="N366" s="3">
        <f>_xlfn.XLOOKUP(Table1[[#This Row],[orderID]],Table3[orderID],Table3[quantity])</f>
        <v>70</v>
      </c>
      <c r="O366" s="6" t="str">
        <f>_xlfn.XLOOKUP(Table1[[#This Row],[CustomerID]],customers!A:A,customers!B:B)</f>
        <v>Save-a-lot Markets</v>
      </c>
      <c r="P366" s="6" t="str">
        <f>_xlfn.XLOOKUP(Table1[[#This Row],[shipperID]],Table6[shipperID],Table6[companyName])</f>
        <v>United Package</v>
      </c>
      <c r="Q366">
        <f>YEAR(Table1[[#This Row],[OrderDate]])</f>
        <v>2014</v>
      </c>
      <c r="R366">
        <f>MONTH(Table1[[#This Row],[OrderDate]])</f>
        <v>7</v>
      </c>
      <c r="S366" t="str">
        <f>"Q"&amp;ROUNDUP(Table1[[#This Row],[month]]/3,0)</f>
        <v>Q3</v>
      </c>
      <c r="T366" t="str">
        <f>CONCATENATE(Table1[[#This Row],[year]],"-",Table1[[#This Row],[Quarter]])</f>
        <v>2014-Q3</v>
      </c>
      <c r="U366" s="6" t="str">
        <f>IF(H365="","Pending",IF(Table1[[#This Row],[Days to ship]]&lt;Table1[[#This Row],[RequiredDate]],"On Time","Late"))</f>
        <v>On Time</v>
      </c>
      <c r="V366">
        <f>_xlfn.XLOOKUP(Table1[[#This Row],[orderID]],Table3[orderID],Table3[unitPrice])</f>
        <v>31</v>
      </c>
    </row>
    <row r="367" spans="1:22" x14ac:dyDescent="0.45">
      <c r="A367" s="3">
        <v>10613</v>
      </c>
      <c r="B367" s="6" t="s">
        <v>174</v>
      </c>
      <c r="C367" s="3">
        <v>4</v>
      </c>
      <c r="D367" s="6" t="str">
        <f>_xlfn.XLOOKUP(Table1[[#This Row],[EmployeeID]],Table4[employeeID],Table4[employeeName])</f>
        <v>Margaret Peacock</v>
      </c>
      <c r="E367" s="1">
        <v>41849</v>
      </c>
      <c r="F367" s="1">
        <v>41877</v>
      </c>
      <c r="G367" s="1">
        <v>41852</v>
      </c>
      <c r="H367" s="3">
        <f>IF(Table1[[#This Row],[ShippedDate]]="","",IF(Table1[[#This Row],[OrderDate]]="","",Table1[[#This Row],[ShippedDate]]-Table1[[#This Row],[OrderDate]]))</f>
        <v>3</v>
      </c>
      <c r="I367" s="3">
        <v>2</v>
      </c>
      <c r="J367" s="2">
        <v>8.11</v>
      </c>
      <c r="K367" s="2">
        <f>SUMIF(order_details!A:A,Table1[[#This Row],[orderID]],order_details!F:F)</f>
        <v>353.2</v>
      </c>
      <c r="L367" s="9">
        <f>_xlfn.XLOOKUP(Table1[[#This Row],[orderID]],Table3[orderID],Table3[discount])</f>
        <v>0.1</v>
      </c>
      <c r="M367" s="2">
        <f>SUM(Table1[[#This Row],[Sales]],Table1[[#This Row],[freight]])</f>
        <v>361.31</v>
      </c>
      <c r="N367" s="3">
        <f>_xlfn.XLOOKUP(Table1[[#This Row],[orderID]],Table3[orderID],Table3[quantity])</f>
        <v>8</v>
      </c>
      <c r="O367" s="6" t="str">
        <f>_xlfn.XLOOKUP(Table1[[#This Row],[CustomerID]],customers!A:A,customers!B:B)</f>
        <v>HILARION-Abastos</v>
      </c>
      <c r="P367" s="6" t="str">
        <f>_xlfn.XLOOKUP(Table1[[#This Row],[shipperID]],Table6[shipperID],Table6[companyName])</f>
        <v>United Package</v>
      </c>
      <c r="Q367">
        <f>YEAR(Table1[[#This Row],[OrderDate]])</f>
        <v>2014</v>
      </c>
      <c r="R367">
        <f>MONTH(Table1[[#This Row],[OrderDate]])</f>
        <v>7</v>
      </c>
      <c r="S367" t="str">
        <f>"Q"&amp;ROUNDUP(Table1[[#This Row],[month]]/3,0)</f>
        <v>Q3</v>
      </c>
      <c r="T367" t="str">
        <f>CONCATENATE(Table1[[#This Row],[year]],"-",Table1[[#This Row],[Quarter]])</f>
        <v>2014-Q3</v>
      </c>
      <c r="U367" s="6" t="str">
        <f>IF(H366="","Pending",IF(Table1[[#This Row],[Days to ship]]&lt;Table1[[#This Row],[RequiredDate]],"On Time","Late"))</f>
        <v>On Time</v>
      </c>
      <c r="V367">
        <f>_xlfn.XLOOKUP(Table1[[#This Row],[orderID]],Table3[orderID],Table3[unitPrice])</f>
        <v>6</v>
      </c>
    </row>
    <row r="368" spans="1:22" x14ac:dyDescent="0.45">
      <c r="A368" s="3">
        <v>10614</v>
      </c>
      <c r="B368" s="6" t="s">
        <v>171</v>
      </c>
      <c r="C368" s="3">
        <v>8</v>
      </c>
      <c r="D368" s="6" t="str">
        <f>_xlfn.XLOOKUP(Table1[[#This Row],[EmployeeID]],Table4[employeeID],Table4[employeeName])</f>
        <v>Laura Callahan</v>
      </c>
      <c r="E368" s="1">
        <v>41849</v>
      </c>
      <c r="F368" s="1">
        <v>41877</v>
      </c>
      <c r="G368" s="1">
        <v>41852</v>
      </c>
      <c r="H368" s="3">
        <f>IF(Table1[[#This Row],[ShippedDate]]="","",IF(Table1[[#This Row],[OrderDate]]="","",Table1[[#This Row],[ShippedDate]]-Table1[[#This Row],[OrderDate]]))</f>
        <v>3</v>
      </c>
      <c r="I368" s="3">
        <v>3</v>
      </c>
      <c r="J368" s="2">
        <v>1.93</v>
      </c>
      <c r="K368" s="2">
        <f>SUMIF(order_details!A:A,Table1[[#This Row],[orderID]],order_details!F:F)</f>
        <v>464</v>
      </c>
      <c r="L368" s="9">
        <f>_xlfn.XLOOKUP(Table1[[#This Row],[orderID]],Table3[orderID],Table3[discount])</f>
        <v>0</v>
      </c>
      <c r="M368" s="2">
        <f>SUM(Table1[[#This Row],[Sales]],Table1[[#This Row],[freight]])</f>
        <v>465.93</v>
      </c>
      <c r="N368" s="3">
        <f>_xlfn.XLOOKUP(Table1[[#This Row],[orderID]],Table3[orderID],Table3[quantity])</f>
        <v>14</v>
      </c>
      <c r="O368" s="6" t="str">
        <f>_xlfn.XLOOKUP(Table1[[#This Row],[CustomerID]],customers!A:A,customers!B:B)</f>
        <v>Blauer See Delikatessen</v>
      </c>
      <c r="P368" s="6" t="str">
        <f>_xlfn.XLOOKUP(Table1[[#This Row],[shipperID]],Table6[shipperID],Table6[companyName])</f>
        <v>Federal Shipping</v>
      </c>
      <c r="Q368">
        <f>YEAR(Table1[[#This Row],[OrderDate]])</f>
        <v>2014</v>
      </c>
      <c r="R368">
        <f>MONTH(Table1[[#This Row],[OrderDate]])</f>
        <v>7</v>
      </c>
      <c r="S368" t="str">
        <f>"Q"&amp;ROUNDUP(Table1[[#This Row],[month]]/3,0)</f>
        <v>Q3</v>
      </c>
      <c r="T368" t="str">
        <f>CONCATENATE(Table1[[#This Row],[year]],"-",Table1[[#This Row],[Quarter]])</f>
        <v>2014-Q3</v>
      </c>
      <c r="U368" s="6" t="str">
        <f>IF(H367="","Pending",IF(Table1[[#This Row],[Days to ship]]&lt;Table1[[#This Row],[RequiredDate]],"On Time","Late"))</f>
        <v>On Time</v>
      </c>
      <c r="V368">
        <f>_xlfn.XLOOKUP(Table1[[#This Row],[orderID]],Table3[orderID],Table3[unitPrice])</f>
        <v>21</v>
      </c>
    </row>
    <row r="369" spans="1:22" x14ac:dyDescent="0.45">
      <c r="A369" s="3">
        <v>10615</v>
      </c>
      <c r="B369" s="6" t="s">
        <v>204</v>
      </c>
      <c r="C369" s="3">
        <v>2</v>
      </c>
      <c r="D369" s="6" t="str">
        <f>_xlfn.XLOOKUP(Table1[[#This Row],[EmployeeID]],Table4[employeeID],Table4[employeeName])</f>
        <v>Andrew Fuller</v>
      </c>
      <c r="E369" s="1">
        <v>41850</v>
      </c>
      <c r="F369" s="1">
        <v>41878</v>
      </c>
      <c r="G369" s="1">
        <v>41857</v>
      </c>
      <c r="H369" s="3">
        <f>IF(Table1[[#This Row],[ShippedDate]]="","",IF(Table1[[#This Row],[OrderDate]]="","",Table1[[#This Row],[ShippedDate]]-Table1[[#This Row],[OrderDate]]))</f>
        <v>7</v>
      </c>
      <c r="I369" s="3">
        <v>3</v>
      </c>
      <c r="J369" s="2">
        <v>0.75</v>
      </c>
      <c r="K369" s="2">
        <f>SUMIF(order_details!A:A,Table1[[#This Row],[orderID]],order_details!F:F)</f>
        <v>120</v>
      </c>
      <c r="L369" s="9">
        <f>_xlfn.XLOOKUP(Table1[[#This Row],[orderID]],Table3[orderID],Table3[discount])</f>
        <v>0</v>
      </c>
      <c r="M369" s="2">
        <f>SUM(Table1[[#This Row],[Sales]],Table1[[#This Row],[freight]])</f>
        <v>120.75</v>
      </c>
      <c r="N369" s="3">
        <f>_xlfn.XLOOKUP(Table1[[#This Row],[orderID]],Table3[orderID],Table3[quantity])</f>
        <v>5</v>
      </c>
      <c r="O369" s="6" t="str">
        <f>_xlfn.XLOOKUP(Table1[[#This Row],[CustomerID]],customers!A:A,customers!B:B)</f>
        <v>Wilman Kala</v>
      </c>
      <c r="P369" s="6" t="str">
        <f>_xlfn.XLOOKUP(Table1[[#This Row],[shipperID]],Table6[shipperID],Table6[companyName])</f>
        <v>Federal Shipping</v>
      </c>
      <c r="Q369">
        <f>YEAR(Table1[[#This Row],[OrderDate]])</f>
        <v>2014</v>
      </c>
      <c r="R369">
        <f>MONTH(Table1[[#This Row],[OrderDate]])</f>
        <v>7</v>
      </c>
      <c r="S369" t="str">
        <f>"Q"&amp;ROUNDUP(Table1[[#This Row],[month]]/3,0)</f>
        <v>Q3</v>
      </c>
      <c r="T369" t="str">
        <f>CONCATENATE(Table1[[#This Row],[year]],"-",Table1[[#This Row],[Quarter]])</f>
        <v>2014-Q3</v>
      </c>
      <c r="U369" s="6" t="str">
        <f>IF(H368="","Pending",IF(Table1[[#This Row],[Days to ship]]&lt;Table1[[#This Row],[RequiredDate]],"On Time","Late"))</f>
        <v>On Time</v>
      </c>
      <c r="V369">
        <f>_xlfn.XLOOKUP(Table1[[#This Row],[orderID]],Table3[orderID],Table3[unitPrice])</f>
        <v>24</v>
      </c>
    </row>
    <row r="370" spans="1:22" x14ac:dyDescent="0.45">
      <c r="A370" s="3">
        <v>10616</v>
      </c>
      <c r="B370" s="6" t="s">
        <v>168</v>
      </c>
      <c r="C370" s="3">
        <v>1</v>
      </c>
      <c r="D370" s="6" t="str">
        <f>_xlfn.XLOOKUP(Table1[[#This Row],[EmployeeID]],Table4[employeeID],Table4[employeeName])</f>
        <v>Nancy Davolio</v>
      </c>
      <c r="E370" s="1">
        <v>41851</v>
      </c>
      <c r="F370" s="1">
        <v>41879</v>
      </c>
      <c r="G370" s="1">
        <v>41856</v>
      </c>
      <c r="H370" s="3">
        <f>IF(Table1[[#This Row],[ShippedDate]]="","",IF(Table1[[#This Row],[OrderDate]]="","",Table1[[#This Row],[ShippedDate]]-Table1[[#This Row],[OrderDate]]))</f>
        <v>5</v>
      </c>
      <c r="I370" s="3">
        <v>2</v>
      </c>
      <c r="J370" s="2">
        <v>116.53</v>
      </c>
      <c r="K370" s="2">
        <f>SUMIF(order_details!A:A,Table1[[#This Row],[orderID]],order_details!F:F)</f>
        <v>4807</v>
      </c>
      <c r="L370" s="9">
        <f>_xlfn.XLOOKUP(Table1[[#This Row],[orderID]],Table3[orderID],Table3[discount])</f>
        <v>0.05</v>
      </c>
      <c r="M370" s="2">
        <f>SUM(Table1[[#This Row],[Sales]],Table1[[#This Row],[freight]])</f>
        <v>4923.53</v>
      </c>
      <c r="N370" s="3">
        <f>_xlfn.XLOOKUP(Table1[[#This Row],[orderID]],Table3[orderID],Table3[quantity])</f>
        <v>15</v>
      </c>
      <c r="O370" s="6" t="str">
        <f>_xlfn.XLOOKUP(Table1[[#This Row],[CustomerID]],customers!A:A,customers!B:B)</f>
        <v>Great Lakes Food Market</v>
      </c>
      <c r="P370" s="6" t="str">
        <f>_xlfn.XLOOKUP(Table1[[#This Row],[shipperID]],Table6[shipperID],Table6[companyName])</f>
        <v>United Package</v>
      </c>
      <c r="Q370">
        <f>YEAR(Table1[[#This Row],[OrderDate]])</f>
        <v>2014</v>
      </c>
      <c r="R370">
        <f>MONTH(Table1[[#This Row],[OrderDate]])</f>
        <v>7</v>
      </c>
      <c r="S370" t="str">
        <f>"Q"&amp;ROUNDUP(Table1[[#This Row],[month]]/3,0)</f>
        <v>Q3</v>
      </c>
      <c r="T370" t="str">
        <f>CONCATENATE(Table1[[#This Row],[year]],"-",Table1[[#This Row],[Quarter]])</f>
        <v>2014-Q3</v>
      </c>
      <c r="U370" s="6" t="str">
        <f>IF(H369="","Pending",IF(Table1[[#This Row],[Days to ship]]&lt;Table1[[#This Row],[RequiredDate]],"On Time","Late"))</f>
        <v>On Time</v>
      </c>
      <c r="V370">
        <f>_xlfn.XLOOKUP(Table1[[#This Row],[orderID]],Table3[orderID],Table3[unitPrice])</f>
        <v>263.5</v>
      </c>
    </row>
    <row r="371" spans="1:22" x14ac:dyDescent="0.45">
      <c r="A371" s="3">
        <v>10617</v>
      </c>
      <c r="B371" s="6" t="s">
        <v>168</v>
      </c>
      <c r="C371" s="3">
        <v>4</v>
      </c>
      <c r="D371" s="6" t="str">
        <f>_xlfn.XLOOKUP(Table1[[#This Row],[EmployeeID]],Table4[employeeID],Table4[employeeName])</f>
        <v>Margaret Peacock</v>
      </c>
      <c r="E371" s="1">
        <v>41851</v>
      </c>
      <c r="F371" s="1">
        <v>41879</v>
      </c>
      <c r="G371" s="1">
        <v>41855</v>
      </c>
      <c r="H371" s="3">
        <f>IF(Table1[[#This Row],[ShippedDate]]="","",IF(Table1[[#This Row],[OrderDate]]="","",Table1[[#This Row],[ShippedDate]]-Table1[[#This Row],[OrderDate]]))</f>
        <v>4</v>
      </c>
      <c r="I371" s="3">
        <v>2</v>
      </c>
      <c r="J371" s="2">
        <v>18.53</v>
      </c>
      <c r="K371" s="2">
        <f>SUMIF(order_details!A:A,Table1[[#This Row],[orderID]],order_details!F:F)</f>
        <v>1402.5</v>
      </c>
      <c r="L371" s="9">
        <f>_xlfn.XLOOKUP(Table1[[#This Row],[orderID]],Table3[orderID],Table3[discount])</f>
        <v>0.15</v>
      </c>
      <c r="M371" s="2">
        <f>SUM(Table1[[#This Row],[Sales]],Table1[[#This Row],[freight]])</f>
        <v>1421.03</v>
      </c>
      <c r="N371" s="3">
        <f>_xlfn.XLOOKUP(Table1[[#This Row],[orderID]],Table3[orderID],Table3[quantity])</f>
        <v>30</v>
      </c>
      <c r="O371" s="6" t="str">
        <f>_xlfn.XLOOKUP(Table1[[#This Row],[CustomerID]],customers!A:A,customers!B:B)</f>
        <v>Great Lakes Food Market</v>
      </c>
      <c r="P371" s="6" t="str">
        <f>_xlfn.XLOOKUP(Table1[[#This Row],[shipperID]],Table6[shipperID],Table6[companyName])</f>
        <v>United Package</v>
      </c>
      <c r="Q371">
        <f>YEAR(Table1[[#This Row],[OrderDate]])</f>
        <v>2014</v>
      </c>
      <c r="R371">
        <f>MONTH(Table1[[#This Row],[OrderDate]])</f>
        <v>7</v>
      </c>
      <c r="S371" t="str">
        <f>"Q"&amp;ROUNDUP(Table1[[#This Row],[month]]/3,0)</f>
        <v>Q3</v>
      </c>
      <c r="T371" t="str">
        <f>CONCATENATE(Table1[[#This Row],[year]],"-",Table1[[#This Row],[Quarter]])</f>
        <v>2014-Q3</v>
      </c>
      <c r="U371" s="6" t="str">
        <f>IF(H370="","Pending",IF(Table1[[#This Row],[Days to ship]]&lt;Table1[[#This Row],[RequiredDate]],"On Time","Late"))</f>
        <v>On Time</v>
      </c>
      <c r="V371">
        <f>_xlfn.XLOOKUP(Table1[[#This Row],[orderID]],Table3[orderID],Table3[unitPrice])</f>
        <v>55</v>
      </c>
    </row>
    <row r="372" spans="1:22" x14ac:dyDescent="0.45">
      <c r="A372" s="3">
        <v>10618</v>
      </c>
      <c r="B372" s="6" t="s">
        <v>238</v>
      </c>
      <c r="C372" s="3">
        <v>1</v>
      </c>
      <c r="D372" s="6" t="str">
        <f>_xlfn.XLOOKUP(Table1[[#This Row],[EmployeeID]],Table4[employeeID],Table4[employeeName])</f>
        <v>Nancy Davolio</v>
      </c>
      <c r="E372" s="1">
        <v>41852</v>
      </c>
      <c r="F372" s="1">
        <v>41894</v>
      </c>
      <c r="G372" s="1">
        <v>41859</v>
      </c>
      <c r="H372" s="3">
        <f>IF(Table1[[#This Row],[ShippedDate]]="","",IF(Table1[[#This Row],[OrderDate]]="","",Table1[[#This Row],[ShippedDate]]-Table1[[#This Row],[OrderDate]]))</f>
        <v>7</v>
      </c>
      <c r="I372" s="3">
        <v>1</v>
      </c>
      <c r="J372" s="2">
        <v>154.68</v>
      </c>
      <c r="K372" s="2">
        <f>SUMIF(order_details!A:A,Table1[[#This Row],[orderID]],order_details!F:F)</f>
        <v>2697.5</v>
      </c>
      <c r="L372" s="9">
        <f>_xlfn.XLOOKUP(Table1[[#This Row],[orderID]],Table3[orderID],Table3[discount])</f>
        <v>0</v>
      </c>
      <c r="M372" s="2">
        <f>SUM(Table1[[#This Row],[Sales]],Table1[[#This Row],[freight]])</f>
        <v>2852.18</v>
      </c>
      <c r="N372" s="3">
        <f>_xlfn.XLOOKUP(Table1[[#This Row],[orderID]],Table3[orderID],Table3[quantity])</f>
        <v>70</v>
      </c>
      <c r="O372" s="6" t="str">
        <f>_xlfn.XLOOKUP(Table1[[#This Row],[CustomerID]],customers!A:A,customers!B:B)</f>
        <v>Mère Paillarde</v>
      </c>
      <c r="P372" s="6" t="str">
        <f>_xlfn.XLOOKUP(Table1[[#This Row],[shipperID]],Table6[shipperID],Table6[companyName])</f>
        <v>Speedy Express</v>
      </c>
      <c r="Q372">
        <f>YEAR(Table1[[#This Row],[OrderDate]])</f>
        <v>2014</v>
      </c>
      <c r="R372">
        <f>MONTH(Table1[[#This Row],[OrderDate]])</f>
        <v>8</v>
      </c>
      <c r="S372" t="str">
        <f>"Q"&amp;ROUNDUP(Table1[[#This Row],[month]]/3,0)</f>
        <v>Q3</v>
      </c>
      <c r="T372" t="str">
        <f>CONCATENATE(Table1[[#This Row],[year]],"-",Table1[[#This Row],[Quarter]])</f>
        <v>2014-Q3</v>
      </c>
      <c r="U372" s="6" t="str">
        <f>IF(H371="","Pending",IF(Table1[[#This Row],[Days to ship]]&lt;Table1[[#This Row],[RequiredDate]],"On Time","Late"))</f>
        <v>On Time</v>
      </c>
      <c r="V372">
        <f>_xlfn.XLOOKUP(Table1[[#This Row],[orderID]],Table3[orderID],Table3[unitPrice])</f>
        <v>25</v>
      </c>
    </row>
    <row r="373" spans="1:22" x14ac:dyDescent="0.45">
      <c r="A373" s="3">
        <v>10619</v>
      </c>
      <c r="B373" s="6" t="s">
        <v>238</v>
      </c>
      <c r="C373" s="3">
        <v>3</v>
      </c>
      <c r="D373" s="6" t="str">
        <f>_xlfn.XLOOKUP(Table1[[#This Row],[EmployeeID]],Table4[employeeID],Table4[employeeName])</f>
        <v>Janet Leverling</v>
      </c>
      <c r="E373" s="1">
        <v>41855</v>
      </c>
      <c r="F373" s="1">
        <v>41883</v>
      </c>
      <c r="G373" s="1">
        <v>41858</v>
      </c>
      <c r="H373" s="3">
        <f>IF(Table1[[#This Row],[ShippedDate]]="","",IF(Table1[[#This Row],[OrderDate]]="","",Table1[[#This Row],[ShippedDate]]-Table1[[#This Row],[OrderDate]]))</f>
        <v>3</v>
      </c>
      <c r="I373" s="3">
        <v>3</v>
      </c>
      <c r="J373" s="2">
        <v>91.05</v>
      </c>
      <c r="K373" s="2">
        <f>SUMIF(order_details!A:A,Table1[[#This Row],[orderID]],order_details!F:F)</f>
        <v>1260</v>
      </c>
      <c r="L373" s="9">
        <f>_xlfn.XLOOKUP(Table1[[#This Row],[orderID]],Table3[orderID],Table3[discount])</f>
        <v>0</v>
      </c>
      <c r="M373" s="2">
        <f>SUM(Table1[[#This Row],[Sales]],Table1[[#This Row],[freight]])</f>
        <v>1351.05</v>
      </c>
      <c r="N373" s="3">
        <f>_xlfn.XLOOKUP(Table1[[#This Row],[orderID]],Table3[orderID],Table3[quantity])</f>
        <v>42</v>
      </c>
      <c r="O373" s="6" t="str">
        <f>_xlfn.XLOOKUP(Table1[[#This Row],[CustomerID]],customers!A:A,customers!B:B)</f>
        <v>Mère Paillarde</v>
      </c>
      <c r="P373" s="6" t="str">
        <f>_xlfn.XLOOKUP(Table1[[#This Row],[shipperID]],Table6[shipperID],Table6[companyName])</f>
        <v>Federal Shipping</v>
      </c>
      <c r="Q373">
        <f>YEAR(Table1[[#This Row],[OrderDate]])</f>
        <v>2014</v>
      </c>
      <c r="R373">
        <f>MONTH(Table1[[#This Row],[OrderDate]])</f>
        <v>8</v>
      </c>
      <c r="S373" t="str">
        <f>"Q"&amp;ROUNDUP(Table1[[#This Row],[month]]/3,0)</f>
        <v>Q3</v>
      </c>
      <c r="T373" t="str">
        <f>CONCATENATE(Table1[[#This Row],[year]],"-",Table1[[#This Row],[Quarter]])</f>
        <v>2014-Q3</v>
      </c>
      <c r="U373" s="6" t="str">
        <f>IF(H372="","Pending",IF(Table1[[#This Row],[Days to ship]]&lt;Table1[[#This Row],[RequiredDate]],"On Time","Late"))</f>
        <v>On Time</v>
      </c>
      <c r="V373">
        <f>_xlfn.XLOOKUP(Table1[[#This Row],[orderID]],Table3[orderID],Table3[unitPrice])</f>
        <v>10</v>
      </c>
    </row>
    <row r="374" spans="1:22" x14ac:dyDescent="0.45">
      <c r="A374" s="3">
        <v>10620</v>
      </c>
      <c r="B374" s="6" t="s">
        <v>233</v>
      </c>
      <c r="C374" s="3">
        <v>2</v>
      </c>
      <c r="D374" s="6" t="str">
        <f>_xlfn.XLOOKUP(Table1[[#This Row],[EmployeeID]],Table4[employeeID],Table4[employeeName])</f>
        <v>Andrew Fuller</v>
      </c>
      <c r="E374" s="1">
        <v>41856</v>
      </c>
      <c r="F374" s="1">
        <v>41884</v>
      </c>
      <c r="G374" s="1">
        <v>41865</v>
      </c>
      <c r="H374" s="3">
        <f>IF(Table1[[#This Row],[ShippedDate]]="","",IF(Table1[[#This Row],[OrderDate]]="","",Table1[[#This Row],[ShippedDate]]-Table1[[#This Row],[OrderDate]]))</f>
        <v>9</v>
      </c>
      <c r="I374" s="3">
        <v>3</v>
      </c>
      <c r="J374" s="2">
        <v>0.94</v>
      </c>
      <c r="K374" s="2">
        <f>SUMIF(order_details!A:A,Table1[[#This Row],[orderID]],order_details!F:F)</f>
        <v>57.5</v>
      </c>
      <c r="L374" s="9">
        <f>_xlfn.XLOOKUP(Table1[[#This Row],[orderID]],Table3[orderID],Table3[discount])</f>
        <v>0</v>
      </c>
      <c r="M374" s="2">
        <f>SUM(Table1[[#This Row],[Sales]],Table1[[#This Row],[freight]])</f>
        <v>58.44</v>
      </c>
      <c r="N374" s="3">
        <f>_xlfn.XLOOKUP(Table1[[#This Row],[orderID]],Table3[orderID],Table3[quantity])</f>
        <v>5</v>
      </c>
      <c r="O374" s="6" t="str">
        <f>_xlfn.XLOOKUP(Table1[[#This Row],[CustomerID]],customers!A:A,customers!B:B)</f>
        <v>Laughing Bacchus Wine Cellars</v>
      </c>
      <c r="P374" s="6" t="str">
        <f>_xlfn.XLOOKUP(Table1[[#This Row],[shipperID]],Table6[shipperID],Table6[companyName])</f>
        <v>Federal Shipping</v>
      </c>
      <c r="Q374">
        <f>YEAR(Table1[[#This Row],[OrderDate]])</f>
        <v>2014</v>
      </c>
      <c r="R374">
        <f>MONTH(Table1[[#This Row],[OrderDate]])</f>
        <v>8</v>
      </c>
      <c r="S374" t="str">
        <f>"Q"&amp;ROUNDUP(Table1[[#This Row],[month]]/3,0)</f>
        <v>Q3</v>
      </c>
      <c r="T374" t="str">
        <f>CONCATENATE(Table1[[#This Row],[year]],"-",Table1[[#This Row],[Quarter]])</f>
        <v>2014-Q3</v>
      </c>
      <c r="U374" s="6" t="str">
        <f>IF(H373="","Pending",IF(Table1[[#This Row],[Days to ship]]&lt;Table1[[#This Row],[RequiredDate]],"On Time","Late"))</f>
        <v>On Time</v>
      </c>
      <c r="V374">
        <f>_xlfn.XLOOKUP(Table1[[#This Row],[orderID]],Table3[orderID],Table3[unitPrice])</f>
        <v>4.5</v>
      </c>
    </row>
    <row r="375" spans="1:22" x14ac:dyDescent="0.45">
      <c r="A375" s="3">
        <v>10621</v>
      </c>
      <c r="B375" s="6" t="s">
        <v>220</v>
      </c>
      <c r="C375" s="3">
        <v>4</v>
      </c>
      <c r="D375" s="6" t="str">
        <f>_xlfn.XLOOKUP(Table1[[#This Row],[EmployeeID]],Table4[employeeID],Table4[employeeName])</f>
        <v>Margaret Peacock</v>
      </c>
      <c r="E375" s="1">
        <v>41856</v>
      </c>
      <c r="F375" s="1">
        <v>41884</v>
      </c>
      <c r="G375" s="1">
        <v>41862</v>
      </c>
      <c r="H375" s="3">
        <f>IF(Table1[[#This Row],[ShippedDate]]="","",IF(Table1[[#This Row],[OrderDate]]="","",Table1[[#This Row],[ShippedDate]]-Table1[[#This Row],[OrderDate]]))</f>
        <v>6</v>
      </c>
      <c r="I375" s="3">
        <v>2</v>
      </c>
      <c r="J375" s="2">
        <v>23.73</v>
      </c>
      <c r="K375" s="2">
        <f>SUMIF(order_details!A:A,Table1[[#This Row],[orderID]],order_details!F:F)</f>
        <v>758.5</v>
      </c>
      <c r="L375" s="9">
        <f>_xlfn.XLOOKUP(Table1[[#This Row],[orderID]],Table3[orderID],Table3[discount])</f>
        <v>0</v>
      </c>
      <c r="M375" s="2">
        <f>SUM(Table1[[#This Row],[Sales]],Table1[[#This Row],[freight]])</f>
        <v>782.23</v>
      </c>
      <c r="N375" s="3">
        <f>_xlfn.XLOOKUP(Table1[[#This Row],[orderID]],Table3[orderID],Table3[quantity])</f>
        <v>5</v>
      </c>
      <c r="O375" s="6" t="str">
        <f>_xlfn.XLOOKUP(Table1[[#This Row],[CustomerID]],customers!A:A,customers!B:B)</f>
        <v>Island Trading</v>
      </c>
      <c r="P375" s="6" t="str">
        <f>_xlfn.XLOOKUP(Table1[[#This Row],[shipperID]],Table6[shipperID],Table6[companyName])</f>
        <v>United Package</v>
      </c>
      <c r="Q375">
        <f>YEAR(Table1[[#This Row],[OrderDate]])</f>
        <v>2014</v>
      </c>
      <c r="R375">
        <f>MONTH(Table1[[#This Row],[OrderDate]])</f>
        <v>8</v>
      </c>
      <c r="S375" t="str">
        <f>"Q"&amp;ROUNDUP(Table1[[#This Row],[month]]/3,0)</f>
        <v>Q3</v>
      </c>
      <c r="T375" t="str">
        <f>CONCATENATE(Table1[[#This Row],[year]],"-",Table1[[#This Row],[Quarter]])</f>
        <v>2014-Q3</v>
      </c>
      <c r="U375" s="6" t="str">
        <f>IF(H374="","Pending",IF(Table1[[#This Row],[Days to ship]]&lt;Table1[[#This Row],[RequiredDate]],"On Time","Late"))</f>
        <v>On Time</v>
      </c>
      <c r="V375">
        <f>_xlfn.XLOOKUP(Table1[[#This Row],[orderID]],Table3[orderID],Table3[unitPrice])</f>
        <v>9.1999999999999993</v>
      </c>
    </row>
    <row r="376" spans="1:22" x14ac:dyDescent="0.45">
      <c r="A376" s="3">
        <v>10622</v>
      </c>
      <c r="B376" s="6" t="s">
        <v>170</v>
      </c>
      <c r="C376" s="3">
        <v>4</v>
      </c>
      <c r="D376" s="6" t="str">
        <f>_xlfn.XLOOKUP(Table1[[#This Row],[EmployeeID]],Table4[employeeID],Table4[employeeName])</f>
        <v>Margaret Peacock</v>
      </c>
      <c r="E376" s="1">
        <v>41857</v>
      </c>
      <c r="F376" s="1">
        <v>41885</v>
      </c>
      <c r="G376" s="1">
        <v>41862</v>
      </c>
      <c r="H376" s="3">
        <f>IF(Table1[[#This Row],[ShippedDate]]="","",IF(Table1[[#This Row],[OrderDate]]="","",Table1[[#This Row],[ShippedDate]]-Table1[[#This Row],[OrderDate]]))</f>
        <v>5</v>
      </c>
      <c r="I376" s="3">
        <v>3</v>
      </c>
      <c r="J376" s="2">
        <v>50.97</v>
      </c>
      <c r="K376" s="2">
        <f>SUMIF(order_details!A:A,Table1[[#This Row],[orderID]],order_details!F:F)</f>
        <v>560</v>
      </c>
      <c r="L376" s="9">
        <f>_xlfn.XLOOKUP(Table1[[#This Row],[orderID]],Table3[orderID],Table3[discount])</f>
        <v>0</v>
      </c>
      <c r="M376" s="2">
        <f>SUM(Table1[[#This Row],[Sales]],Table1[[#This Row],[freight]])</f>
        <v>610.97</v>
      </c>
      <c r="N376" s="3">
        <f>_xlfn.XLOOKUP(Table1[[#This Row],[orderID]],Table3[orderID],Table3[quantity])</f>
        <v>20</v>
      </c>
      <c r="O376" s="6" t="str">
        <f>_xlfn.XLOOKUP(Table1[[#This Row],[CustomerID]],customers!A:A,customers!B:B)</f>
        <v>Ricardo Adocicados</v>
      </c>
      <c r="P376" s="6" t="str">
        <f>_xlfn.XLOOKUP(Table1[[#This Row],[shipperID]],Table6[shipperID],Table6[companyName])</f>
        <v>Federal Shipping</v>
      </c>
      <c r="Q376">
        <f>YEAR(Table1[[#This Row],[OrderDate]])</f>
        <v>2014</v>
      </c>
      <c r="R376">
        <f>MONTH(Table1[[#This Row],[OrderDate]])</f>
        <v>8</v>
      </c>
      <c r="S376" t="str">
        <f>"Q"&amp;ROUNDUP(Table1[[#This Row],[month]]/3,0)</f>
        <v>Q3</v>
      </c>
      <c r="T376" t="str">
        <f>CONCATENATE(Table1[[#This Row],[year]],"-",Table1[[#This Row],[Quarter]])</f>
        <v>2014-Q3</v>
      </c>
      <c r="U376" s="6" t="str">
        <f>IF(H375="","Pending",IF(Table1[[#This Row],[Days to ship]]&lt;Table1[[#This Row],[RequiredDate]],"On Time","Late"))</f>
        <v>On Time</v>
      </c>
      <c r="V376">
        <f>_xlfn.XLOOKUP(Table1[[#This Row],[orderID]],Table3[orderID],Table3[unitPrice])</f>
        <v>19</v>
      </c>
    </row>
    <row r="377" spans="1:22" x14ac:dyDescent="0.45">
      <c r="A377" s="3">
        <v>10623</v>
      </c>
      <c r="B377" s="6" t="s">
        <v>201</v>
      </c>
      <c r="C377" s="3">
        <v>8</v>
      </c>
      <c r="D377" s="6" t="str">
        <f>_xlfn.XLOOKUP(Table1[[#This Row],[EmployeeID]],Table4[employeeID],Table4[employeeName])</f>
        <v>Laura Callahan</v>
      </c>
      <c r="E377" s="1">
        <v>41858</v>
      </c>
      <c r="F377" s="1">
        <v>41886</v>
      </c>
      <c r="G377" s="1">
        <v>41863</v>
      </c>
      <c r="H377" s="3">
        <f>IF(Table1[[#This Row],[ShippedDate]]="","",IF(Table1[[#This Row],[OrderDate]]="","",Table1[[#This Row],[ShippedDate]]-Table1[[#This Row],[OrderDate]]))</f>
        <v>5</v>
      </c>
      <c r="I377" s="3">
        <v>2</v>
      </c>
      <c r="J377" s="2">
        <v>97.18</v>
      </c>
      <c r="K377" s="2">
        <f>SUMIF(order_details!A:A,Table1[[#This Row],[orderID]],order_details!F:F)</f>
        <v>1336.95</v>
      </c>
      <c r="L377" s="9">
        <f>_xlfn.XLOOKUP(Table1[[#This Row],[orderID]],Table3[orderID],Table3[discount])</f>
        <v>0</v>
      </c>
      <c r="M377" s="2">
        <f>SUM(Table1[[#This Row],[Sales]],Table1[[#This Row],[freight]])</f>
        <v>1434.13</v>
      </c>
      <c r="N377" s="3">
        <f>_xlfn.XLOOKUP(Table1[[#This Row],[orderID]],Table3[orderID],Table3[quantity])</f>
        <v>21</v>
      </c>
      <c r="O377" s="6" t="str">
        <f>_xlfn.XLOOKUP(Table1[[#This Row],[CustomerID]],customers!A:A,customers!B:B)</f>
        <v>Frankenversand</v>
      </c>
      <c r="P377" s="6" t="str">
        <f>_xlfn.XLOOKUP(Table1[[#This Row],[shipperID]],Table6[shipperID],Table6[companyName])</f>
        <v>United Package</v>
      </c>
      <c r="Q377">
        <f>YEAR(Table1[[#This Row],[OrderDate]])</f>
        <v>2014</v>
      </c>
      <c r="R377">
        <f>MONTH(Table1[[#This Row],[OrderDate]])</f>
        <v>8</v>
      </c>
      <c r="S377" t="str">
        <f>"Q"&amp;ROUNDUP(Table1[[#This Row],[month]]/3,0)</f>
        <v>Q3</v>
      </c>
      <c r="T377" t="str">
        <f>CONCATENATE(Table1[[#This Row],[year]],"-",Table1[[#This Row],[Quarter]])</f>
        <v>2014-Q3</v>
      </c>
      <c r="U377" s="6" t="str">
        <f>IF(H376="","Pending",IF(Table1[[#This Row],[Days to ship]]&lt;Table1[[#This Row],[RequiredDate]],"On Time","Late"))</f>
        <v>On Time</v>
      </c>
      <c r="V377">
        <f>_xlfn.XLOOKUP(Table1[[#This Row],[orderID]],Table3[orderID],Table3[unitPrice])</f>
        <v>23.25</v>
      </c>
    </row>
    <row r="378" spans="1:22" x14ac:dyDescent="0.45">
      <c r="A378" s="3">
        <v>10624</v>
      </c>
      <c r="B378" s="6" t="s">
        <v>206</v>
      </c>
      <c r="C378" s="3">
        <v>4</v>
      </c>
      <c r="D378" s="6" t="str">
        <f>_xlfn.XLOOKUP(Table1[[#This Row],[EmployeeID]],Table4[employeeID],Table4[employeeName])</f>
        <v>Margaret Peacock</v>
      </c>
      <c r="E378" s="1">
        <v>41858</v>
      </c>
      <c r="F378" s="1">
        <v>41886</v>
      </c>
      <c r="G378" s="1">
        <v>41870</v>
      </c>
      <c r="H378" s="3">
        <f>IF(Table1[[#This Row],[ShippedDate]]="","",IF(Table1[[#This Row],[OrderDate]]="","",Table1[[#This Row],[ShippedDate]]-Table1[[#This Row],[OrderDate]]))</f>
        <v>12</v>
      </c>
      <c r="I378" s="3">
        <v>2</v>
      </c>
      <c r="J378" s="2">
        <v>94.8</v>
      </c>
      <c r="K378" s="2">
        <f>SUMIF(order_details!A:A,Table1[[#This Row],[orderID]],order_details!F:F)</f>
        <v>1393.24</v>
      </c>
      <c r="L378" s="9">
        <f>_xlfn.XLOOKUP(Table1[[#This Row],[orderID]],Table3[orderID],Table3[discount])</f>
        <v>0</v>
      </c>
      <c r="M378" s="2">
        <f>SUM(Table1[[#This Row],[Sales]],Table1[[#This Row],[freight]])</f>
        <v>1488.04</v>
      </c>
      <c r="N378" s="3">
        <f>_xlfn.XLOOKUP(Table1[[#This Row],[orderID]],Table3[orderID],Table3[quantity])</f>
        <v>10</v>
      </c>
      <c r="O378" s="6" t="str">
        <f>_xlfn.XLOOKUP(Table1[[#This Row],[CustomerID]],customers!A:A,customers!B:B)</f>
        <v>The Cracker Box</v>
      </c>
      <c r="P378" s="6" t="str">
        <f>_xlfn.XLOOKUP(Table1[[#This Row],[shipperID]],Table6[shipperID],Table6[companyName])</f>
        <v>United Package</v>
      </c>
      <c r="Q378">
        <f>YEAR(Table1[[#This Row],[OrderDate]])</f>
        <v>2014</v>
      </c>
      <c r="R378">
        <f>MONTH(Table1[[#This Row],[OrderDate]])</f>
        <v>8</v>
      </c>
      <c r="S378" t="str">
        <f>"Q"&amp;ROUNDUP(Table1[[#This Row],[month]]/3,0)</f>
        <v>Q3</v>
      </c>
      <c r="T378" t="str">
        <f>CONCATENATE(Table1[[#This Row],[year]],"-",Table1[[#This Row],[Quarter]])</f>
        <v>2014-Q3</v>
      </c>
      <c r="U378" s="6" t="str">
        <f>IF(H377="","Pending",IF(Table1[[#This Row],[Days to ship]]&lt;Table1[[#This Row],[RequiredDate]],"On Time","Late"))</f>
        <v>On Time</v>
      </c>
      <c r="V378">
        <f>_xlfn.XLOOKUP(Table1[[#This Row],[orderID]],Table3[orderID],Table3[unitPrice])</f>
        <v>45.6</v>
      </c>
    </row>
    <row r="379" spans="1:22" x14ac:dyDescent="0.45">
      <c r="A379" s="3">
        <v>10625</v>
      </c>
      <c r="B379" s="6" t="s">
        <v>222</v>
      </c>
      <c r="C379" s="3">
        <v>3</v>
      </c>
      <c r="D379" s="6" t="str">
        <f>_xlfn.XLOOKUP(Table1[[#This Row],[EmployeeID]],Table4[employeeID],Table4[employeeName])</f>
        <v>Janet Leverling</v>
      </c>
      <c r="E379" s="1">
        <v>41859</v>
      </c>
      <c r="F379" s="1">
        <v>41887</v>
      </c>
      <c r="G379" s="1">
        <v>41865</v>
      </c>
      <c r="H379" s="3">
        <f>IF(Table1[[#This Row],[ShippedDate]]="","",IF(Table1[[#This Row],[OrderDate]]="","",Table1[[#This Row],[ShippedDate]]-Table1[[#This Row],[OrderDate]]))</f>
        <v>6</v>
      </c>
      <c r="I379" s="3">
        <v>1</v>
      </c>
      <c r="J379" s="2">
        <v>43.9</v>
      </c>
      <c r="K379" s="2">
        <f>SUMIF(order_details!A:A,Table1[[#This Row],[orderID]],order_details!F:F)</f>
        <v>479.75</v>
      </c>
      <c r="L379" s="9">
        <f>_xlfn.XLOOKUP(Table1[[#This Row],[orderID]],Table3[orderID],Table3[discount])</f>
        <v>0</v>
      </c>
      <c r="M379" s="2">
        <f>SUM(Table1[[#This Row],[Sales]],Table1[[#This Row],[freight]])</f>
        <v>523.65</v>
      </c>
      <c r="N379" s="3">
        <f>_xlfn.XLOOKUP(Table1[[#This Row],[orderID]],Table3[orderID],Table3[quantity])</f>
        <v>3</v>
      </c>
      <c r="O379" s="6" t="str">
        <f>_xlfn.XLOOKUP(Table1[[#This Row],[CustomerID]],customers!A:A,customers!B:B)</f>
        <v>Ana Trujillo Emparedados y helados</v>
      </c>
      <c r="P379" s="6" t="str">
        <f>_xlfn.XLOOKUP(Table1[[#This Row],[shipperID]],Table6[shipperID],Table6[companyName])</f>
        <v>Speedy Express</v>
      </c>
      <c r="Q379">
        <f>YEAR(Table1[[#This Row],[OrderDate]])</f>
        <v>2014</v>
      </c>
      <c r="R379">
        <f>MONTH(Table1[[#This Row],[OrderDate]])</f>
        <v>8</v>
      </c>
      <c r="S379" t="str">
        <f>"Q"&amp;ROUNDUP(Table1[[#This Row],[month]]/3,0)</f>
        <v>Q3</v>
      </c>
      <c r="T379" t="str">
        <f>CONCATENATE(Table1[[#This Row],[year]],"-",Table1[[#This Row],[Quarter]])</f>
        <v>2014-Q3</v>
      </c>
      <c r="U379" s="6" t="str">
        <f>IF(H378="","Pending",IF(Table1[[#This Row],[Days to ship]]&lt;Table1[[#This Row],[RequiredDate]],"On Time","Late"))</f>
        <v>On Time</v>
      </c>
      <c r="V379">
        <f>_xlfn.XLOOKUP(Table1[[#This Row],[orderID]],Table3[orderID],Table3[unitPrice])</f>
        <v>23.25</v>
      </c>
    </row>
    <row r="380" spans="1:22" x14ac:dyDescent="0.45">
      <c r="A380" s="3">
        <v>10626</v>
      </c>
      <c r="B380" s="6" t="s">
        <v>223</v>
      </c>
      <c r="C380" s="3">
        <v>1</v>
      </c>
      <c r="D380" s="6" t="str">
        <f>_xlfn.XLOOKUP(Table1[[#This Row],[EmployeeID]],Table4[employeeID],Table4[employeeName])</f>
        <v>Nancy Davolio</v>
      </c>
      <c r="E380" s="1">
        <v>41862</v>
      </c>
      <c r="F380" s="1">
        <v>41890</v>
      </c>
      <c r="G380" s="1">
        <v>41871</v>
      </c>
      <c r="H380" s="3">
        <f>IF(Table1[[#This Row],[ShippedDate]]="","",IF(Table1[[#This Row],[OrderDate]]="","",Table1[[#This Row],[ShippedDate]]-Table1[[#This Row],[OrderDate]]))</f>
        <v>9</v>
      </c>
      <c r="I380" s="3">
        <v>2</v>
      </c>
      <c r="J380" s="2">
        <v>138.69</v>
      </c>
      <c r="K380" s="2">
        <f>SUMIF(order_details!A:A,Table1[[#This Row],[orderID]],order_details!F:F)</f>
        <v>1503.6</v>
      </c>
      <c r="L380" s="9">
        <f>_xlfn.XLOOKUP(Table1[[#This Row],[orderID]],Table3[orderID],Table3[discount])</f>
        <v>0</v>
      </c>
      <c r="M380" s="2">
        <f>SUM(Table1[[#This Row],[Sales]],Table1[[#This Row],[freight]])</f>
        <v>1642.29</v>
      </c>
      <c r="N380" s="3">
        <f>_xlfn.XLOOKUP(Table1[[#This Row],[orderID]],Table3[orderID],Table3[quantity])</f>
        <v>12</v>
      </c>
      <c r="O380" s="6" t="str">
        <f>_xlfn.XLOOKUP(Table1[[#This Row],[CustomerID]],customers!A:A,customers!B:B)</f>
        <v>Berglunds snabbköp</v>
      </c>
      <c r="P380" s="6" t="str">
        <f>_xlfn.XLOOKUP(Table1[[#This Row],[shipperID]],Table6[shipperID],Table6[companyName])</f>
        <v>United Package</v>
      </c>
      <c r="Q380">
        <f>YEAR(Table1[[#This Row],[OrderDate]])</f>
        <v>2014</v>
      </c>
      <c r="R380">
        <f>MONTH(Table1[[#This Row],[OrderDate]])</f>
        <v>8</v>
      </c>
      <c r="S380" t="str">
        <f>"Q"&amp;ROUNDUP(Table1[[#This Row],[month]]/3,0)</f>
        <v>Q3</v>
      </c>
      <c r="T380" t="str">
        <f>CONCATENATE(Table1[[#This Row],[year]],"-",Table1[[#This Row],[Quarter]])</f>
        <v>2014-Q3</v>
      </c>
      <c r="U380" s="6" t="str">
        <f>IF(H379="","Pending",IF(Table1[[#This Row],[Days to ship]]&lt;Table1[[#This Row],[RequiredDate]],"On Time","Late"))</f>
        <v>On Time</v>
      </c>
      <c r="V380">
        <f>_xlfn.XLOOKUP(Table1[[#This Row],[orderID]],Table3[orderID],Table3[unitPrice])</f>
        <v>32.799999999999997</v>
      </c>
    </row>
    <row r="381" spans="1:22" x14ac:dyDescent="0.45">
      <c r="A381" s="3">
        <v>10627</v>
      </c>
      <c r="B381" s="6" t="s">
        <v>165</v>
      </c>
      <c r="C381" s="3">
        <v>8</v>
      </c>
      <c r="D381" s="6" t="str">
        <f>_xlfn.XLOOKUP(Table1[[#This Row],[EmployeeID]],Table4[employeeID],Table4[employeeName])</f>
        <v>Laura Callahan</v>
      </c>
      <c r="E381" s="1">
        <v>41862</v>
      </c>
      <c r="F381" s="1">
        <v>41904</v>
      </c>
      <c r="G381" s="1">
        <v>41872</v>
      </c>
      <c r="H381" s="3">
        <f>IF(Table1[[#This Row],[ShippedDate]]="","",IF(Table1[[#This Row],[OrderDate]]="","",Table1[[#This Row],[ShippedDate]]-Table1[[#This Row],[OrderDate]]))</f>
        <v>10</v>
      </c>
      <c r="I381" s="3">
        <v>3</v>
      </c>
      <c r="J381" s="2">
        <v>107.46</v>
      </c>
      <c r="K381" s="2">
        <f>SUMIF(order_details!A:A,Table1[[#This Row],[orderID]],order_details!F:F)</f>
        <v>1185.75</v>
      </c>
      <c r="L381" s="9">
        <f>_xlfn.XLOOKUP(Table1[[#This Row],[orderID]],Table3[orderID],Table3[discount])</f>
        <v>0</v>
      </c>
      <c r="M381" s="2">
        <f>SUM(Table1[[#This Row],[Sales]],Table1[[#This Row],[freight]])</f>
        <v>1293.21</v>
      </c>
      <c r="N381" s="3">
        <f>_xlfn.XLOOKUP(Table1[[#This Row],[orderID]],Table3[orderID],Table3[quantity])</f>
        <v>15</v>
      </c>
      <c r="O381" s="6" t="str">
        <f>_xlfn.XLOOKUP(Table1[[#This Row],[CustomerID]],customers!A:A,customers!B:B)</f>
        <v>Save-a-lot Markets</v>
      </c>
      <c r="P381" s="6" t="str">
        <f>_xlfn.XLOOKUP(Table1[[#This Row],[shipperID]],Table6[shipperID],Table6[companyName])</f>
        <v>Federal Shipping</v>
      </c>
      <c r="Q381">
        <f>YEAR(Table1[[#This Row],[OrderDate]])</f>
        <v>2014</v>
      </c>
      <c r="R381">
        <f>MONTH(Table1[[#This Row],[OrderDate]])</f>
        <v>8</v>
      </c>
      <c r="S381" t="str">
        <f>"Q"&amp;ROUNDUP(Table1[[#This Row],[month]]/3,0)</f>
        <v>Q3</v>
      </c>
      <c r="T381" t="str">
        <f>CONCATENATE(Table1[[#This Row],[year]],"-",Table1[[#This Row],[Quarter]])</f>
        <v>2014-Q3</v>
      </c>
      <c r="U381" s="6" t="str">
        <f>IF(H380="","Pending",IF(Table1[[#This Row],[Days to ship]]&lt;Table1[[#This Row],[RequiredDate]],"On Time","Late"))</f>
        <v>On Time</v>
      </c>
      <c r="V381">
        <f>_xlfn.XLOOKUP(Table1[[#This Row],[orderID]],Table3[orderID],Table3[unitPrice])</f>
        <v>49.3</v>
      </c>
    </row>
    <row r="382" spans="1:22" x14ac:dyDescent="0.45">
      <c r="A382" s="3">
        <v>10628</v>
      </c>
      <c r="B382" s="6" t="s">
        <v>231</v>
      </c>
      <c r="C382" s="3">
        <v>4</v>
      </c>
      <c r="D382" s="6" t="str">
        <f>_xlfn.XLOOKUP(Table1[[#This Row],[EmployeeID]],Table4[employeeID],Table4[employeeName])</f>
        <v>Margaret Peacock</v>
      </c>
      <c r="E382" s="1">
        <v>41863</v>
      </c>
      <c r="F382" s="1">
        <v>41891</v>
      </c>
      <c r="G382" s="1">
        <v>41871</v>
      </c>
      <c r="H382" s="3">
        <f>IF(Table1[[#This Row],[ShippedDate]]="","",IF(Table1[[#This Row],[OrderDate]]="","",Table1[[#This Row],[ShippedDate]]-Table1[[#This Row],[OrderDate]]))</f>
        <v>8</v>
      </c>
      <c r="I382" s="3">
        <v>3</v>
      </c>
      <c r="J382" s="2">
        <v>30.36</v>
      </c>
      <c r="K382" s="2">
        <f>SUMIF(order_details!A:A,Table1[[#This Row],[orderID]],order_details!F:F)</f>
        <v>450</v>
      </c>
      <c r="L382" s="9">
        <f>_xlfn.XLOOKUP(Table1[[#This Row],[orderID]],Table3[orderID],Table3[discount])</f>
        <v>0</v>
      </c>
      <c r="M382" s="2">
        <f>SUM(Table1[[#This Row],[Sales]],Table1[[#This Row],[freight]])</f>
        <v>480.36</v>
      </c>
      <c r="N382" s="3">
        <f>_xlfn.XLOOKUP(Table1[[#This Row],[orderID]],Table3[orderID],Table3[quantity])</f>
        <v>25</v>
      </c>
      <c r="O382" s="6" t="str">
        <f>_xlfn.XLOOKUP(Table1[[#This Row],[CustomerID]],customers!A:A,customers!B:B)</f>
        <v>Blondesddsl père et fils</v>
      </c>
      <c r="P382" s="6" t="str">
        <f>_xlfn.XLOOKUP(Table1[[#This Row],[shipperID]],Table6[shipperID],Table6[companyName])</f>
        <v>Federal Shipping</v>
      </c>
      <c r="Q382">
        <f>YEAR(Table1[[#This Row],[OrderDate]])</f>
        <v>2014</v>
      </c>
      <c r="R382">
        <f>MONTH(Table1[[#This Row],[OrderDate]])</f>
        <v>8</v>
      </c>
      <c r="S382" t="str">
        <f>"Q"&amp;ROUNDUP(Table1[[#This Row],[month]]/3,0)</f>
        <v>Q3</v>
      </c>
      <c r="T382" t="str">
        <f>CONCATENATE(Table1[[#This Row],[year]],"-",Table1[[#This Row],[Quarter]])</f>
        <v>2014-Q3</v>
      </c>
      <c r="U382" s="6" t="str">
        <f>IF(H381="","Pending",IF(Table1[[#This Row],[Days to ship]]&lt;Table1[[#This Row],[RequiredDate]],"On Time","Late"))</f>
        <v>On Time</v>
      </c>
      <c r="V382">
        <f>_xlfn.XLOOKUP(Table1[[#This Row],[orderID]],Table3[orderID],Table3[unitPrice])</f>
        <v>18</v>
      </c>
    </row>
    <row r="383" spans="1:22" x14ac:dyDescent="0.45">
      <c r="A383" s="3">
        <v>10629</v>
      </c>
      <c r="B383" s="6" t="s">
        <v>189</v>
      </c>
      <c r="C383" s="3">
        <v>4</v>
      </c>
      <c r="D383" s="6" t="str">
        <f>_xlfn.XLOOKUP(Table1[[#This Row],[EmployeeID]],Table4[employeeID],Table4[employeeName])</f>
        <v>Margaret Peacock</v>
      </c>
      <c r="E383" s="1">
        <v>41863</v>
      </c>
      <c r="F383" s="1">
        <v>41891</v>
      </c>
      <c r="G383" s="1">
        <v>41871</v>
      </c>
      <c r="H383" s="3">
        <f>IF(Table1[[#This Row],[ShippedDate]]="","",IF(Table1[[#This Row],[OrderDate]]="","",Table1[[#This Row],[ShippedDate]]-Table1[[#This Row],[OrderDate]]))</f>
        <v>8</v>
      </c>
      <c r="I383" s="3">
        <v>3</v>
      </c>
      <c r="J383" s="2">
        <v>85.46</v>
      </c>
      <c r="K383" s="2">
        <f>SUMIF(order_details!A:A,Table1[[#This Row],[orderID]],order_details!F:F)</f>
        <v>2775.05</v>
      </c>
      <c r="L383" s="9">
        <f>_xlfn.XLOOKUP(Table1[[#This Row],[orderID]],Table3[orderID],Table3[discount])</f>
        <v>0</v>
      </c>
      <c r="M383" s="2">
        <f>SUM(Table1[[#This Row],[Sales]],Table1[[#This Row],[freight]])</f>
        <v>2860.51</v>
      </c>
      <c r="N383" s="3">
        <f>_xlfn.XLOOKUP(Table1[[#This Row],[orderID]],Table3[orderID],Table3[quantity])</f>
        <v>20</v>
      </c>
      <c r="O383" s="6" t="str">
        <f>_xlfn.XLOOKUP(Table1[[#This Row],[CustomerID]],customers!A:A,customers!B:B)</f>
        <v>Godos Cocina Típica</v>
      </c>
      <c r="P383" s="6" t="str">
        <f>_xlfn.XLOOKUP(Table1[[#This Row],[shipperID]],Table6[shipperID],Table6[companyName])</f>
        <v>Federal Shipping</v>
      </c>
      <c r="Q383">
        <f>YEAR(Table1[[#This Row],[OrderDate]])</f>
        <v>2014</v>
      </c>
      <c r="R383">
        <f>MONTH(Table1[[#This Row],[OrderDate]])</f>
        <v>8</v>
      </c>
      <c r="S383" t="str">
        <f>"Q"&amp;ROUNDUP(Table1[[#This Row],[month]]/3,0)</f>
        <v>Q3</v>
      </c>
      <c r="T383" t="str">
        <f>CONCATENATE(Table1[[#This Row],[year]],"-",Table1[[#This Row],[Quarter]])</f>
        <v>2014-Q3</v>
      </c>
      <c r="U383" s="6" t="str">
        <f>IF(H382="","Pending",IF(Table1[[#This Row],[Days to ship]]&lt;Table1[[#This Row],[RequiredDate]],"On Time","Late"))</f>
        <v>On Time</v>
      </c>
      <c r="V383">
        <f>_xlfn.XLOOKUP(Table1[[#This Row],[orderID]],Table3[orderID],Table3[unitPrice])</f>
        <v>123.79</v>
      </c>
    </row>
    <row r="384" spans="1:22" x14ac:dyDescent="0.45">
      <c r="A384" s="3">
        <v>10630</v>
      </c>
      <c r="B384" s="6" t="s">
        <v>191</v>
      </c>
      <c r="C384" s="3">
        <v>1</v>
      </c>
      <c r="D384" s="6" t="str">
        <f>_xlfn.XLOOKUP(Table1[[#This Row],[EmployeeID]],Table4[employeeID],Table4[employeeName])</f>
        <v>Nancy Davolio</v>
      </c>
      <c r="E384" s="1">
        <v>41864</v>
      </c>
      <c r="F384" s="1">
        <v>41892</v>
      </c>
      <c r="G384" s="1">
        <v>41870</v>
      </c>
      <c r="H384" s="3">
        <f>IF(Table1[[#This Row],[ShippedDate]]="","",IF(Table1[[#This Row],[OrderDate]]="","",Table1[[#This Row],[ShippedDate]]-Table1[[#This Row],[OrderDate]]))</f>
        <v>6</v>
      </c>
      <c r="I384" s="3">
        <v>2</v>
      </c>
      <c r="J384" s="2">
        <v>32.35</v>
      </c>
      <c r="K384" s="2">
        <f>SUMIF(order_details!A:A,Table1[[#This Row],[orderID]],order_details!F:F)</f>
        <v>903.59999999999991</v>
      </c>
      <c r="L384" s="9">
        <f>_xlfn.XLOOKUP(Table1[[#This Row],[orderID]],Table3[orderID],Table3[discount])</f>
        <v>0.05</v>
      </c>
      <c r="M384" s="2">
        <f>SUM(Table1[[#This Row],[Sales]],Table1[[#This Row],[freight]])</f>
        <v>935.94999999999993</v>
      </c>
      <c r="N384" s="3">
        <f>_xlfn.XLOOKUP(Table1[[#This Row],[orderID]],Table3[orderID],Table3[quantity])</f>
        <v>12</v>
      </c>
      <c r="O384" s="6" t="str">
        <f>_xlfn.XLOOKUP(Table1[[#This Row],[CustomerID]],customers!A:A,customers!B:B)</f>
        <v>Königlich Essen</v>
      </c>
      <c r="P384" s="6" t="str">
        <f>_xlfn.XLOOKUP(Table1[[#This Row],[shipperID]],Table6[shipperID],Table6[companyName])</f>
        <v>United Package</v>
      </c>
      <c r="Q384">
        <f>YEAR(Table1[[#This Row],[OrderDate]])</f>
        <v>2014</v>
      </c>
      <c r="R384">
        <f>MONTH(Table1[[#This Row],[OrderDate]])</f>
        <v>8</v>
      </c>
      <c r="S384" t="str">
        <f>"Q"&amp;ROUNDUP(Table1[[#This Row],[month]]/3,0)</f>
        <v>Q3</v>
      </c>
      <c r="T384" t="str">
        <f>CONCATENATE(Table1[[#This Row],[year]],"-",Table1[[#This Row],[Quarter]])</f>
        <v>2014-Q3</v>
      </c>
      <c r="U384" s="6" t="str">
        <f>IF(H383="","Pending",IF(Table1[[#This Row],[Days to ship]]&lt;Table1[[#This Row],[RequiredDate]],"On Time","Late"))</f>
        <v>On Time</v>
      </c>
      <c r="V384">
        <f>_xlfn.XLOOKUP(Table1[[#This Row],[orderID]],Table3[orderID],Table3[unitPrice])</f>
        <v>24</v>
      </c>
    </row>
    <row r="385" spans="1:22" x14ac:dyDescent="0.45">
      <c r="A385" s="3">
        <v>10631</v>
      </c>
      <c r="B385" s="6" t="s">
        <v>178</v>
      </c>
      <c r="C385" s="3">
        <v>8</v>
      </c>
      <c r="D385" s="6" t="str">
        <f>_xlfn.XLOOKUP(Table1[[#This Row],[EmployeeID]],Table4[employeeID],Table4[employeeName])</f>
        <v>Laura Callahan</v>
      </c>
      <c r="E385" s="1">
        <v>41865</v>
      </c>
      <c r="F385" s="1">
        <v>41893</v>
      </c>
      <c r="G385" s="1">
        <v>41866</v>
      </c>
      <c r="H385" s="3">
        <f>IF(Table1[[#This Row],[ShippedDate]]="","",IF(Table1[[#This Row],[OrderDate]]="","",Table1[[#This Row],[ShippedDate]]-Table1[[#This Row],[OrderDate]]))</f>
        <v>1</v>
      </c>
      <c r="I385" s="3">
        <v>1</v>
      </c>
      <c r="J385" s="2">
        <v>0.87</v>
      </c>
      <c r="K385" s="2">
        <f>SUMIF(order_details!A:A,Table1[[#This Row],[orderID]],order_details!F:F)</f>
        <v>55.800000000000004</v>
      </c>
      <c r="L385" s="9">
        <f>_xlfn.XLOOKUP(Table1[[#This Row],[orderID]],Table3[orderID],Table3[discount])</f>
        <v>0.1</v>
      </c>
      <c r="M385" s="2">
        <f>SUM(Table1[[#This Row],[Sales]],Table1[[#This Row],[freight]])</f>
        <v>56.67</v>
      </c>
      <c r="N385" s="3">
        <f>_xlfn.XLOOKUP(Table1[[#This Row],[orderID]],Table3[orderID],Table3[quantity])</f>
        <v>8</v>
      </c>
      <c r="O385" s="6" t="str">
        <f>_xlfn.XLOOKUP(Table1[[#This Row],[CustomerID]],customers!A:A,customers!B:B)</f>
        <v>La maison d'Asie</v>
      </c>
      <c r="P385" s="6" t="str">
        <f>_xlfn.XLOOKUP(Table1[[#This Row],[shipperID]],Table6[shipperID],Table6[companyName])</f>
        <v>Speedy Express</v>
      </c>
      <c r="Q385">
        <f>YEAR(Table1[[#This Row],[OrderDate]])</f>
        <v>2014</v>
      </c>
      <c r="R385">
        <f>MONTH(Table1[[#This Row],[OrderDate]])</f>
        <v>8</v>
      </c>
      <c r="S385" t="str">
        <f>"Q"&amp;ROUNDUP(Table1[[#This Row],[month]]/3,0)</f>
        <v>Q3</v>
      </c>
      <c r="T385" t="str">
        <f>CONCATENATE(Table1[[#This Row],[year]],"-",Table1[[#This Row],[Quarter]])</f>
        <v>2014-Q3</v>
      </c>
      <c r="U385" s="6" t="str">
        <f>IF(H384="","Pending",IF(Table1[[#This Row],[Days to ship]]&lt;Table1[[#This Row],[RequiredDate]],"On Time","Late"))</f>
        <v>On Time</v>
      </c>
      <c r="V385">
        <f>_xlfn.XLOOKUP(Table1[[#This Row],[orderID]],Table3[orderID],Table3[unitPrice])</f>
        <v>7.75</v>
      </c>
    </row>
    <row r="386" spans="1:22" x14ac:dyDescent="0.45">
      <c r="A386" s="3">
        <v>10632</v>
      </c>
      <c r="B386" s="6" t="s">
        <v>182</v>
      </c>
      <c r="C386" s="3">
        <v>8</v>
      </c>
      <c r="D386" s="6" t="str">
        <f>_xlfn.XLOOKUP(Table1[[#This Row],[EmployeeID]],Table4[employeeID],Table4[employeeName])</f>
        <v>Laura Callahan</v>
      </c>
      <c r="E386" s="1">
        <v>41865</v>
      </c>
      <c r="F386" s="1">
        <v>41893</v>
      </c>
      <c r="G386" s="1">
        <v>41870</v>
      </c>
      <c r="H386" s="3">
        <f>IF(Table1[[#This Row],[ShippedDate]]="","",IF(Table1[[#This Row],[OrderDate]]="","",Table1[[#This Row],[ShippedDate]]-Table1[[#This Row],[OrderDate]]))</f>
        <v>5</v>
      </c>
      <c r="I386" s="3">
        <v>1</v>
      </c>
      <c r="J386" s="2">
        <v>41.38</v>
      </c>
      <c r="K386" s="2">
        <f>SUMIF(order_details!A:A,Table1[[#This Row],[orderID]],order_details!F:F)</f>
        <v>589</v>
      </c>
      <c r="L386" s="9">
        <f>_xlfn.XLOOKUP(Table1[[#This Row],[orderID]],Table3[orderID],Table3[discount])</f>
        <v>0.05</v>
      </c>
      <c r="M386" s="2">
        <f>SUM(Table1[[#This Row],[Sales]],Table1[[#This Row],[freight]])</f>
        <v>630.38</v>
      </c>
      <c r="N386" s="3">
        <f>_xlfn.XLOOKUP(Table1[[#This Row],[orderID]],Table3[orderID],Table3[quantity])</f>
        <v>30</v>
      </c>
      <c r="O386" s="6" t="str">
        <f>_xlfn.XLOOKUP(Table1[[#This Row],[CustomerID]],customers!A:A,customers!B:B)</f>
        <v>Die Wandernde Kuh</v>
      </c>
      <c r="P386" s="6" t="str">
        <f>_xlfn.XLOOKUP(Table1[[#This Row],[shipperID]],Table6[shipperID],Table6[companyName])</f>
        <v>Speedy Express</v>
      </c>
      <c r="Q386">
        <f>YEAR(Table1[[#This Row],[OrderDate]])</f>
        <v>2014</v>
      </c>
      <c r="R386">
        <f>MONTH(Table1[[#This Row],[OrderDate]])</f>
        <v>8</v>
      </c>
      <c r="S386" t="str">
        <f>"Q"&amp;ROUNDUP(Table1[[#This Row],[month]]/3,0)</f>
        <v>Q3</v>
      </c>
      <c r="T386" t="str">
        <f>CONCATENATE(Table1[[#This Row],[year]],"-",Table1[[#This Row],[Quarter]])</f>
        <v>2014-Q3</v>
      </c>
      <c r="U386" s="6" t="str">
        <f>IF(H385="","Pending",IF(Table1[[#This Row],[Days to ship]]&lt;Table1[[#This Row],[RequiredDate]],"On Time","Late"))</f>
        <v>On Time</v>
      </c>
      <c r="V386">
        <f>_xlfn.XLOOKUP(Table1[[#This Row],[orderID]],Table3[orderID],Table3[unitPrice])</f>
        <v>19</v>
      </c>
    </row>
    <row r="387" spans="1:22" x14ac:dyDescent="0.45">
      <c r="A387" s="3">
        <v>10633</v>
      </c>
      <c r="B387" s="6" t="s">
        <v>158</v>
      </c>
      <c r="C387" s="3">
        <v>7</v>
      </c>
      <c r="D387" s="6" t="str">
        <f>_xlfn.XLOOKUP(Table1[[#This Row],[EmployeeID]],Table4[employeeID],Table4[employeeName])</f>
        <v>Robert King</v>
      </c>
      <c r="E387" s="1">
        <v>41866</v>
      </c>
      <c r="F387" s="1">
        <v>41894</v>
      </c>
      <c r="G387" s="1">
        <v>41869</v>
      </c>
      <c r="H387" s="3">
        <f>IF(Table1[[#This Row],[ShippedDate]]="","",IF(Table1[[#This Row],[OrderDate]]="","",Table1[[#This Row],[ShippedDate]]-Table1[[#This Row],[OrderDate]]))</f>
        <v>3</v>
      </c>
      <c r="I387" s="3">
        <v>3</v>
      </c>
      <c r="J387" s="2">
        <v>477.9</v>
      </c>
      <c r="K387" s="2">
        <f>SUMIF(order_details!A:A,Table1[[#This Row],[orderID]],order_details!F:F)</f>
        <v>5510.5925000000007</v>
      </c>
      <c r="L387" s="9">
        <f>_xlfn.XLOOKUP(Table1[[#This Row],[orderID]],Table3[orderID],Table3[discount])</f>
        <v>0.15</v>
      </c>
      <c r="M387" s="2">
        <f>SUM(Table1[[#This Row],[Sales]],Table1[[#This Row],[freight]])</f>
        <v>5988.4925000000003</v>
      </c>
      <c r="N387" s="3">
        <f>_xlfn.XLOOKUP(Table1[[#This Row],[orderID]],Table3[orderID],Table3[quantity])</f>
        <v>36</v>
      </c>
      <c r="O387" s="6" t="str">
        <f>_xlfn.XLOOKUP(Table1[[#This Row],[CustomerID]],customers!A:A,customers!B:B)</f>
        <v>Ernst Handel</v>
      </c>
      <c r="P387" s="6" t="str">
        <f>_xlfn.XLOOKUP(Table1[[#This Row],[shipperID]],Table6[shipperID],Table6[companyName])</f>
        <v>Federal Shipping</v>
      </c>
      <c r="Q387">
        <f>YEAR(Table1[[#This Row],[OrderDate]])</f>
        <v>2014</v>
      </c>
      <c r="R387">
        <f>MONTH(Table1[[#This Row],[OrderDate]])</f>
        <v>8</v>
      </c>
      <c r="S387" t="str">
        <f>"Q"&amp;ROUNDUP(Table1[[#This Row],[month]]/3,0)</f>
        <v>Q3</v>
      </c>
      <c r="T387" t="str">
        <f>CONCATENATE(Table1[[#This Row],[year]],"-",Table1[[#This Row],[Quarter]])</f>
        <v>2014-Q3</v>
      </c>
      <c r="U387" s="6" t="str">
        <f>IF(H386="","Pending",IF(Table1[[#This Row],[Days to ship]]&lt;Table1[[#This Row],[RequiredDate]],"On Time","Late"))</f>
        <v>On Time</v>
      </c>
      <c r="V387">
        <f>_xlfn.XLOOKUP(Table1[[#This Row],[orderID]],Table3[orderID],Table3[unitPrice])</f>
        <v>38</v>
      </c>
    </row>
    <row r="388" spans="1:22" x14ac:dyDescent="0.45">
      <c r="A388" s="3">
        <v>10634</v>
      </c>
      <c r="B388" s="6" t="s">
        <v>234</v>
      </c>
      <c r="C388" s="3">
        <v>4</v>
      </c>
      <c r="D388" s="6" t="str">
        <f>_xlfn.XLOOKUP(Table1[[#This Row],[EmployeeID]],Table4[employeeID],Table4[employeeName])</f>
        <v>Margaret Peacock</v>
      </c>
      <c r="E388" s="1">
        <v>41866</v>
      </c>
      <c r="F388" s="1">
        <v>41894</v>
      </c>
      <c r="G388" s="1">
        <v>41872</v>
      </c>
      <c r="H388" s="3">
        <f>IF(Table1[[#This Row],[ShippedDate]]="","",IF(Table1[[#This Row],[OrderDate]]="","",Table1[[#This Row],[ShippedDate]]-Table1[[#This Row],[OrderDate]]))</f>
        <v>6</v>
      </c>
      <c r="I388" s="3">
        <v>3</v>
      </c>
      <c r="J388" s="2">
        <v>487.38</v>
      </c>
      <c r="K388" s="2">
        <f>SUMIF(order_details!A:A,Table1[[#This Row],[orderID]],order_details!F:F)</f>
        <v>4985.5</v>
      </c>
      <c r="L388" s="9">
        <f>_xlfn.XLOOKUP(Table1[[#This Row],[orderID]],Table3[orderID],Table3[discount])</f>
        <v>0</v>
      </c>
      <c r="M388" s="2">
        <f>SUM(Table1[[#This Row],[Sales]],Table1[[#This Row],[freight]])</f>
        <v>5472.88</v>
      </c>
      <c r="N388" s="3">
        <f>_xlfn.XLOOKUP(Table1[[#This Row],[orderID]],Table3[orderID],Table3[quantity])</f>
        <v>35</v>
      </c>
      <c r="O388" s="6" t="str">
        <f>_xlfn.XLOOKUP(Table1[[#This Row],[CustomerID]],customers!A:A,customers!B:B)</f>
        <v>Folies gourmandes</v>
      </c>
      <c r="P388" s="6" t="str">
        <f>_xlfn.XLOOKUP(Table1[[#This Row],[shipperID]],Table6[shipperID],Table6[companyName])</f>
        <v>Federal Shipping</v>
      </c>
      <c r="Q388">
        <f>YEAR(Table1[[#This Row],[OrderDate]])</f>
        <v>2014</v>
      </c>
      <c r="R388">
        <f>MONTH(Table1[[#This Row],[OrderDate]])</f>
        <v>8</v>
      </c>
      <c r="S388" t="str">
        <f>"Q"&amp;ROUNDUP(Table1[[#This Row],[month]]/3,0)</f>
        <v>Q3</v>
      </c>
      <c r="T388" t="str">
        <f>CONCATENATE(Table1[[#This Row],[year]],"-",Table1[[#This Row],[Quarter]])</f>
        <v>2014-Q3</v>
      </c>
      <c r="U388" s="6" t="str">
        <f>IF(H387="","Pending",IF(Table1[[#This Row],[Days to ship]]&lt;Table1[[#This Row],[RequiredDate]],"On Time","Late"))</f>
        <v>On Time</v>
      </c>
      <c r="V388">
        <f>_xlfn.XLOOKUP(Table1[[#This Row],[orderID]],Table3[orderID],Table3[unitPrice])</f>
        <v>30</v>
      </c>
    </row>
    <row r="389" spans="1:22" x14ac:dyDescent="0.45">
      <c r="A389" s="3">
        <v>10635</v>
      </c>
      <c r="B389" s="6" t="s">
        <v>217</v>
      </c>
      <c r="C389" s="3">
        <v>8</v>
      </c>
      <c r="D389" s="6" t="str">
        <f>_xlfn.XLOOKUP(Table1[[#This Row],[EmployeeID]],Table4[employeeID],Table4[employeeName])</f>
        <v>Laura Callahan</v>
      </c>
      <c r="E389" s="1">
        <v>41869</v>
      </c>
      <c r="F389" s="1">
        <v>41897</v>
      </c>
      <c r="G389" s="1">
        <v>41872</v>
      </c>
      <c r="H389" s="3">
        <f>IF(Table1[[#This Row],[ShippedDate]]="","",IF(Table1[[#This Row],[OrderDate]]="","",Table1[[#This Row],[ShippedDate]]-Table1[[#This Row],[OrderDate]]))</f>
        <v>3</v>
      </c>
      <c r="I389" s="3">
        <v>3</v>
      </c>
      <c r="J389" s="2">
        <v>47.46</v>
      </c>
      <c r="K389" s="2">
        <f>SUMIF(order_details!A:A,Table1[[#This Row],[orderID]],order_details!F:F)</f>
        <v>1326.2249999999999</v>
      </c>
      <c r="L389" s="9">
        <f>_xlfn.XLOOKUP(Table1[[#This Row],[orderID]],Table3[orderID],Table3[discount])</f>
        <v>0.1</v>
      </c>
      <c r="M389" s="2">
        <f>SUM(Table1[[#This Row],[Sales]],Table1[[#This Row],[freight]])</f>
        <v>1373.6849999999999</v>
      </c>
      <c r="N389" s="3">
        <f>_xlfn.XLOOKUP(Table1[[#This Row],[orderID]],Table3[orderID],Table3[quantity])</f>
        <v>10</v>
      </c>
      <c r="O389" s="6" t="str">
        <f>_xlfn.XLOOKUP(Table1[[#This Row],[CustomerID]],customers!A:A,customers!B:B)</f>
        <v>Magazzini Alimentari Riuniti</v>
      </c>
      <c r="P389" s="6" t="str">
        <f>_xlfn.XLOOKUP(Table1[[#This Row],[shipperID]],Table6[shipperID],Table6[companyName])</f>
        <v>Federal Shipping</v>
      </c>
      <c r="Q389">
        <f>YEAR(Table1[[#This Row],[OrderDate]])</f>
        <v>2014</v>
      </c>
      <c r="R389">
        <f>MONTH(Table1[[#This Row],[OrderDate]])</f>
        <v>8</v>
      </c>
      <c r="S389" t="str">
        <f>"Q"&amp;ROUNDUP(Table1[[#This Row],[month]]/3,0)</f>
        <v>Q3</v>
      </c>
      <c r="T389" t="str">
        <f>CONCATENATE(Table1[[#This Row],[year]],"-",Table1[[#This Row],[Quarter]])</f>
        <v>2014-Q3</v>
      </c>
      <c r="U389" s="6" t="str">
        <f>IF(H388="","Pending",IF(Table1[[#This Row],[Days to ship]]&lt;Table1[[#This Row],[RequiredDate]],"On Time","Late"))</f>
        <v>On Time</v>
      </c>
      <c r="V389">
        <f>_xlfn.XLOOKUP(Table1[[#This Row],[orderID]],Table3[orderID],Table3[unitPrice])</f>
        <v>22</v>
      </c>
    </row>
    <row r="390" spans="1:22" x14ac:dyDescent="0.45">
      <c r="A390" s="3">
        <v>10636</v>
      </c>
      <c r="B390" s="6" t="s">
        <v>192</v>
      </c>
      <c r="C390" s="3">
        <v>4</v>
      </c>
      <c r="D390" s="6" t="str">
        <f>_xlfn.XLOOKUP(Table1[[#This Row],[EmployeeID]],Table4[employeeID],Table4[employeeName])</f>
        <v>Margaret Peacock</v>
      </c>
      <c r="E390" s="1">
        <v>41870</v>
      </c>
      <c r="F390" s="1">
        <v>41898</v>
      </c>
      <c r="G390" s="1">
        <v>41877</v>
      </c>
      <c r="H390" s="3">
        <f>IF(Table1[[#This Row],[ShippedDate]]="","",IF(Table1[[#This Row],[OrderDate]]="","",Table1[[#This Row],[ShippedDate]]-Table1[[#This Row],[OrderDate]]))</f>
        <v>7</v>
      </c>
      <c r="I390" s="3">
        <v>1</v>
      </c>
      <c r="J390" s="2">
        <v>1.1499999999999999</v>
      </c>
      <c r="K390" s="2">
        <f>SUMIF(order_details!A:A,Table1[[#This Row],[orderID]],order_details!F:F)</f>
        <v>629.5</v>
      </c>
      <c r="L390" s="9">
        <f>_xlfn.XLOOKUP(Table1[[#This Row],[orderID]],Table3[orderID],Table3[discount])</f>
        <v>0</v>
      </c>
      <c r="M390" s="2">
        <f>SUM(Table1[[#This Row],[Sales]],Table1[[#This Row],[freight]])</f>
        <v>630.65</v>
      </c>
      <c r="N390" s="3">
        <f>_xlfn.XLOOKUP(Table1[[#This Row],[orderID]],Table3[orderID],Table3[quantity])</f>
        <v>25</v>
      </c>
      <c r="O390" s="6" t="str">
        <f>_xlfn.XLOOKUP(Table1[[#This Row],[CustomerID]],customers!A:A,customers!B:B)</f>
        <v>Wartian Herkku</v>
      </c>
      <c r="P390" s="6" t="str">
        <f>_xlfn.XLOOKUP(Table1[[#This Row],[shipperID]],Table6[shipperID],Table6[companyName])</f>
        <v>Speedy Express</v>
      </c>
      <c r="Q390">
        <f>YEAR(Table1[[#This Row],[OrderDate]])</f>
        <v>2014</v>
      </c>
      <c r="R390">
        <f>MONTH(Table1[[#This Row],[OrderDate]])</f>
        <v>8</v>
      </c>
      <c r="S390" t="str">
        <f>"Q"&amp;ROUNDUP(Table1[[#This Row],[month]]/3,0)</f>
        <v>Q3</v>
      </c>
      <c r="T390" t="str">
        <f>CONCATENATE(Table1[[#This Row],[year]],"-",Table1[[#This Row],[Quarter]])</f>
        <v>2014-Q3</v>
      </c>
      <c r="U390" s="6" t="str">
        <f>IF(H389="","Pending",IF(Table1[[#This Row],[Days to ship]]&lt;Table1[[#This Row],[RequiredDate]],"On Time","Late"))</f>
        <v>On Time</v>
      </c>
      <c r="V390">
        <f>_xlfn.XLOOKUP(Table1[[#This Row],[orderID]],Table3[orderID],Table3[unitPrice])</f>
        <v>22</v>
      </c>
    </row>
    <row r="391" spans="1:22" x14ac:dyDescent="0.45">
      <c r="A391" s="3">
        <v>10637</v>
      </c>
      <c r="B391" s="6" t="s">
        <v>162</v>
      </c>
      <c r="C391" s="3">
        <v>6</v>
      </c>
      <c r="D391" s="6" t="str">
        <f>_xlfn.XLOOKUP(Table1[[#This Row],[EmployeeID]],Table4[employeeID],Table4[employeeName])</f>
        <v>Michael Suyama</v>
      </c>
      <c r="E391" s="1">
        <v>41870</v>
      </c>
      <c r="F391" s="1">
        <v>41898</v>
      </c>
      <c r="G391" s="1">
        <v>41877</v>
      </c>
      <c r="H391" s="3">
        <f>IF(Table1[[#This Row],[ShippedDate]]="","",IF(Table1[[#This Row],[OrderDate]]="","",Table1[[#This Row],[ShippedDate]]-Table1[[#This Row],[OrderDate]]))</f>
        <v>7</v>
      </c>
      <c r="I391" s="3">
        <v>1</v>
      </c>
      <c r="J391" s="2">
        <v>201.29</v>
      </c>
      <c r="K391" s="2">
        <f>SUMIF(order_details!A:A,Table1[[#This Row],[orderID]],order_details!F:F)</f>
        <v>2761.9375</v>
      </c>
      <c r="L391" s="9">
        <f>_xlfn.XLOOKUP(Table1[[#This Row],[orderID]],Table3[orderID],Table3[discount])</f>
        <v>0</v>
      </c>
      <c r="M391" s="2">
        <f>SUM(Table1[[#This Row],[Sales]],Table1[[#This Row],[freight]])</f>
        <v>2963.2275</v>
      </c>
      <c r="N391" s="3">
        <f>_xlfn.XLOOKUP(Table1[[#This Row],[orderID]],Table3[orderID],Table3[quantity])</f>
        <v>10</v>
      </c>
      <c r="O391" s="6" t="str">
        <f>_xlfn.XLOOKUP(Table1[[#This Row],[CustomerID]],customers!A:A,customers!B:B)</f>
        <v>Queen Cozinha</v>
      </c>
      <c r="P391" s="6" t="str">
        <f>_xlfn.XLOOKUP(Table1[[#This Row],[shipperID]],Table6[shipperID],Table6[companyName])</f>
        <v>Speedy Express</v>
      </c>
      <c r="Q391">
        <f>YEAR(Table1[[#This Row],[OrderDate]])</f>
        <v>2014</v>
      </c>
      <c r="R391">
        <f>MONTH(Table1[[#This Row],[OrderDate]])</f>
        <v>8</v>
      </c>
      <c r="S391" t="str">
        <f>"Q"&amp;ROUNDUP(Table1[[#This Row],[month]]/3,0)</f>
        <v>Q3</v>
      </c>
      <c r="T391" t="str">
        <f>CONCATENATE(Table1[[#This Row],[year]],"-",Table1[[#This Row],[Quarter]])</f>
        <v>2014-Q3</v>
      </c>
      <c r="U391" s="6" t="str">
        <f>IF(H390="","Pending",IF(Table1[[#This Row],[Days to ship]]&lt;Table1[[#This Row],[RequiredDate]],"On Time","Late"))</f>
        <v>On Time</v>
      </c>
      <c r="V391">
        <f>_xlfn.XLOOKUP(Table1[[#This Row],[orderID]],Table3[orderID],Table3[unitPrice])</f>
        <v>21</v>
      </c>
    </row>
    <row r="392" spans="1:22" x14ac:dyDescent="0.45">
      <c r="A392" s="3">
        <v>10638</v>
      </c>
      <c r="B392" s="6" t="s">
        <v>187</v>
      </c>
      <c r="C392" s="3">
        <v>3</v>
      </c>
      <c r="D392" s="6" t="str">
        <f>_xlfn.XLOOKUP(Table1[[#This Row],[EmployeeID]],Table4[employeeID],Table4[employeeName])</f>
        <v>Janet Leverling</v>
      </c>
      <c r="E392" s="1">
        <v>41871</v>
      </c>
      <c r="F392" s="1">
        <v>41899</v>
      </c>
      <c r="G392" s="1">
        <v>41883</v>
      </c>
      <c r="H392" s="3">
        <f>IF(Table1[[#This Row],[ShippedDate]]="","",IF(Table1[[#This Row],[OrderDate]]="","",Table1[[#This Row],[ShippedDate]]-Table1[[#This Row],[OrderDate]]))</f>
        <v>12</v>
      </c>
      <c r="I392" s="3">
        <v>1</v>
      </c>
      <c r="J392" s="2">
        <v>158.44</v>
      </c>
      <c r="K392" s="2">
        <f>SUMIF(order_details!A:A,Table1[[#This Row],[orderID]],order_details!F:F)</f>
        <v>2720.05</v>
      </c>
      <c r="L392" s="9">
        <f>_xlfn.XLOOKUP(Table1[[#This Row],[orderID]],Table3[orderID],Table3[discount])</f>
        <v>0</v>
      </c>
      <c r="M392" s="2">
        <f>SUM(Table1[[#This Row],[Sales]],Table1[[#This Row],[freight]])</f>
        <v>2878.4900000000002</v>
      </c>
      <c r="N392" s="3">
        <f>_xlfn.XLOOKUP(Table1[[#This Row],[orderID]],Table3[orderID],Table3[quantity])</f>
        <v>20</v>
      </c>
      <c r="O392" s="6" t="str">
        <f>_xlfn.XLOOKUP(Table1[[#This Row],[CustomerID]],customers!A:A,customers!B:B)</f>
        <v>LINO-Delicateses</v>
      </c>
      <c r="P392" s="6" t="str">
        <f>_xlfn.XLOOKUP(Table1[[#This Row],[shipperID]],Table6[shipperID],Table6[companyName])</f>
        <v>Speedy Express</v>
      </c>
      <c r="Q392">
        <f>YEAR(Table1[[#This Row],[OrderDate]])</f>
        <v>2014</v>
      </c>
      <c r="R392">
        <f>MONTH(Table1[[#This Row],[OrderDate]])</f>
        <v>8</v>
      </c>
      <c r="S392" t="str">
        <f>"Q"&amp;ROUNDUP(Table1[[#This Row],[month]]/3,0)</f>
        <v>Q3</v>
      </c>
      <c r="T392" t="str">
        <f>CONCATENATE(Table1[[#This Row],[year]],"-",Table1[[#This Row],[Quarter]])</f>
        <v>2014-Q3</v>
      </c>
      <c r="U392" s="6" t="str">
        <f>IF(H391="","Pending",IF(Table1[[#This Row],[Days to ship]]&lt;Table1[[#This Row],[RequiredDate]],"On Time","Late"))</f>
        <v>On Time</v>
      </c>
      <c r="V392">
        <f>_xlfn.XLOOKUP(Table1[[#This Row],[orderID]],Table3[orderID],Table3[unitPrice])</f>
        <v>9.5</v>
      </c>
    </row>
    <row r="393" spans="1:22" x14ac:dyDescent="0.45">
      <c r="A393" s="3">
        <v>10639</v>
      </c>
      <c r="B393" s="6" t="s">
        <v>199</v>
      </c>
      <c r="C393" s="3">
        <v>7</v>
      </c>
      <c r="D393" s="6" t="str">
        <f>_xlfn.XLOOKUP(Table1[[#This Row],[EmployeeID]],Table4[employeeID],Table4[employeeName])</f>
        <v>Robert King</v>
      </c>
      <c r="E393" s="1">
        <v>41871</v>
      </c>
      <c r="F393" s="1">
        <v>41899</v>
      </c>
      <c r="G393" s="1">
        <v>41878</v>
      </c>
      <c r="H393" s="3">
        <f>IF(Table1[[#This Row],[ShippedDate]]="","",IF(Table1[[#This Row],[OrderDate]]="","",Table1[[#This Row],[ShippedDate]]-Table1[[#This Row],[OrderDate]]))</f>
        <v>7</v>
      </c>
      <c r="I393" s="3">
        <v>3</v>
      </c>
      <c r="J393" s="2">
        <v>38.64</v>
      </c>
      <c r="K393" s="2">
        <f>SUMIF(order_details!A:A,Table1[[#This Row],[orderID]],order_details!F:F)</f>
        <v>500</v>
      </c>
      <c r="L393" s="9">
        <f>_xlfn.XLOOKUP(Table1[[#This Row],[orderID]],Table3[orderID],Table3[discount])</f>
        <v>0</v>
      </c>
      <c r="M393" s="2">
        <f>SUM(Table1[[#This Row],[Sales]],Table1[[#This Row],[freight]])</f>
        <v>538.64</v>
      </c>
      <c r="N393" s="3">
        <f>_xlfn.XLOOKUP(Table1[[#This Row],[orderID]],Table3[orderID],Table3[quantity])</f>
        <v>8</v>
      </c>
      <c r="O393" s="6" t="str">
        <f>_xlfn.XLOOKUP(Table1[[#This Row],[CustomerID]],customers!A:A,customers!B:B)</f>
        <v>Santé Gourmet</v>
      </c>
      <c r="P393" s="6" t="str">
        <f>_xlfn.XLOOKUP(Table1[[#This Row],[shipperID]],Table6[shipperID],Table6[companyName])</f>
        <v>Federal Shipping</v>
      </c>
      <c r="Q393">
        <f>YEAR(Table1[[#This Row],[OrderDate]])</f>
        <v>2014</v>
      </c>
      <c r="R393">
        <f>MONTH(Table1[[#This Row],[OrderDate]])</f>
        <v>8</v>
      </c>
      <c r="S393" t="str">
        <f>"Q"&amp;ROUNDUP(Table1[[#This Row],[month]]/3,0)</f>
        <v>Q3</v>
      </c>
      <c r="T393" t="str">
        <f>CONCATENATE(Table1[[#This Row],[year]],"-",Table1[[#This Row],[Quarter]])</f>
        <v>2014-Q3</v>
      </c>
      <c r="U393" s="6" t="str">
        <f>IF(H392="","Pending",IF(Table1[[#This Row],[Days to ship]]&lt;Table1[[#This Row],[RequiredDate]],"On Time","Late"))</f>
        <v>On Time</v>
      </c>
      <c r="V393">
        <f>_xlfn.XLOOKUP(Table1[[#This Row],[orderID]],Table3[orderID],Table3[unitPrice])</f>
        <v>62.5</v>
      </c>
    </row>
    <row r="394" spans="1:22" x14ac:dyDescent="0.45">
      <c r="A394" s="3">
        <v>10640</v>
      </c>
      <c r="B394" s="6" t="s">
        <v>182</v>
      </c>
      <c r="C394" s="3">
        <v>4</v>
      </c>
      <c r="D394" s="6" t="str">
        <f>_xlfn.XLOOKUP(Table1[[#This Row],[EmployeeID]],Table4[employeeID],Table4[employeeName])</f>
        <v>Margaret Peacock</v>
      </c>
      <c r="E394" s="1">
        <v>41872</v>
      </c>
      <c r="F394" s="1">
        <v>41900</v>
      </c>
      <c r="G394" s="1">
        <v>41879</v>
      </c>
      <c r="H394" s="3">
        <f>IF(Table1[[#This Row],[ShippedDate]]="","",IF(Table1[[#This Row],[OrderDate]]="","",Table1[[#This Row],[ShippedDate]]-Table1[[#This Row],[OrderDate]]))</f>
        <v>7</v>
      </c>
      <c r="I394" s="3">
        <v>1</v>
      </c>
      <c r="J394" s="2">
        <v>23.55</v>
      </c>
      <c r="K394" s="2">
        <f>SUMIF(order_details!A:A,Table1[[#This Row],[orderID]],order_details!F:F)</f>
        <v>708.75</v>
      </c>
      <c r="L394" s="9">
        <f>_xlfn.XLOOKUP(Table1[[#This Row],[orderID]],Table3[orderID],Table3[discount])</f>
        <v>0.25</v>
      </c>
      <c r="M394" s="2">
        <f>SUM(Table1[[#This Row],[Sales]],Table1[[#This Row],[freight]])</f>
        <v>732.3</v>
      </c>
      <c r="N394" s="3">
        <f>_xlfn.XLOOKUP(Table1[[#This Row],[orderID]],Table3[orderID],Table3[quantity])</f>
        <v>20</v>
      </c>
      <c r="O394" s="6" t="str">
        <f>_xlfn.XLOOKUP(Table1[[#This Row],[CustomerID]],customers!A:A,customers!B:B)</f>
        <v>Die Wandernde Kuh</v>
      </c>
      <c r="P394" s="6" t="str">
        <f>_xlfn.XLOOKUP(Table1[[#This Row],[shipperID]],Table6[shipperID],Table6[companyName])</f>
        <v>Speedy Express</v>
      </c>
      <c r="Q394">
        <f>YEAR(Table1[[#This Row],[OrderDate]])</f>
        <v>2014</v>
      </c>
      <c r="R394">
        <f>MONTH(Table1[[#This Row],[OrderDate]])</f>
        <v>8</v>
      </c>
      <c r="S394" t="str">
        <f>"Q"&amp;ROUNDUP(Table1[[#This Row],[month]]/3,0)</f>
        <v>Q3</v>
      </c>
      <c r="T394" t="str">
        <f>CONCATENATE(Table1[[#This Row],[year]],"-",Table1[[#This Row],[Quarter]])</f>
        <v>2014-Q3</v>
      </c>
      <c r="U394" s="6" t="str">
        <f>IF(H393="","Pending",IF(Table1[[#This Row],[Days to ship]]&lt;Table1[[#This Row],[RequiredDate]],"On Time","Late"))</f>
        <v>On Time</v>
      </c>
      <c r="V394">
        <f>_xlfn.XLOOKUP(Table1[[#This Row],[orderID]],Table3[orderID],Table3[unitPrice])</f>
        <v>36</v>
      </c>
    </row>
    <row r="395" spans="1:22" x14ac:dyDescent="0.45">
      <c r="A395" s="3">
        <v>10641</v>
      </c>
      <c r="B395" s="6" t="s">
        <v>174</v>
      </c>
      <c r="C395" s="3">
        <v>4</v>
      </c>
      <c r="D395" s="6" t="str">
        <f>_xlfn.XLOOKUP(Table1[[#This Row],[EmployeeID]],Table4[employeeID],Table4[employeeName])</f>
        <v>Margaret Peacock</v>
      </c>
      <c r="E395" s="1">
        <v>41873</v>
      </c>
      <c r="F395" s="1">
        <v>41901</v>
      </c>
      <c r="G395" s="1">
        <v>41877</v>
      </c>
      <c r="H395" s="3">
        <f>IF(Table1[[#This Row],[ShippedDate]]="","",IF(Table1[[#This Row],[OrderDate]]="","",Table1[[#This Row],[ShippedDate]]-Table1[[#This Row],[OrderDate]]))</f>
        <v>4</v>
      </c>
      <c r="I395" s="3">
        <v>2</v>
      </c>
      <c r="J395" s="2">
        <v>179.61</v>
      </c>
      <c r="K395" s="2">
        <f>SUMIF(order_details!A:A,Table1[[#This Row],[orderID]],order_details!F:F)</f>
        <v>2054</v>
      </c>
      <c r="L395" s="9">
        <f>_xlfn.XLOOKUP(Table1[[#This Row],[orderID]],Table3[orderID],Table3[discount])</f>
        <v>0</v>
      </c>
      <c r="M395" s="2">
        <f>SUM(Table1[[#This Row],[Sales]],Table1[[#This Row],[freight]])</f>
        <v>2233.61</v>
      </c>
      <c r="N395" s="3">
        <f>_xlfn.XLOOKUP(Table1[[#This Row],[orderID]],Table3[orderID],Table3[quantity])</f>
        <v>50</v>
      </c>
      <c r="O395" s="6" t="str">
        <f>_xlfn.XLOOKUP(Table1[[#This Row],[CustomerID]],customers!A:A,customers!B:B)</f>
        <v>HILARION-Abastos</v>
      </c>
      <c r="P395" s="6" t="str">
        <f>_xlfn.XLOOKUP(Table1[[#This Row],[shipperID]],Table6[shipperID],Table6[companyName])</f>
        <v>United Package</v>
      </c>
      <c r="Q395">
        <f>YEAR(Table1[[#This Row],[OrderDate]])</f>
        <v>2014</v>
      </c>
      <c r="R395">
        <f>MONTH(Table1[[#This Row],[OrderDate]])</f>
        <v>8</v>
      </c>
      <c r="S395" t="str">
        <f>"Q"&amp;ROUNDUP(Table1[[#This Row],[month]]/3,0)</f>
        <v>Q3</v>
      </c>
      <c r="T395" t="str">
        <f>CONCATENATE(Table1[[#This Row],[year]],"-",Table1[[#This Row],[Quarter]])</f>
        <v>2014-Q3</v>
      </c>
      <c r="U395" s="6" t="str">
        <f>IF(H394="","Pending",IF(Table1[[#This Row],[Days to ship]]&lt;Table1[[#This Row],[RequiredDate]],"On Time","Late"))</f>
        <v>On Time</v>
      </c>
      <c r="V395">
        <f>_xlfn.XLOOKUP(Table1[[#This Row],[orderID]],Table3[orderID],Table3[unitPrice])</f>
        <v>19</v>
      </c>
    </row>
    <row r="396" spans="1:22" x14ac:dyDescent="0.45">
      <c r="A396" s="3">
        <v>10642</v>
      </c>
      <c r="B396" s="6" t="s">
        <v>156</v>
      </c>
      <c r="C396" s="3">
        <v>7</v>
      </c>
      <c r="D396" s="6" t="str">
        <f>_xlfn.XLOOKUP(Table1[[#This Row],[EmployeeID]],Table4[employeeID],Table4[employeeName])</f>
        <v>Robert King</v>
      </c>
      <c r="E396" s="1">
        <v>41873</v>
      </c>
      <c r="F396" s="1">
        <v>41901</v>
      </c>
      <c r="G396" s="1">
        <v>41887</v>
      </c>
      <c r="H396" s="3">
        <f>IF(Table1[[#This Row],[ShippedDate]]="","",IF(Table1[[#This Row],[OrderDate]]="","",Table1[[#This Row],[ShippedDate]]-Table1[[#This Row],[OrderDate]]))</f>
        <v>14</v>
      </c>
      <c r="I396" s="3">
        <v>3</v>
      </c>
      <c r="J396" s="2">
        <v>41.89</v>
      </c>
      <c r="K396" s="2">
        <f>SUMIF(order_details!A:A,Table1[[#This Row],[orderID]],order_details!F:F)</f>
        <v>696</v>
      </c>
      <c r="L396" s="9">
        <f>_xlfn.XLOOKUP(Table1[[#This Row],[orderID]],Table3[orderID],Table3[discount])</f>
        <v>0.2</v>
      </c>
      <c r="M396" s="2">
        <f>SUM(Table1[[#This Row],[Sales]],Table1[[#This Row],[freight]])</f>
        <v>737.89</v>
      </c>
      <c r="N396" s="3">
        <f>_xlfn.XLOOKUP(Table1[[#This Row],[orderID]],Table3[orderID],Table3[quantity])</f>
        <v>30</v>
      </c>
      <c r="O396" s="6" t="str">
        <f>_xlfn.XLOOKUP(Table1[[#This Row],[CustomerID]],customers!A:A,customers!B:B)</f>
        <v>Simons bistro</v>
      </c>
      <c r="P396" s="6" t="str">
        <f>_xlfn.XLOOKUP(Table1[[#This Row],[shipperID]],Table6[shipperID],Table6[companyName])</f>
        <v>Federal Shipping</v>
      </c>
      <c r="Q396">
        <f>YEAR(Table1[[#This Row],[OrderDate]])</f>
        <v>2014</v>
      </c>
      <c r="R396">
        <f>MONTH(Table1[[#This Row],[OrderDate]])</f>
        <v>8</v>
      </c>
      <c r="S396" t="str">
        <f>"Q"&amp;ROUNDUP(Table1[[#This Row],[month]]/3,0)</f>
        <v>Q3</v>
      </c>
      <c r="T396" t="str">
        <f>CONCATENATE(Table1[[#This Row],[year]],"-",Table1[[#This Row],[Quarter]])</f>
        <v>2014-Q3</v>
      </c>
      <c r="U396" s="6" t="str">
        <f>IF(H395="","Pending",IF(Table1[[#This Row],[Days to ship]]&lt;Table1[[#This Row],[RequiredDate]],"On Time","Late"))</f>
        <v>On Time</v>
      </c>
      <c r="V396">
        <f>_xlfn.XLOOKUP(Table1[[#This Row],[orderID]],Table3[orderID],Table3[unitPrice])</f>
        <v>10</v>
      </c>
    </row>
    <row r="397" spans="1:22" x14ac:dyDescent="0.45">
      <c r="A397" s="3">
        <v>10643</v>
      </c>
      <c r="B397" s="6" t="s">
        <v>202</v>
      </c>
      <c r="C397" s="3">
        <v>6</v>
      </c>
      <c r="D397" s="6" t="str">
        <f>_xlfn.XLOOKUP(Table1[[#This Row],[EmployeeID]],Table4[employeeID],Table4[employeeName])</f>
        <v>Michael Suyama</v>
      </c>
      <c r="E397" s="1">
        <v>41876</v>
      </c>
      <c r="F397" s="1">
        <v>41904</v>
      </c>
      <c r="G397" s="1">
        <v>41884</v>
      </c>
      <c r="H397" s="3">
        <f>IF(Table1[[#This Row],[ShippedDate]]="","",IF(Table1[[#This Row],[OrderDate]]="","",Table1[[#This Row],[ShippedDate]]-Table1[[#This Row],[OrderDate]]))</f>
        <v>8</v>
      </c>
      <c r="I397" s="3">
        <v>1</v>
      </c>
      <c r="J397" s="2">
        <v>29.46</v>
      </c>
      <c r="K397" s="2">
        <f>SUMIF(order_details!A:A,Table1[[#This Row],[orderID]],order_details!F:F)</f>
        <v>814.5</v>
      </c>
      <c r="L397" s="9">
        <f>_xlfn.XLOOKUP(Table1[[#This Row],[orderID]],Table3[orderID],Table3[discount])</f>
        <v>0.25</v>
      </c>
      <c r="M397" s="2">
        <f>SUM(Table1[[#This Row],[Sales]],Table1[[#This Row],[freight]])</f>
        <v>843.96</v>
      </c>
      <c r="N397" s="3">
        <f>_xlfn.XLOOKUP(Table1[[#This Row],[orderID]],Table3[orderID],Table3[quantity])</f>
        <v>15</v>
      </c>
      <c r="O397" s="6" t="str">
        <f>_xlfn.XLOOKUP(Table1[[#This Row],[CustomerID]],customers!A:A,customers!B:B)</f>
        <v>Alfreds Futterkiste</v>
      </c>
      <c r="P397" s="6" t="str">
        <f>_xlfn.XLOOKUP(Table1[[#This Row],[shipperID]],Table6[shipperID],Table6[companyName])</f>
        <v>Speedy Express</v>
      </c>
      <c r="Q397">
        <f>YEAR(Table1[[#This Row],[OrderDate]])</f>
        <v>2014</v>
      </c>
      <c r="R397">
        <f>MONTH(Table1[[#This Row],[OrderDate]])</f>
        <v>8</v>
      </c>
      <c r="S397" t="str">
        <f>"Q"&amp;ROUNDUP(Table1[[#This Row],[month]]/3,0)</f>
        <v>Q3</v>
      </c>
      <c r="T397" t="str">
        <f>CONCATENATE(Table1[[#This Row],[year]],"-",Table1[[#This Row],[Quarter]])</f>
        <v>2014-Q3</v>
      </c>
      <c r="U397" s="6" t="str">
        <f>IF(H396="","Pending",IF(Table1[[#This Row],[Days to ship]]&lt;Table1[[#This Row],[RequiredDate]],"On Time","Late"))</f>
        <v>On Time</v>
      </c>
      <c r="V397">
        <f>_xlfn.XLOOKUP(Table1[[#This Row],[orderID]],Table3[orderID],Table3[unitPrice])</f>
        <v>45.6</v>
      </c>
    </row>
    <row r="398" spans="1:22" x14ac:dyDescent="0.45">
      <c r="A398" s="3">
        <v>10644</v>
      </c>
      <c r="B398" s="6" t="s">
        <v>219</v>
      </c>
      <c r="C398" s="3">
        <v>3</v>
      </c>
      <c r="D398" s="6" t="str">
        <f>_xlfn.XLOOKUP(Table1[[#This Row],[EmployeeID]],Table4[employeeID],Table4[employeeName])</f>
        <v>Janet Leverling</v>
      </c>
      <c r="E398" s="1">
        <v>41876</v>
      </c>
      <c r="F398" s="1">
        <v>41904</v>
      </c>
      <c r="G398" s="1">
        <v>41883</v>
      </c>
      <c r="H398" s="3">
        <f>IF(Table1[[#This Row],[ShippedDate]]="","",IF(Table1[[#This Row],[OrderDate]]="","",Table1[[#This Row],[ShippedDate]]-Table1[[#This Row],[OrderDate]]))</f>
        <v>7</v>
      </c>
      <c r="I398" s="3">
        <v>2</v>
      </c>
      <c r="J398" s="2">
        <v>0.14000000000000001</v>
      </c>
      <c r="K398" s="2">
        <f>SUMIF(order_details!A:A,Table1[[#This Row],[orderID]],order_details!F:F)</f>
        <v>1371.8</v>
      </c>
      <c r="L398" s="9">
        <f>_xlfn.XLOOKUP(Table1[[#This Row],[orderID]],Table3[orderID],Table3[discount])</f>
        <v>0.1</v>
      </c>
      <c r="M398" s="2">
        <f>SUM(Table1[[#This Row],[Sales]],Table1[[#This Row],[freight]])</f>
        <v>1371.94</v>
      </c>
      <c r="N398" s="3">
        <f>_xlfn.XLOOKUP(Table1[[#This Row],[orderID]],Table3[orderID],Table3[quantity])</f>
        <v>4</v>
      </c>
      <c r="O398" s="6" t="str">
        <f>_xlfn.XLOOKUP(Table1[[#This Row],[CustomerID]],customers!A:A,customers!B:B)</f>
        <v>Wellington Importadora</v>
      </c>
      <c r="P398" s="6" t="str">
        <f>_xlfn.XLOOKUP(Table1[[#This Row],[shipperID]],Table6[shipperID],Table6[companyName])</f>
        <v>United Package</v>
      </c>
      <c r="Q398">
        <f>YEAR(Table1[[#This Row],[OrderDate]])</f>
        <v>2014</v>
      </c>
      <c r="R398">
        <f>MONTH(Table1[[#This Row],[OrderDate]])</f>
        <v>8</v>
      </c>
      <c r="S398" t="str">
        <f>"Q"&amp;ROUNDUP(Table1[[#This Row],[month]]/3,0)</f>
        <v>Q3</v>
      </c>
      <c r="T398" t="str">
        <f>CONCATENATE(Table1[[#This Row],[year]],"-",Table1[[#This Row],[Quarter]])</f>
        <v>2014-Q3</v>
      </c>
      <c r="U398" s="6" t="str">
        <f>IF(H397="","Pending",IF(Table1[[#This Row],[Days to ship]]&lt;Table1[[#This Row],[RequiredDate]],"On Time","Late"))</f>
        <v>On Time</v>
      </c>
      <c r="V398">
        <f>_xlfn.XLOOKUP(Table1[[#This Row],[orderID]],Table3[orderID],Table3[unitPrice])</f>
        <v>62.5</v>
      </c>
    </row>
    <row r="399" spans="1:22" x14ac:dyDescent="0.45">
      <c r="A399" s="3">
        <v>10645</v>
      </c>
      <c r="B399" s="6" t="s">
        <v>177</v>
      </c>
      <c r="C399" s="3">
        <v>4</v>
      </c>
      <c r="D399" s="6" t="str">
        <f>_xlfn.XLOOKUP(Table1[[#This Row],[EmployeeID]],Table4[employeeID],Table4[employeeName])</f>
        <v>Margaret Peacock</v>
      </c>
      <c r="E399" s="1">
        <v>41877</v>
      </c>
      <c r="F399" s="1">
        <v>41905</v>
      </c>
      <c r="G399" s="1">
        <v>41884</v>
      </c>
      <c r="H399" s="3">
        <f>IF(Table1[[#This Row],[ShippedDate]]="","",IF(Table1[[#This Row],[OrderDate]]="","",Table1[[#This Row],[ShippedDate]]-Table1[[#This Row],[OrderDate]]))</f>
        <v>7</v>
      </c>
      <c r="I399" s="3">
        <v>1</v>
      </c>
      <c r="J399" s="2">
        <v>12.41</v>
      </c>
      <c r="K399" s="2">
        <f>SUMIF(order_details!A:A,Table1[[#This Row],[orderID]],order_details!F:F)</f>
        <v>1535</v>
      </c>
      <c r="L399" s="9">
        <f>_xlfn.XLOOKUP(Table1[[#This Row],[orderID]],Table3[orderID],Table3[discount])</f>
        <v>0</v>
      </c>
      <c r="M399" s="2">
        <f>SUM(Table1[[#This Row],[Sales]],Table1[[#This Row],[freight]])</f>
        <v>1547.41</v>
      </c>
      <c r="N399" s="3">
        <f>_xlfn.XLOOKUP(Table1[[#This Row],[orderID]],Table3[orderID],Table3[quantity])</f>
        <v>20</v>
      </c>
      <c r="O399" s="6" t="str">
        <f>_xlfn.XLOOKUP(Table1[[#This Row],[CustomerID]],customers!A:A,customers!B:B)</f>
        <v>Hanari Carnes</v>
      </c>
      <c r="P399" s="6" t="str">
        <f>_xlfn.XLOOKUP(Table1[[#This Row],[shipperID]],Table6[shipperID],Table6[companyName])</f>
        <v>Speedy Express</v>
      </c>
      <c r="Q399">
        <f>YEAR(Table1[[#This Row],[OrderDate]])</f>
        <v>2014</v>
      </c>
      <c r="R399">
        <f>MONTH(Table1[[#This Row],[OrderDate]])</f>
        <v>8</v>
      </c>
      <c r="S399" t="str">
        <f>"Q"&amp;ROUNDUP(Table1[[#This Row],[month]]/3,0)</f>
        <v>Q3</v>
      </c>
      <c r="T399" t="str">
        <f>CONCATENATE(Table1[[#This Row],[year]],"-",Table1[[#This Row],[Quarter]])</f>
        <v>2014-Q3</v>
      </c>
      <c r="U399" s="6" t="str">
        <f>IF(H398="","Pending",IF(Table1[[#This Row],[Days to ship]]&lt;Table1[[#This Row],[RequiredDate]],"On Time","Late"))</f>
        <v>On Time</v>
      </c>
      <c r="V399">
        <f>_xlfn.XLOOKUP(Table1[[#This Row],[orderID]],Table3[orderID],Table3[unitPrice])</f>
        <v>62.5</v>
      </c>
    </row>
    <row r="400" spans="1:22" x14ac:dyDescent="0.45">
      <c r="A400" s="3">
        <v>10646</v>
      </c>
      <c r="B400" s="6" t="s">
        <v>166</v>
      </c>
      <c r="C400" s="3">
        <v>9</v>
      </c>
      <c r="D400" s="6" t="str">
        <f>_xlfn.XLOOKUP(Table1[[#This Row],[EmployeeID]],Table4[employeeID],Table4[employeeName])</f>
        <v>Anne Dodsworth</v>
      </c>
      <c r="E400" s="1">
        <v>41878</v>
      </c>
      <c r="F400" s="1">
        <v>41920</v>
      </c>
      <c r="G400" s="1">
        <v>41885</v>
      </c>
      <c r="H400" s="3">
        <f>IF(Table1[[#This Row],[ShippedDate]]="","",IF(Table1[[#This Row],[OrderDate]]="","",Table1[[#This Row],[ShippedDate]]-Table1[[#This Row],[OrderDate]]))</f>
        <v>7</v>
      </c>
      <c r="I400" s="3">
        <v>3</v>
      </c>
      <c r="J400" s="2">
        <v>142.33000000000001</v>
      </c>
      <c r="K400" s="2">
        <f>SUMIF(order_details!A:A,Table1[[#This Row],[orderID]],order_details!F:F)</f>
        <v>1446</v>
      </c>
      <c r="L400" s="9">
        <f>_xlfn.XLOOKUP(Table1[[#This Row],[orderID]],Table3[orderID],Table3[discount])</f>
        <v>0.25</v>
      </c>
      <c r="M400" s="2">
        <f>SUM(Table1[[#This Row],[Sales]],Table1[[#This Row],[freight]])</f>
        <v>1588.33</v>
      </c>
      <c r="N400" s="3">
        <f>_xlfn.XLOOKUP(Table1[[#This Row],[orderID]],Table3[orderID],Table3[quantity])</f>
        <v>15</v>
      </c>
      <c r="O400" s="6" t="str">
        <f>_xlfn.XLOOKUP(Table1[[#This Row],[CustomerID]],customers!A:A,customers!B:B)</f>
        <v>Hungry Owl All-Night Grocers</v>
      </c>
      <c r="P400" s="6" t="str">
        <f>_xlfn.XLOOKUP(Table1[[#This Row],[shipperID]],Table6[shipperID],Table6[companyName])</f>
        <v>Federal Shipping</v>
      </c>
      <c r="Q400">
        <f>YEAR(Table1[[#This Row],[OrderDate]])</f>
        <v>2014</v>
      </c>
      <c r="R400">
        <f>MONTH(Table1[[#This Row],[OrderDate]])</f>
        <v>8</v>
      </c>
      <c r="S400" t="str">
        <f>"Q"&amp;ROUNDUP(Table1[[#This Row],[month]]/3,0)</f>
        <v>Q3</v>
      </c>
      <c r="T400" t="str">
        <f>CONCATENATE(Table1[[#This Row],[year]],"-",Table1[[#This Row],[Quarter]])</f>
        <v>2014-Q3</v>
      </c>
      <c r="U400" s="6" t="str">
        <f>IF(H399="","Pending",IF(Table1[[#This Row],[Days to ship]]&lt;Table1[[#This Row],[RequiredDate]],"On Time","Late"))</f>
        <v>On Time</v>
      </c>
      <c r="V400">
        <f>_xlfn.XLOOKUP(Table1[[#This Row],[orderID]],Table3[orderID],Table3[unitPrice])</f>
        <v>18</v>
      </c>
    </row>
    <row r="401" spans="1:22" x14ac:dyDescent="0.45">
      <c r="A401" s="3">
        <v>10647</v>
      </c>
      <c r="B401" s="6" t="s">
        <v>209</v>
      </c>
      <c r="C401" s="3">
        <v>4</v>
      </c>
      <c r="D401" s="6" t="str">
        <f>_xlfn.XLOOKUP(Table1[[#This Row],[EmployeeID]],Table4[employeeID],Table4[employeeName])</f>
        <v>Margaret Peacock</v>
      </c>
      <c r="E401" s="1">
        <v>41878</v>
      </c>
      <c r="F401" s="1">
        <v>41892</v>
      </c>
      <c r="G401" s="1">
        <v>41885</v>
      </c>
      <c r="H401" s="3">
        <f>IF(Table1[[#This Row],[ShippedDate]]="","",IF(Table1[[#This Row],[OrderDate]]="","",Table1[[#This Row],[ShippedDate]]-Table1[[#This Row],[OrderDate]]))</f>
        <v>7</v>
      </c>
      <c r="I401" s="3">
        <v>2</v>
      </c>
      <c r="J401" s="2">
        <v>45.54</v>
      </c>
      <c r="K401" s="2">
        <f>SUMIF(order_details!A:A,Table1[[#This Row],[orderID]],order_details!F:F)</f>
        <v>636</v>
      </c>
      <c r="L401" s="9">
        <f>_xlfn.XLOOKUP(Table1[[#This Row],[orderID]],Table3[orderID],Table3[discount])</f>
        <v>0</v>
      </c>
      <c r="M401" s="2">
        <f>SUM(Table1[[#This Row],[Sales]],Table1[[#This Row],[freight]])</f>
        <v>681.54</v>
      </c>
      <c r="N401" s="3">
        <f>_xlfn.XLOOKUP(Table1[[#This Row],[orderID]],Table3[orderID],Table3[quantity])</f>
        <v>30</v>
      </c>
      <c r="O401" s="6" t="str">
        <f>_xlfn.XLOOKUP(Table1[[#This Row],[CustomerID]],customers!A:A,customers!B:B)</f>
        <v>Que Delícia</v>
      </c>
      <c r="P401" s="6" t="str">
        <f>_xlfn.XLOOKUP(Table1[[#This Row],[shipperID]],Table6[shipperID],Table6[companyName])</f>
        <v>United Package</v>
      </c>
      <c r="Q401">
        <f>YEAR(Table1[[#This Row],[OrderDate]])</f>
        <v>2014</v>
      </c>
      <c r="R401">
        <f>MONTH(Table1[[#This Row],[OrderDate]])</f>
        <v>8</v>
      </c>
      <c r="S401" t="str">
        <f>"Q"&amp;ROUNDUP(Table1[[#This Row],[month]]/3,0)</f>
        <v>Q3</v>
      </c>
      <c r="T401" t="str">
        <f>CONCATENATE(Table1[[#This Row],[year]],"-",Table1[[#This Row],[Quarter]])</f>
        <v>2014-Q3</v>
      </c>
      <c r="U401" s="6" t="str">
        <f>IF(H400="","Pending",IF(Table1[[#This Row],[Days to ship]]&lt;Table1[[#This Row],[RequiredDate]],"On Time","Late"))</f>
        <v>On Time</v>
      </c>
      <c r="V401">
        <f>_xlfn.XLOOKUP(Table1[[#This Row],[orderID]],Table3[orderID],Table3[unitPrice])</f>
        <v>9.1999999999999993</v>
      </c>
    </row>
    <row r="402" spans="1:22" x14ac:dyDescent="0.45">
      <c r="A402" s="3">
        <v>10648</v>
      </c>
      <c r="B402" s="6" t="s">
        <v>170</v>
      </c>
      <c r="C402" s="3">
        <v>5</v>
      </c>
      <c r="D402" s="6" t="str">
        <f>_xlfn.XLOOKUP(Table1[[#This Row],[EmployeeID]],Table4[employeeID],Table4[employeeName])</f>
        <v>Steven Buchanan</v>
      </c>
      <c r="E402" s="1">
        <v>41879</v>
      </c>
      <c r="F402" s="1">
        <v>41921</v>
      </c>
      <c r="G402" s="1">
        <v>41891</v>
      </c>
      <c r="H402" s="3">
        <f>IF(Table1[[#This Row],[ShippedDate]]="","",IF(Table1[[#This Row],[OrderDate]]="","",Table1[[#This Row],[ShippedDate]]-Table1[[#This Row],[OrderDate]]))</f>
        <v>12</v>
      </c>
      <c r="I402" s="3">
        <v>2</v>
      </c>
      <c r="J402" s="2">
        <v>14.25</v>
      </c>
      <c r="K402" s="2">
        <f>SUMIF(order_details!A:A,Table1[[#This Row],[orderID]],order_details!F:F)</f>
        <v>372.375</v>
      </c>
      <c r="L402" s="9">
        <f>_xlfn.XLOOKUP(Table1[[#This Row],[orderID]],Table3[orderID],Table3[discount])</f>
        <v>0</v>
      </c>
      <c r="M402" s="2">
        <f>SUM(Table1[[#This Row],[Sales]],Table1[[#This Row],[freight]])</f>
        <v>386.625</v>
      </c>
      <c r="N402" s="3">
        <f>_xlfn.XLOOKUP(Table1[[#This Row],[orderID]],Table3[orderID],Table3[quantity])</f>
        <v>15</v>
      </c>
      <c r="O402" s="6" t="str">
        <f>_xlfn.XLOOKUP(Table1[[#This Row],[CustomerID]],customers!A:A,customers!B:B)</f>
        <v>Ricardo Adocicados</v>
      </c>
      <c r="P402" s="6" t="str">
        <f>_xlfn.XLOOKUP(Table1[[#This Row],[shipperID]],Table6[shipperID],Table6[companyName])</f>
        <v>United Package</v>
      </c>
      <c r="Q402">
        <f>YEAR(Table1[[#This Row],[OrderDate]])</f>
        <v>2014</v>
      </c>
      <c r="R402">
        <f>MONTH(Table1[[#This Row],[OrderDate]])</f>
        <v>8</v>
      </c>
      <c r="S402" t="str">
        <f>"Q"&amp;ROUNDUP(Table1[[#This Row],[month]]/3,0)</f>
        <v>Q3</v>
      </c>
      <c r="T402" t="str">
        <f>CONCATENATE(Table1[[#This Row],[year]],"-",Table1[[#This Row],[Quarter]])</f>
        <v>2014-Q3</v>
      </c>
      <c r="U402" s="6" t="str">
        <f>IF(H401="","Pending",IF(Table1[[#This Row],[Days to ship]]&lt;Table1[[#This Row],[RequiredDate]],"On Time","Late"))</f>
        <v>On Time</v>
      </c>
      <c r="V402">
        <f>_xlfn.XLOOKUP(Table1[[#This Row],[orderID]],Table3[orderID],Table3[unitPrice])</f>
        <v>21</v>
      </c>
    </row>
    <row r="403" spans="1:22" x14ac:dyDescent="0.45">
      <c r="A403" s="3">
        <v>10649</v>
      </c>
      <c r="B403" s="6" t="s">
        <v>205</v>
      </c>
      <c r="C403" s="3">
        <v>5</v>
      </c>
      <c r="D403" s="6" t="str">
        <f>_xlfn.XLOOKUP(Table1[[#This Row],[EmployeeID]],Table4[employeeID],Table4[employeeName])</f>
        <v>Steven Buchanan</v>
      </c>
      <c r="E403" s="1">
        <v>41879</v>
      </c>
      <c r="F403" s="1">
        <v>41907</v>
      </c>
      <c r="G403" s="1">
        <v>41880</v>
      </c>
      <c r="H403" s="3">
        <f>IF(Table1[[#This Row],[ShippedDate]]="","",IF(Table1[[#This Row],[OrderDate]]="","",Table1[[#This Row],[ShippedDate]]-Table1[[#This Row],[OrderDate]]))</f>
        <v>1</v>
      </c>
      <c r="I403" s="3">
        <v>3</v>
      </c>
      <c r="J403" s="2">
        <v>6.2</v>
      </c>
      <c r="K403" s="2">
        <f>SUMIF(order_details!A:A,Table1[[#This Row],[orderID]],order_details!F:F)</f>
        <v>1434</v>
      </c>
      <c r="L403" s="9">
        <f>_xlfn.XLOOKUP(Table1[[#This Row],[orderID]],Table3[orderID],Table3[discount])</f>
        <v>0</v>
      </c>
      <c r="M403" s="2">
        <f>SUM(Table1[[#This Row],[Sales]],Table1[[#This Row],[freight]])</f>
        <v>1440.2</v>
      </c>
      <c r="N403" s="3">
        <f>_xlfn.XLOOKUP(Table1[[#This Row],[orderID]],Table3[orderID],Table3[quantity])</f>
        <v>20</v>
      </c>
      <c r="O403" s="6" t="str">
        <f>_xlfn.XLOOKUP(Table1[[#This Row],[CustomerID]],customers!A:A,customers!B:B)</f>
        <v>Maison Dewey</v>
      </c>
      <c r="P403" s="6" t="str">
        <f>_xlfn.XLOOKUP(Table1[[#This Row],[shipperID]],Table6[shipperID],Table6[companyName])</f>
        <v>Federal Shipping</v>
      </c>
      <c r="Q403">
        <f>YEAR(Table1[[#This Row],[OrderDate]])</f>
        <v>2014</v>
      </c>
      <c r="R403">
        <f>MONTH(Table1[[#This Row],[OrderDate]])</f>
        <v>8</v>
      </c>
      <c r="S403" t="str">
        <f>"Q"&amp;ROUNDUP(Table1[[#This Row],[month]]/3,0)</f>
        <v>Q3</v>
      </c>
      <c r="T403" t="str">
        <f>CONCATENATE(Table1[[#This Row],[year]],"-",Table1[[#This Row],[Quarter]])</f>
        <v>2014-Q3</v>
      </c>
      <c r="U403" s="6" t="str">
        <f>IF(H402="","Pending",IF(Table1[[#This Row],[Days to ship]]&lt;Table1[[#This Row],[RequiredDate]],"On Time","Late"))</f>
        <v>On Time</v>
      </c>
      <c r="V403">
        <f>_xlfn.XLOOKUP(Table1[[#This Row],[orderID]],Table3[orderID],Table3[unitPrice])</f>
        <v>45.6</v>
      </c>
    </row>
    <row r="404" spans="1:22" x14ac:dyDescent="0.45">
      <c r="A404" s="3">
        <v>10650</v>
      </c>
      <c r="B404" s="6" t="s">
        <v>237</v>
      </c>
      <c r="C404" s="3">
        <v>5</v>
      </c>
      <c r="D404" s="6" t="str">
        <f>_xlfn.XLOOKUP(Table1[[#This Row],[EmployeeID]],Table4[employeeID],Table4[employeeName])</f>
        <v>Steven Buchanan</v>
      </c>
      <c r="E404" s="1">
        <v>41880</v>
      </c>
      <c r="F404" s="1">
        <v>41908</v>
      </c>
      <c r="G404" s="1">
        <v>41885</v>
      </c>
      <c r="H404" s="3">
        <f>IF(Table1[[#This Row],[ShippedDate]]="","",IF(Table1[[#This Row],[OrderDate]]="","",Table1[[#This Row],[ShippedDate]]-Table1[[#This Row],[OrderDate]]))</f>
        <v>5</v>
      </c>
      <c r="I404" s="3">
        <v>3</v>
      </c>
      <c r="J404" s="2">
        <v>176.81</v>
      </c>
      <c r="K404" s="2">
        <f>SUMIF(order_details!A:A,Table1[[#This Row],[orderID]],order_details!F:F)</f>
        <v>1779.1999999999998</v>
      </c>
      <c r="L404" s="9">
        <f>_xlfn.XLOOKUP(Table1[[#This Row],[orderID]],Table3[orderID],Table3[discount])</f>
        <v>0</v>
      </c>
      <c r="M404" s="2">
        <f>SUM(Table1[[#This Row],[Sales]],Table1[[#This Row],[freight]])</f>
        <v>1956.0099999999998</v>
      </c>
      <c r="N404" s="3">
        <f>_xlfn.XLOOKUP(Table1[[#This Row],[orderID]],Table3[orderID],Table3[quantity])</f>
        <v>30</v>
      </c>
      <c r="O404" s="6" t="str">
        <f>_xlfn.XLOOKUP(Table1[[#This Row],[CustomerID]],customers!A:A,customers!B:B)</f>
        <v>Familia Arquibaldo</v>
      </c>
      <c r="P404" s="6" t="str">
        <f>_xlfn.XLOOKUP(Table1[[#This Row],[shipperID]],Table6[shipperID],Table6[companyName])</f>
        <v>Federal Shipping</v>
      </c>
      <c r="Q404">
        <f>YEAR(Table1[[#This Row],[OrderDate]])</f>
        <v>2014</v>
      </c>
      <c r="R404">
        <f>MONTH(Table1[[#This Row],[OrderDate]])</f>
        <v>8</v>
      </c>
      <c r="S404" t="str">
        <f>"Q"&amp;ROUNDUP(Table1[[#This Row],[month]]/3,0)</f>
        <v>Q3</v>
      </c>
      <c r="T404" t="str">
        <f>CONCATENATE(Table1[[#This Row],[year]],"-",Table1[[#This Row],[Quarter]])</f>
        <v>2014-Q3</v>
      </c>
      <c r="U404" s="6" t="str">
        <f>IF(H403="","Pending",IF(Table1[[#This Row],[Days to ship]]&lt;Table1[[#This Row],[RequiredDate]],"On Time","Late"))</f>
        <v>On Time</v>
      </c>
      <c r="V404">
        <f>_xlfn.XLOOKUP(Table1[[#This Row],[orderID]],Table3[orderID],Table3[unitPrice])</f>
        <v>25.89</v>
      </c>
    </row>
    <row r="405" spans="1:22" x14ac:dyDescent="0.45">
      <c r="A405" s="3">
        <v>10651</v>
      </c>
      <c r="B405" s="6" t="s">
        <v>182</v>
      </c>
      <c r="C405" s="3">
        <v>8</v>
      </c>
      <c r="D405" s="6" t="str">
        <f>_xlfn.XLOOKUP(Table1[[#This Row],[EmployeeID]],Table4[employeeID],Table4[employeeName])</f>
        <v>Laura Callahan</v>
      </c>
      <c r="E405" s="1">
        <v>41883</v>
      </c>
      <c r="F405" s="1">
        <v>41911</v>
      </c>
      <c r="G405" s="1">
        <v>41893</v>
      </c>
      <c r="H405" s="3">
        <f>IF(Table1[[#This Row],[ShippedDate]]="","",IF(Table1[[#This Row],[OrderDate]]="","",Table1[[#This Row],[ShippedDate]]-Table1[[#This Row],[OrderDate]]))</f>
        <v>10</v>
      </c>
      <c r="I405" s="3">
        <v>2</v>
      </c>
      <c r="J405" s="2">
        <v>20.6</v>
      </c>
      <c r="K405" s="2">
        <f>SUMIF(order_details!A:A,Table1[[#This Row],[orderID]],order_details!F:F)</f>
        <v>397.8</v>
      </c>
      <c r="L405" s="9">
        <f>_xlfn.XLOOKUP(Table1[[#This Row],[orderID]],Table3[orderID],Table3[discount])</f>
        <v>0.25</v>
      </c>
      <c r="M405" s="2">
        <f>SUM(Table1[[#This Row],[Sales]],Table1[[#This Row],[freight]])</f>
        <v>418.40000000000003</v>
      </c>
      <c r="N405" s="3">
        <f>_xlfn.XLOOKUP(Table1[[#This Row],[orderID]],Table3[orderID],Table3[quantity])</f>
        <v>12</v>
      </c>
      <c r="O405" s="6" t="str">
        <f>_xlfn.XLOOKUP(Table1[[#This Row],[CustomerID]],customers!A:A,customers!B:B)</f>
        <v>Die Wandernde Kuh</v>
      </c>
      <c r="P405" s="6" t="str">
        <f>_xlfn.XLOOKUP(Table1[[#This Row],[shipperID]],Table6[shipperID],Table6[companyName])</f>
        <v>United Package</v>
      </c>
      <c r="Q405">
        <f>YEAR(Table1[[#This Row],[OrderDate]])</f>
        <v>2014</v>
      </c>
      <c r="R405">
        <f>MONTH(Table1[[#This Row],[OrderDate]])</f>
        <v>9</v>
      </c>
      <c r="S405" t="str">
        <f>"Q"&amp;ROUNDUP(Table1[[#This Row],[month]]/3,0)</f>
        <v>Q3</v>
      </c>
      <c r="T405" t="str">
        <f>CONCATENATE(Table1[[#This Row],[year]],"-",Table1[[#This Row],[Quarter]])</f>
        <v>2014-Q3</v>
      </c>
      <c r="U405" s="6" t="str">
        <f>IF(H404="","Pending",IF(Table1[[#This Row],[Days to ship]]&lt;Table1[[#This Row],[RequiredDate]],"On Time","Late"))</f>
        <v>On Time</v>
      </c>
      <c r="V405">
        <f>_xlfn.XLOOKUP(Table1[[#This Row],[orderID]],Table3[orderID],Table3[unitPrice])</f>
        <v>9.1999999999999993</v>
      </c>
    </row>
    <row r="406" spans="1:22" x14ac:dyDescent="0.45">
      <c r="A406" s="3">
        <v>10652</v>
      </c>
      <c r="B406" s="6" t="s">
        <v>180</v>
      </c>
      <c r="C406" s="3">
        <v>4</v>
      </c>
      <c r="D406" s="6" t="str">
        <f>_xlfn.XLOOKUP(Table1[[#This Row],[EmployeeID]],Table4[employeeID],Table4[employeeName])</f>
        <v>Margaret Peacock</v>
      </c>
      <c r="E406" s="1">
        <v>41883</v>
      </c>
      <c r="F406" s="1">
        <v>41911</v>
      </c>
      <c r="G406" s="1">
        <v>41890</v>
      </c>
      <c r="H406" s="3">
        <f>IF(Table1[[#This Row],[ShippedDate]]="","",IF(Table1[[#This Row],[OrderDate]]="","",Table1[[#This Row],[ShippedDate]]-Table1[[#This Row],[OrderDate]]))</f>
        <v>7</v>
      </c>
      <c r="I406" s="3">
        <v>2</v>
      </c>
      <c r="J406" s="2">
        <v>7.14</v>
      </c>
      <c r="K406" s="2">
        <f>SUMIF(order_details!A:A,Table1[[#This Row],[orderID]],order_details!F:F)</f>
        <v>318.83499999999998</v>
      </c>
      <c r="L406" s="9">
        <f>_xlfn.XLOOKUP(Table1[[#This Row],[orderID]],Table3[orderID],Table3[discount])</f>
        <v>0.25</v>
      </c>
      <c r="M406" s="2">
        <f>SUM(Table1[[#This Row],[Sales]],Table1[[#This Row],[freight]])</f>
        <v>325.97499999999997</v>
      </c>
      <c r="N406" s="3">
        <f>_xlfn.XLOOKUP(Table1[[#This Row],[orderID]],Table3[orderID],Table3[quantity])</f>
        <v>2</v>
      </c>
      <c r="O406" s="6" t="str">
        <f>_xlfn.XLOOKUP(Table1[[#This Row],[CustomerID]],customers!A:A,customers!B:B)</f>
        <v>Gourmet Lanchonetes</v>
      </c>
      <c r="P406" s="6" t="str">
        <f>_xlfn.XLOOKUP(Table1[[#This Row],[shipperID]],Table6[shipperID],Table6[companyName])</f>
        <v>United Package</v>
      </c>
      <c r="Q406">
        <f>YEAR(Table1[[#This Row],[OrderDate]])</f>
        <v>2014</v>
      </c>
      <c r="R406">
        <f>MONTH(Table1[[#This Row],[OrderDate]])</f>
        <v>9</v>
      </c>
      <c r="S406" t="str">
        <f>"Q"&amp;ROUNDUP(Table1[[#This Row],[month]]/3,0)</f>
        <v>Q3</v>
      </c>
      <c r="T406" t="str">
        <f>CONCATENATE(Table1[[#This Row],[year]],"-",Table1[[#This Row],[Quarter]])</f>
        <v>2014-Q3</v>
      </c>
      <c r="U406" s="6" t="str">
        <f>IF(H405="","Pending",IF(Table1[[#This Row],[Days to ship]]&lt;Table1[[#This Row],[RequiredDate]],"On Time","Late"))</f>
        <v>On Time</v>
      </c>
      <c r="V406">
        <f>_xlfn.XLOOKUP(Table1[[#This Row],[orderID]],Table3[orderID],Table3[unitPrice])</f>
        <v>25.89</v>
      </c>
    </row>
    <row r="407" spans="1:22" x14ac:dyDescent="0.45">
      <c r="A407" s="3">
        <v>10653</v>
      </c>
      <c r="B407" s="6" t="s">
        <v>201</v>
      </c>
      <c r="C407" s="3">
        <v>1</v>
      </c>
      <c r="D407" s="6" t="str">
        <f>_xlfn.XLOOKUP(Table1[[#This Row],[EmployeeID]],Table4[employeeID],Table4[employeeName])</f>
        <v>Nancy Davolio</v>
      </c>
      <c r="E407" s="1">
        <v>41884</v>
      </c>
      <c r="F407" s="1">
        <v>41912</v>
      </c>
      <c r="G407" s="1">
        <v>41901</v>
      </c>
      <c r="H407" s="3">
        <f>IF(Table1[[#This Row],[ShippedDate]]="","",IF(Table1[[#This Row],[OrderDate]]="","",Table1[[#This Row],[ShippedDate]]-Table1[[#This Row],[OrderDate]]))</f>
        <v>17</v>
      </c>
      <c r="I407" s="3">
        <v>1</v>
      </c>
      <c r="J407" s="2">
        <v>93.25</v>
      </c>
      <c r="K407" s="2">
        <f>SUMIF(order_details!A:A,Table1[[#This Row],[orderID]],order_details!F:F)</f>
        <v>1083.1500000000001</v>
      </c>
      <c r="L407" s="9">
        <f>_xlfn.XLOOKUP(Table1[[#This Row],[orderID]],Table3[orderID],Table3[discount])</f>
        <v>0.1</v>
      </c>
      <c r="M407" s="2">
        <f>SUM(Table1[[#This Row],[Sales]],Table1[[#This Row],[freight]])</f>
        <v>1176.4000000000001</v>
      </c>
      <c r="N407" s="3">
        <f>_xlfn.XLOOKUP(Table1[[#This Row],[orderID]],Table3[orderID],Table3[quantity])</f>
        <v>30</v>
      </c>
      <c r="O407" s="6" t="str">
        <f>_xlfn.XLOOKUP(Table1[[#This Row],[CustomerID]],customers!A:A,customers!B:B)</f>
        <v>Frankenversand</v>
      </c>
      <c r="P407" s="6" t="str">
        <f>_xlfn.XLOOKUP(Table1[[#This Row],[shipperID]],Table6[shipperID],Table6[companyName])</f>
        <v>Speedy Express</v>
      </c>
      <c r="Q407">
        <f>YEAR(Table1[[#This Row],[OrderDate]])</f>
        <v>2014</v>
      </c>
      <c r="R407">
        <f>MONTH(Table1[[#This Row],[OrderDate]])</f>
        <v>9</v>
      </c>
      <c r="S407" t="str">
        <f>"Q"&amp;ROUNDUP(Table1[[#This Row],[month]]/3,0)</f>
        <v>Q3</v>
      </c>
      <c r="T407" t="str">
        <f>CONCATENATE(Table1[[#This Row],[year]],"-",Table1[[#This Row],[Quarter]])</f>
        <v>2014-Q3</v>
      </c>
      <c r="U407" s="6" t="str">
        <f>IF(H406="","Pending",IF(Table1[[#This Row],[Days to ship]]&lt;Table1[[#This Row],[RequiredDate]],"On Time","Late"))</f>
        <v>On Time</v>
      </c>
      <c r="V407">
        <f>_xlfn.XLOOKUP(Table1[[#This Row],[orderID]],Table3[orderID],Table3[unitPrice])</f>
        <v>17.45</v>
      </c>
    </row>
    <row r="408" spans="1:22" x14ac:dyDescent="0.45">
      <c r="A408" s="3">
        <v>10654</v>
      </c>
      <c r="B408" s="6" t="s">
        <v>223</v>
      </c>
      <c r="C408" s="3">
        <v>5</v>
      </c>
      <c r="D408" s="6" t="str">
        <f>_xlfn.XLOOKUP(Table1[[#This Row],[EmployeeID]],Table4[employeeID],Table4[employeeName])</f>
        <v>Steven Buchanan</v>
      </c>
      <c r="E408" s="1">
        <v>41884</v>
      </c>
      <c r="F408" s="1">
        <v>41912</v>
      </c>
      <c r="G408" s="1">
        <v>41893</v>
      </c>
      <c r="H408" s="3">
        <f>IF(Table1[[#This Row],[ShippedDate]]="","",IF(Table1[[#This Row],[OrderDate]]="","",Table1[[#This Row],[ShippedDate]]-Table1[[#This Row],[OrderDate]]))</f>
        <v>9</v>
      </c>
      <c r="I408" s="3">
        <v>1</v>
      </c>
      <c r="J408" s="2">
        <v>55.26</v>
      </c>
      <c r="K408" s="2">
        <f>SUMIF(order_details!A:A,Table1[[#This Row],[orderID]],order_details!F:F)</f>
        <v>601.83000000000004</v>
      </c>
      <c r="L408" s="9">
        <f>_xlfn.XLOOKUP(Table1[[#This Row],[orderID]],Table3[orderID],Table3[discount])</f>
        <v>0.1</v>
      </c>
      <c r="M408" s="2">
        <f>SUM(Table1[[#This Row],[Sales]],Table1[[#This Row],[freight]])</f>
        <v>657.09</v>
      </c>
      <c r="N408" s="3">
        <f>_xlfn.XLOOKUP(Table1[[#This Row],[orderID]],Table3[orderID],Table3[quantity])</f>
        <v>12</v>
      </c>
      <c r="O408" s="6" t="str">
        <f>_xlfn.XLOOKUP(Table1[[#This Row],[CustomerID]],customers!A:A,customers!B:B)</f>
        <v>Berglunds snabbköp</v>
      </c>
      <c r="P408" s="6" t="str">
        <f>_xlfn.XLOOKUP(Table1[[#This Row],[shipperID]],Table6[shipperID],Table6[companyName])</f>
        <v>Speedy Express</v>
      </c>
      <c r="Q408">
        <f>YEAR(Table1[[#This Row],[OrderDate]])</f>
        <v>2014</v>
      </c>
      <c r="R408">
        <f>MONTH(Table1[[#This Row],[OrderDate]])</f>
        <v>9</v>
      </c>
      <c r="S408" t="str">
        <f>"Q"&amp;ROUNDUP(Table1[[#This Row],[month]]/3,0)</f>
        <v>Q3</v>
      </c>
      <c r="T408" t="str">
        <f>CONCATENATE(Table1[[#This Row],[year]],"-",Table1[[#This Row],[Quarter]])</f>
        <v>2014-Q3</v>
      </c>
      <c r="U408" s="6" t="str">
        <f>IF(H407="","Pending",IF(Table1[[#This Row],[Days to ship]]&lt;Table1[[#This Row],[RequiredDate]],"On Time","Late"))</f>
        <v>On Time</v>
      </c>
      <c r="V408">
        <f>_xlfn.XLOOKUP(Table1[[#This Row],[orderID]],Table3[orderID],Table3[unitPrice])</f>
        <v>22</v>
      </c>
    </row>
    <row r="409" spans="1:22" x14ac:dyDescent="0.45">
      <c r="A409" s="3">
        <v>10655</v>
      </c>
      <c r="B409" s="6" t="s">
        <v>167</v>
      </c>
      <c r="C409" s="3">
        <v>1</v>
      </c>
      <c r="D409" s="6" t="str">
        <f>_xlfn.XLOOKUP(Table1[[#This Row],[EmployeeID]],Table4[employeeID],Table4[employeeName])</f>
        <v>Nancy Davolio</v>
      </c>
      <c r="E409" s="1">
        <v>41885</v>
      </c>
      <c r="F409" s="1">
        <v>41913</v>
      </c>
      <c r="G409" s="1">
        <v>41893</v>
      </c>
      <c r="H409" s="3">
        <f>IF(Table1[[#This Row],[ShippedDate]]="","",IF(Table1[[#This Row],[OrderDate]]="","",Table1[[#This Row],[ShippedDate]]-Table1[[#This Row],[OrderDate]]))</f>
        <v>8</v>
      </c>
      <c r="I409" s="3">
        <v>2</v>
      </c>
      <c r="J409" s="2">
        <v>4.41</v>
      </c>
      <c r="K409" s="2">
        <f>SUMIF(order_details!A:A,Table1[[#This Row],[orderID]],order_details!F:F)</f>
        <v>154.4</v>
      </c>
      <c r="L409" s="9">
        <f>_xlfn.XLOOKUP(Table1[[#This Row],[orderID]],Table3[orderID],Table3[discount])</f>
        <v>0.2</v>
      </c>
      <c r="M409" s="2">
        <f>SUM(Table1[[#This Row],[Sales]],Table1[[#This Row],[freight]])</f>
        <v>158.81</v>
      </c>
      <c r="N409" s="3">
        <f>_xlfn.XLOOKUP(Table1[[#This Row],[orderID]],Table3[orderID],Table3[quantity])</f>
        <v>20</v>
      </c>
      <c r="O409" s="6" t="str">
        <f>_xlfn.XLOOKUP(Table1[[#This Row],[CustomerID]],customers!A:A,customers!B:B)</f>
        <v>Reggiani Caseifici</v>
      </c>
      <c r="P409" s="6" t="str">
        <f>_xlfn.XLOOKUP(Table1[[#This Row],[shipperID]],Table6[shipperID],Table6[companyName])</f>
        <v>United Package</v>
      </c>
      <c r="Q409">
        <f>YEAR(Table1[[#This Row],[OrderDate]])</f>
        <v>2014</v>
      </c>
      <c r="R409">
        <f>MONTH(Table1[[#This Row],[OrderDate]])</f>
        <v>9</v>
      </c>
      <c r="S409" t="str">
        <f>"Q"&amp;ROUNDUP(Table1[[#This Row],[month]]/3,0)</f>
        <v>Q3</v>
      </c>
      <c r="T409" t="str">
        <f>CONCATENATE(Table1[[#This Row],[year]],"-",Table1[[#This Row],[Quarter]])</f>
        <v>2014-Q3</v>
      </c>
      <c r="U409" s="6" t="str">
        <f>IF(H408="","Pending",IF(Table1[[#This Row],[Days to ship]]&lt;Table1[[#This Row],[RequiredDate]],"On Time","Late"))</f>
        <v>On Time</v>
      </c>
      <c r="V409">
        <f>_xlfn.XLOOKUP(Table1[[#This Row],[orderID]],Table3[orderID],Table3[unitPrice])</f>
        <v>9.65</v>
      </c>
    </row>
    <row r="410" spans="1:22" x14ac:dyDescent="0.45">
      <c r="A410" s="3">
        <v>10656</v>
      </c>
      <c r="B410" s="6" t="s">
        <v>168</v>
      </c>
      <c r="C410" s="3">
        <v>6</v>
      </c>
      <c r="D410" s="6" t="str">
        <f>_xlfn.XLOOKUP(Table1[[#This Row],[EmployeeID]],Table4[employeeID],Table4[employeeName])</f>
        <v>Michael Suyama</v>
      </c>
      <c r="E410" s="1">
        <v>41886</v>
      </c>
      <c r="F410" s="1">
        <v>41914</v>
      </c>
      <c r="G410" s="1">
        <v>41892</v>
      </c>
      <c r="H410" s="3">
        <f>IF(Table1[[#This Row],[ShippedDate]]="","",IF(Table1[[#This Row],[OrderDate]]="","",Table1[[#This Row],[ShippedDate]]-Table1[[#This Row],[OrderDate]]))</f>
        <v>6</v>
      </c>
      <c r="I410" s="3">
        <v>1</v>
      </c>
      <c r="J410" s="2">
        <v>57.15</v>
      </c>
      <c r="K410" s="2">
        <f>SUMIF(order_details!A:A,Table1[[#This Row],[orderID]],order_details!F:F)</f>
        <v>604.21500000000003</v>
      </c>
      <c r="L410" s="9">
        <f>_xlfn.XLOOKUP(Table1[[#This Row],[orderID]],Table3[orderID],Table3[discount])</f>
        <v>0.1</v>
      </c>
      <c r="M410" s="2">
        <f>SUM(Table1[[#This Row],[Sales]],Table1[[#This Row],[freight]])</f>
        <v>661.36500000000001</v>
      </c>
      <c r="N410" s="3">
        <f>_xlfn.XLOOKUP(Table1[[#This Row],[orderID]],Table3[orderID],Table3[quantity])</f>
        <v>3</v>
      </c>
      <c r="O410" s="6" t="str">
        <f>_xlfn.XLOOKUP(Table1[[#This Row],[CustomerID]],customers!A:A,customers!B:B)</f>
        <v>Great Lakes Food Market</v>
      </c>
      <c r="P410" s="6" t="str">
        <f>_xlfn.XLOOKUP(Table1[[#This Row],[shipperID]],Table6[shipperID],Table6[companyName])</f>
        <v>Speedy Express</v>
      </c>
      <c r="Q410">
        <f>YEAR(Table1[[#This Row],[OrderDate]])</f>
        <v>2014</v>
      </c>
      <c r="R410">
        <f>MONTH(Table1[[#This Row],[OrderDate]])</f>
        <v>9</v>
      </c>
      <c r="S410" t="str">
        <f>"Q"&amp;ROUNDUP(Table1[[#This Row],[month]]/3,0)</f>
        <v>Q3</v>
      </c>
      <c r="T410" t="str">
        <f>CONCATENATE(Table1[[#This Row],[year]],"-",Table1[[#This Row],[Quarter]])</f>
        <v>2014-Q3</v>
      </c>
      <c r="U410" s="6" t="str">
        <f>IF(H409="","Pending",IF(Table1[[#This Row],[Days to ship]]&lt;Table1[[#This Row],[RequiredDate]],"On Time","Late"))</f>
        <v>On Time</v>
      </c>
      <c r="V410">
        <f>_xlfn.XLOOKUP(Table1[[#This Row],[orderID]],Table3[orderID],Table3[unitPrice])</f>
        <v>23.25</v>
      </c>
    </row>
    <row r="411" spans="1:22" x14ac:dyDescent="0.45">
      <c r="A411" s="3">
        <v>10657</v>
      </c>
      <c r="B411" s="6" t="s">
        <v>165</v>
      </c>
      <c r="C411" s="3">
        <v>2</v>
      </c>
      <c r="D411" s="6" t="str">
        <f>_xlfn.XLOOKUP(Table1[[#This Row],[EmployeeID]],Table4[employeeID],Table4[employeeName])</f>
        <v>Andrew Fuller</v>
      </c>
      <c r="E411" s="1">
        <v>41886</v>
      </c>
      <c r="F411" s="1">
        <v>41914</v>
      </c>
      <c r="G411" s="1">
        <v>41897</v>
      </c>
      <c r="H411" s="3">
        <f>IF(Table1[[#This Row],[ShippedDate]]="","",IF(Table1[[#This Row],[OrderDate]]="","",Table1[[#This Row],[ShippedDate]]-Table1[[#This Row],[OrderDate]]))</f>
        <v>11</v>
      </c>
      <c r="I411" s="3">
        <v>2</v>
      </c>
      <c r="J411" s="2">
        <v>352.69</v>
      </c>
      <c r="K411" s="2">
        <f>SUMIF(order_details!A:A,Table1[[#This Row],[orderID]],order_details!F:F)</f>
        <v>4371.6000000000004</v>
      </c>
      <c r="L411" s="9">
        <f>_xlfn.XLOOKUP(Table1[[#This Row],[orderID]],Table3[orderID],Table3[discount])</f>
        <v>0</v>
      </c>
      <c r="M411" s="2">
        <f>SUM(Table1[[#This Row],[Sales]],Table1[[#This Row],[freight]])</f>
        <v>4724.29</v>
      </c>
      <c r="N411" s="3">
        <f>_xlfn.XLOOKUP(Table1[[#This Row],[orderID]],Table3[orderID],Table3[quantity])</f>
        <v>50</v>
      </c>
      <c r="O411" s="6" t="str">
        <f>_xlfn.XLOOKUP(Table1[[#This Row],[CustomerID]],customers!A:A,customers!B:B)</f>
        <v>Save-a-lot Markets</v>
      </c>
      <c r="P411" s="6" t="str">
        <f>_xlfn.XLOOKUP(Table1[[#This Row],[shipperID]],Table6[shipperID],Table6[companyName])</f>
        <v>United Package</v>
      </c>
      <c r="Q411">
        <f>YEAR(Table1[[#This Row],[OrderDate]])</f>
        <v>2014</v>
      </c>
      <c r="R411">
        <f>MONTH(Table1[[#This Row],[OrderDate]])</f>
        <v>9</v>
      </c>
      <c r="S411" t="str">
        <f>"Q"&amp;ROUNDUP(Table1[[#This Row],[month]]/3,0)</f>
        <v>Q3</v>
      </c>
      <c r="T411" t="str">
        <f>CONCATENATE(Table1[[#This Row],[year]],"-",Table1[[#This Row],[Quarter]])</f>
        <v>2014-Q3</v>
      </c>
      <c r="U411" s="6" t="str">
        <f>IF(H410="","Pending",IF(Table1[[#This Row],[Days to ship]]&lt;Table1[[#This Row],[RequiredDate]],"On Time","Late"))</f>
        <v>On Time</v>
      </c>
      <c r="V411">
        <f>_xlfn.XLOOKUP(Table1[[#This Row],[orderID]],Table3[orderID],Table3[unitPrice])</f>
        <v>15.5</v>
      </c>
    </row>
    <row r="412" spans="1:22" x14ac:dyDescent="0.45">
      <c r="A412" s="3">
        <v>10658</v>
      </c>
      <c r="B412" s="6" t="s">
        <v>194</v>
      </c>
      <c r="C412" s="3">
        <v>4</v>
      </c>
      <c r="D412" s="6" t="str">
        <f>_xlfn.XLOOKUP(Table1[[#This Row],[EmployeeID]],Table4[employeeID],Table4[employeeName])</f>
        <v>Margaret Peacock</v>
      </c>
      <c r="E412" s="1">
        <v>41887</v>
      </c>
      <c r="F412" s="1">
        <v>41915</v>
      </c>
      <c r="G412" s="1">
        <v>41890</v>
      </c>
      <c r="H412" s="3">
        <f>IF(Table1[[#This Row],[ShippedDate]]="","",IF(Table1[[#This Row],[OrderDate]]="","",Table1[[#This Row],[ShippedDate]]-Table1[[#This Row],[OrderDate]]))</f>
        <v>3</v>
      </c>
      <c r="I412" s="3">
        <v>1</v>
      </c>
      <c r="J412" s="2">
        <v>364.15</v>
      </c>
      <c r="K412" s="2">
        <f>SUMIF(order_details!A:A,Table1[[#This Row],[orderID]],order_details!F:F)</f>
        <v>4464.6000000000004</v>
      </c>
      <c r="L412" s="9">
        <f>_xlfn.XLOOKUP(Table1[[#This Row],[orderID]],Table3[orderID],Table3[discount])</f>
        <v>0</v>
      </c>
      <c r="M412" s="2">
        <f>SUM(Table1[[#This Row],[Sales]],Table1[[#This Row],[freight]])</f>
        <v>4828.75</v>
      </c>
      <c r="N412" s="3">
        <f>_xlfn.XLOOKUP(Table1[[#This Row],[orderID]],Table3[orderID],Table3[quantity])</f>
        <v>60</v>
      </c>
      <c r="O412" s="6" t="str">
        <f>_xlfn.XLOOKUP(Table1[[#This Row],[CustomerID]],customers!A:A,customers!B:B)</f>
        <v>QUICK-Stop</v>
      </c>
      <c r="P412" s="6" t="str">
        <f>_xlfn.XLOOKUP(Table1[[#This Row],[shipperID]],Table6[shipperID],Table6[companyName])</f>
        <v>Speedy Express</v>
      </c>
      <c r="Q412">
        <f>YEAR(Table1[[#This Row],[OrderDate]])</f>
        <v>2014</v>
      </c>
      <c r="R412">
        <f>MONTH(Table1[[#This Row],[OrderDate]])</f>
        <v>9</v>
      </c>
      <c r="S412" t="str">
        <f>"Q"&amp;ROUNDUP(Table1[[#This Row],[month]]/3,0)</f>
        <v>Q3</v>
      </c>
      <c r="T412" t="str">
        <f>CONCATENATE(Table1[[#This Row],[year]],"-",Table1[[#This Row],[Quarter]])</f>
        <v>2014-Q3</v>
      </c>
      <c r="U412" s="6" t="str">
        <f>IF(H411="","Pending",IF(Table1[[#This Row],[Days to ship]]&lt;Table1[[#This Row],[RequiredDate]],"On Time","Late"))</f>
        <v>On Time</v>
      </c>
      <c r="V412">
        <f>_xlfn.XLOOKUP(Table1[[#This Row],[orderID]],Table3[orderID],Table3[unitPrice])</f>
        <v>10</v>
      </c>
    </row>
    <row r="413" spans="1:22" x14ac:dyDescent="0.45">
      <c r="A413" s="3">
        <v>10659</v>
      </c>
      <c r="B413" s="6" t="s">
        <v>162</v>
      </c>
      <c r="C413" s="3">
        <v>7</v>
      </c>
      <c r="D413" s="6" t="str">
        <f>_xlfn.XLOOKUP(Table1[[#This Row],[EmployeeID]],Table4[employeeID],Table4[employeeName])</f>
        <v>Robert King</v>
      </c>
      <c r="E413" s="1">
        <v>41887</v>
      </c>
      <c r="F413" s="1">
        <v>41915</v>
      </c>
      <c r="G413" s="1">
        <v>41892</v>
      </c>
      <c r="H413" s="3">
        <f>IF(Table1[[#This Row],[ShippedDate]]="","",IF(Table1[[#This Row],[OrderDate]]="","",Table1[[#This Row],[ShippedDate]]-Table1[[#This Row],[OrderDate]]))</f>
        <v>5</v>
      </c>
      <c r="I413" s="3">
        <v>2</v>
      </c>
      <c r="J413" s="2">
        <v>105.81</v>
      </c>
      <c r="K413" s="2">
        <f>SUMIF(order_details!A:A,Table1[[#This Row],[orderID]],order_details!F:F)</f>
        <v>1227.02</v>
      </c>
      <c r="L413" s="9">
        <f>_xlfn.XLOOKUP(Table1[[#This Row],[orderID]],Table3[orderID],Table3[discount])</f>
        <v>0.05</v>
      </c>
      <c r="M413" s="2">
        <f>SUM(Table1[[#This Row],[Sales]],Table1[[#This Row],[freight]])</f>
        <v>1332.83</v>
      </c>
      <c r="N413" s="3">
        <f>_xlfn.XLOOKUP(Table1[[#This Row],[orderID]],Table3[orderID],Table3[quantity])</f>
        <v>20</v>
      </c>
      <c r="O413" s="6" t="str">
        <f>_xlfn.XLOOKUP(Table1[[#This Row],[CustomerID]],customers!A:A,customers!B:B)</f>
        <v>Queen Cozinha</v>
      </c>
      <c r="P413" s="6" t="str">
        <f>_xlfn.XLOOKUP(Table1[[#This Row],[shipperID]],Table6[shipperID],Table6[companyName])</f>
        <v>United Package</v>
      </c>
      <c r="Q413">
        <f>YEAR(Table1[[#This Row],[OrderDate]])</f>
        <v>2014</v>
      </c>
      <c r="R413">
        <f>MONTH(Table1[[#This Row],[OrderDate]])</f>
        <v>9</v>
      </c>
      <c r="S413" t="str">
        <f>"Q"&amp;ROUNDUP(Table1[[#This Row],[month]]/3,0)</f>
        <v>Q3</v>
      </c>
      <c r="T413" t="str">
        <f>CONCATENATE(Table1[[#This Row],[year]],"-",Table1[[#This Row],[Quarter]])</f>
        <v>2014-Q3</v>
      </c>
      <c r="U413" s="6" t="str">
        <f>IF(H412="","Pending",IF(Table1[[#This Row],[Days to ship]]&lt;Table1[[#This Row],[RequiredDate]],"On Time","Late"))</f>
        <v>On Time</v>
      </c>
      <c r="V413">
        <f>_xlfn.XLOOKUP(Table1[[#This Row],[orderID]],Table3[orderID],Table3[unitPrice])</f>
        <v>12.5</v>
      </c>
    </row>
    <row r="414" spans="1:22" x14ac:dyDescent="0.45">
      <c r="A414" s="3">
        <v>10660</v>
      </c>
      <c r="B414" s="6" t="s">
        <v>239</v>
      </c>
      <c r="C414" s="3">
        <v>8</v>
      </c>
      <c r="D414" s="6" t="str">
        <f>_xlfn.XLOOKUP(Table1[[#This Row],[EmployeeID]],Table4[employeeID],Table4[employeeName])</f>
        <v>Laura Callahan</v>
      </c>
      <c r="E414" s="1">
        <v>41890</v>
      </c>
      <c r="F414" s="1">
        <v>41918</v>
      </c>
      <c r="G414" s="1">
        <v>41927</v>
      </c>
      <c r="H414" s="3">
        <f>IF(Table1[[#This Row],[ShippedDate]]="","",IF(Table1[[#This Row],[OrderDate]]="","",Table1[[#This Row],[ShippedDate]]-Table1[[#This Row],[OrderDate]]))</f>
        <v>37</v>
      </c>
      <c r="I414" s="3">
        <v>1</v>
      </c>
      <c r="J414" s="2">
        <v>111.29</v>
      </c>
      <c r="K414" s="2">
        <f>SUMIF(order_details!A:A,Table1[[#This Row],[orderID]],order_details!F:F)</f>
        <v>1701</v>
      </c>
      <c r="L414" s="9">
        <f>_xlfn.XLOOKUP(Table1[[#This Row],[orderID]],Table3[orderID],Table3[discount])</f>
        <v>0</v>
      </c>
      <c r="M414" s="2">
        <f>SUM(Table1[[#This Row],[Sales]],Table1[[#This Row],[freight]])</f>
        <v>1812.29</v>
      </c>
      <c r="N414" s="3">
        <f>_xlfn.XLOOKUP(Table1[[#This Row],[orderID]],Table3[orderID],Table3[quantity])</f>
        <v>21</v>
      </c>
      <c r="O414" s="6" t="str">
        <f>_xlfn.XLOOKUP(Table1[[#This Row],[CustomerID]],customers!A:A,customers!B:B)</f>
        <v>Hungry Coyote Import Store</v>
      </c>
      <c r="P414" s="6" t="str">
        <f>_xlfn.XLOOKUP(Table1[[#This Row],[shipperID]],Table6[shipperID],Table6[companyName])</f>
        <v>Speedy Express</v>
      </c>
      <c r="Q414">
        <f>YEAR(Table1[[#This Row],[OrderDate]])</f>
        <v>2014</v>
      </c>
      <c r="R414">
        <f>MONTH(Table1[[#This Row],[OrderDate]])</f>
        <v>9</v>
      </c>
      <c r="S414" t="str">
        <f>"Q"&amp;ROUNDUP(Table1[[#This Row],[month]]/3,0)</f>
        <v>Q3</v>
      </c>
      <c r="T414" t="str">
        <f>CONCATENATE(Table1[[#This Row],[year]],"-",Table1[[#This Row],[Quarter]])</f>
        <v>2014-Q3</v>
      </c>
      <c r="U414" s="6" t="str">
        <f>IF(H413="","Pending",IF(Table1[[#This Row],[Days to ship]]&lt;Table1[[#This Row],[RequiredDate]],"On Time","Late"))</f>
        <v>On Time</v>
      </c>
      <c r="V414">
        <f>_xlfn.XLOOKUP(Table1[[#This Row],[orderID]],Table3[orderID],Table3[unitPrice])</f>
        <v>81</v>
      </c>
    </row>
    <row r="415" spans="1:22" x14ac:dyDescent="0.45">
      <c r="A415" s="3">
        <v>10661</v>
      </c>
      <c r="B415" s="6" t="s">
        <v>166</v>
      </c>
      <c r="C415" s="3">
        <v>7</v>
      </c>
      <c r="D415" s="6" t="str">
        <f>_xlfn.XLOOKUP(Table1[[#This Row],[EmployeeID]],Table4[employeeID],Table4[employeeName])</f>
        <v>Robert King</v>
      </c>
      <c r="E415" s="1">
        <v>41891</v>
      </c>
      <c r="F415" s="1">
        <v>41919</v>
      </c>
      <c r="G415" s="1">
        <v>41897</v>
      </c>
      <c r="H415" s="3">
        <f>IF(Table1[[#This Row],[ShippedDate]]="","",IF(Table1[[#This Row],[OrderDate]]="","",Table1[[#This Row],[ShippedDate]]-Table1[[#This Row],[OrderDate]]))</f>
        <v>6</v>
      </c>
      <c r="I415" s="3">
        <v>3</v>
      </c>
      <c r="J415" s="2">
        <v>17.55</v>
      </c>
      <c r="K415" s="2">
        <f>SUMIF(order_details!A:A,Table1[[#This Row],[orderID]],order_details!F:F)</f>
        <v>562.6</v>
      </c>
      <c r="L415" s="9">
        <f>_xlfn.XLOOKUP(Table1[[#This Row],[orderID]],Table3[orderID],Table3[discount])</f>
        <v>0.2</v>
      </c>
      <c r="M415" s="2">
        <f>SUM(Table1[[#This Row],[Sales]],Table1[[#This Row],[freight]])</f>
        <v>580.15</v>
      </c>
      <c r="N415" s="3">
        <f>_xlfn.XLOOKUP(Table1[[#This Row],[orderID]],Table3[orderID],Table3[quantity])</f>
        <v>3</v>
      </c>
      <c r="O415" s="6" t="str">
        <f>_xlfn.XLOOKUP(Table1[[#This Row],[CustomerID]],customers!A:A,customers!B:B)</f>
        <v>Hungry Owl All-Night Grocers</v>
      </c>
      <c r="P415" s="6" t="str">
        <f>_xlfn.XLOOKUP(Table1[[#This Row],[shipperID]],Table6[shipperID],Table6[companyName])</f>
        <v>Federal Shipping</v>
      </c>
      <c r="Q415">
        <f>YEAR(Table1[[#This Row],[OrderDate]])</f>
        <v>2014</v>
      </c>
      <c r="R415">
        <f>MONTH(Table1[[#This Row],[OrderDate]])</f>
        <v>9</v>
      </c>
      <c r="S415" t="str">
        <f>"Q"&amp;ROUNDUP(Table1[[#This Row],[month]]/3,0)</f>
        <v>Q3</v>
      </c>
      <c r="T415" t="str">
        <f>CONCATENATE(Table1[[#This Row],[year]],"-",Table1[[#This Row],[Quarter]])</f>
        <v>2014-Q3</v>
      </c>
      <c r="U415" s="6" t="str">
        <f>IF(H414="","Pending",IF(Table1[[#This Row],[Days to ship]]&lt;Table1[[#This Row],[RequiredDate]],"On Time","Late"))</f>
        <v>On Time</v>
      </c>
      <c r="V415">
        <f>_xlfn.XLOOKUP(Table1[[#This Row],[orderID]],Table3[orderID],Table3[unitPrice])</f>
        <v>18</v>
      </c>
    </row>
    <row r="416" spans="1:22" x14ac:dyDescent="0.45">
      <c r="A416" s="3">
        <v>10662</v>
      </c>
      <c r="B416" s="6" t="s">
        <v>197</v>
      </c>
      <c r="C416" s="3">
        <v>3</v>
      </c>
      <c r="D416" s="6" t="str">
        <f>_xlfn.XLOOKUP(Table1[[#This Row],[EmployeeID]],Table4[employeeID],Table4[employeeName])</f>
        <v>Janet Leverling</v>
      </c>
      <c r="E416" s="1">
        <v>41891</v>
      </c>
      <c r="F416" s="1">
        <v>41919</v>
      </c>
      <c r="G416" s="1">
        <v>41900</v>
      </c>
      <c r="H416" s="3">
        <f>IF(Table1[[#This Row],[ShippedDate]]="","",IF(Table1[[#This Row],[OrderDate]]="","",Table1[[#This Row],[ShippedDate]]-Table1[[#This Row],[OrderDate]]))</f>
        <v>9</v>
      </c>
      <c r="I416" s="3">
        <v>2</v>
      </c>
      <c r="J416" s="2">
        <v>1.28</v>
      </c>
      <c r="K416" s="2">
        <f>SUMIF(order_details!A:A,Table1[[#This Row],[orderID]],order_details!F:F)</f>
        <v>125</v>
      </c>
      <c r="L416" s="9">
        <f>_xlfn.XLOOKUP(Table1[[#This Row],[orderID]],Table3[orderID],Table3[discount])</f>
        <v>0</v>
      </c>
      <c r="M416" s="2">
        <f>SUM(Table1[[#This Row],[Sales]],Table1[[#This Row],[freight]])</f>
        <v>126.28</v>
      </c>
      <c r="N416" s="3">
        <f>_xlfn.XLOOKUP(Table1[[#This Row],[orderID]],Table3[orderID],Table3[quantity])</f>
        <v>10</v>
      </c>
      <c r="O416" s="6" t="str">
        <f>_xlfn.XLOOKUP(Table1[[#This Row],[CustomerID]],customers!A:A,customers!B:B)</f>
        <v>Lonesome Pine Restaurant</v>
      </c>
      <c r="P416" s="6" t="str">
        <f>_xlfn.XLOOKUP(Table1[[#This Row],[shipperID]],Table6[shipperID],Table6[companyName])</f>
        <v>United Package</v>
      </c>
      <c r="Q416">
        <f>YEAR(Table1[[#This Row],[OrderDate]])</f>
        <v>2014</v>
      </c>
      <c r="R416">
        <f>MONTH(Table1[[#This Row],[OrderDate]])</f>
        <v>9</v>
      </c>
      <c r="S416" t="str">
        <f>"Q"&amp;ROUNDUP(Table1[[#This Row],[month]]/3,0)</f>
        <v>Q3</v>
      </c>
      <c r="T416" t="str">
        <f>CONCATENATE(Table1[[#This Row],[year]],"-",Table1[[#This Row],[Quarter]])</f>
        <v>2014-Q3</v>
      </c>
      <c r="U416" s="6" t="str">
        <f>IF(H415="","Pending",IF(Table1[[#This Row],[Days to ship]]&lt;Table1[[#This Row],[RequiredDate]],"On Time","Late"))</f>
        <v>On Time</v>
      </c>
      <c r="V416">
        <f>_xlfn.XLOOKUP(Table1[[#This Row],[orderID]],Table3[orderID],Table3[unitPrice])</f>
        <v>12.5</v>
      </c>
    </row>
    <row r="417" spans="1:22" x14ac:dyDescent="0.45">
      <c r="A417" s="3">
        <v>10663</v>
      </c>
      <c r="B417" s="6" t="s">
        <v>154</v>
      </c>
      <c r="C417" s="3">
        <v>2</v>
      </c>
      <c r="D417" s="6" t="str">
        <f>_xlfn.XLOOKUP(Table1[[#This Row],[EmployeeID]],Table4[employeeID],Table4[employeeName])</f>
        <v>Andrew Fuller</v>
      </c>
      <c r="E417" s="1">
        <v>41892</v>
      </c>
      <c r="F417" s="1">
        <v>41906</v>
      </c>
      <c r="G417" s="1">
        <v>41915</v>
      </c>
      <c r="H417" s="3">
        <f>IF(Table1[[#This Row],[ShippedDate]]="","",IF(Table1[[#This Row],[OrderDate]]="","",Table1[[#This Row],[ShippedDate]]-Table1[[#This Row],[OrderDate]]))</f>
        <v>23</v>
      </c>
      <c r="I417" s="3">
        <v>2</v>
      </c>
      <c r="J417" s="2">
        <v>113.15</v>
      </c>
      <c r="K417" s="2">
        <f>SUMIF(order_details!A:A,Table1[[#This Row],[orderID]],order_details!F:F)</f>
        <v>1930.4</v>
      </c>
      <c r="L417" s="9">
        <f>_xlfn.XLOOKUP(Table1[[#This Row],[orderID]],Table3[orderID],Table3[discount])</f>
        <v>0.05</v>
      </c>
      <c r="M417" s="2">
        <f>SUM(Table1[[#This Row],[Sales]],Table1[[#This Row],[freight]])</f>
        <v>2043.5500000000002</v>
      </c>
      <c r="N417" s="3">
        <f>_xlfn.XLOOKUP(Table1[[#This Row],[orderID]],Table3[orderID],Table3[quantity])</f>
        <v>30</v>
      </c>
      <c r="O417" s="6" t="str">
        <f>_xlfn.XLOOKUP(Table1[[#This Row],[CustomerID]],customers!A:A,customers!B:B)</f>
        <v>Bon app'</v>
      </c>
      <c r="P417" s="6" t="str">
        <f>_xlfn.XLOOKUP(Table1[[#This Row],[shipperID]],Table6[shipperID],Table6[companyName])</f>
        <v>United Package</v>
      </c>
      <c r="Q417">
        <f>YEAR(Table1[[#This Row],[OrderDate]])</f>
        <v>2014</v>
      </c>
      <c r="R417">
        <f>MONTH(Table1[[#This Row],[OrderDate]])</f>
        <v>9</v>
      </c>
      <c r="S417" t="str">
        <f>"Q"&amp;ROUNDUP(Table1[[#This Row],[month]]/3,0)</f>
        <v>Q3</v>
      </c>
      <c r="T417" t="str">
        <f>CONCATENATE(Table1[[#This Row],[year]],"-",Table1[[#This Row],[Quarter]])</f>
        <v>2014-Q3</v>
      </c>
      <c r="U417" s="6" t="str">
        <f>IF(H416="","Pending",IF(Table1[[#This Row],[Days to ship]]&lt;Table1[[#This Row],[RequiredDate]],"On Time","Late"))</f>
        <v>On Time</v>
      </c>
      <c r="V417">
        <f>_xlfn.XLOOKUP(Table1[[#This Row],[orderID]],Table3[orderID],Table3[unitPrice])</f>
        <v>18.399999999999999</v>
      </c>
    </row>
    <row r="418" spans="1:22" x14ac:dyDescent="0.45">
      <c r="A418" s="3">
        <v>10664</v>
      </c>
      <c r="B418" s="6" t="s">
        <v>216</v>
      </c>
      <c r="C418" s="3">
        <v>1</v>
      </c>
      <c r="D418" s="6" t="str">
        <f>_xlfn.XLOOKUP(Table1[[#This Row],[EmployeeID]],Table4[employeeID],Table4[employeeName])</f>
        <v>Nancy Davolio</v>
      </c>
      <c r="E418" s="1">
        <v>41892</v>
      </c>
      <c r="F418" s="1">
        <v>41920</v>
      </c>
      <c r="G418" s="1">
        <v>41901</v>
      </c>
      <c r="H418" s="3">
        <f>IF(Table1[[#This Row],[ShippedDate]]="","",IF(Table1[[#This Row],[OrderDate]]="","",Table1[[#This Row],[ShippedDate]]-Table1[[#This Row],[OrderDate]]))</f>
        <v>9</v>
      </c>
      <c r="I418" s="3">
        <v>3</v>
      </c>
      <c r="J418" s="2">
        <v>1.27</v>
      </c>
      <c r="K418" s="2">
        <f>SUMIF(order_details!A:A,Table1[[#This Row],[orderID]],order_details!F:F)</f>
        <v>1288.3875</v>
      </c>
      <c r="L418" s="9">
        <f>_xlfn.XLOOKUP(Table1[[#This Row],[orderID]],Table3[orderID],Table3[discount])</f>
        <v>0.15</v>
      </c>
      <c r="M418" s="2">
        <f>SUM(Table1[[#This Row],[Sales]],Table1[[#This Row],[freight]])</f>
        <v>1289.6575</v>
      </c>
      <c r="N418" s="3">
        <f>_xlfn.XLOOKUP(Table1[[#This Row],[orderID]],Table3[orderID],Table3[quantity])</f>
        <v>24</v>
      </c>
      <c r="O418" s="6" t="str">
        <f>_xlfn.XLOOKUP(Table1[[#This Row],[CustomerID]],customers!A:A,customers!B:B)</f>
        <v>Furia Bacalhau e Frutos do Mar</v>
      </c>
      <c r="P418" s="6" t="str">
        <f>_xlfn.XLOOKUP(Table1[[#This Row],[shipperID]],Table6[shipperID],Table6[companyName])</f>
        <v>Federal Shipping</v>
      </c>
      <c r="Q418">
        <f>YEAR(Table1[[#This Row],[OrderDate]])</f>
        <v>2014</v>
      </c>
      <c r="R418">
        <f>MONTH(Table1[[#This Row],[OrderDate]])</f>
        <v>9</v>
      </c>
      <c r="S418" t="str">
        <f>"Q"&amp;ROUNDUP(Table1[[#This Row],[month]]/3,0)</f>
        <v>Q3</v>
      </c>
      <c r="T418" t="str">
        <f>CONCATENATE(Table1[[#This Row],[year]],"-",Table1[[#This Row],[Quarter]])</f>
        <v>2014-Q3</v>
      </c>
      <c r="U418" s="6" t="str">
        <f>IF(H417="","Pending",IF(Table1[[#This Row],[Days to ship]]&lt;Table1[[#This Row],[RequiredDate]],"On Time","Late"))</f>
        <v>On Time</v>
      </c>
      <c r="V418">
        <f>_xlfn.XLOOKUP(Table1[[#This Row],[orderID]],Table3[orderID],Table3[unitPrice])</f>
        <v>31</v>
      </c>
    </row>
    <row r="419" spans="1:22" x14ac:dyDescent="0.45">
      <c r="A419" s="3">
        <v>10665</v>
      </c>
      <c r="B419" s="6" t="s">
        <v>197</v>
      </c>
      <c r="C419" s="3">
        <v>1</v>
      </c>
      <c r="D419" s="6" t="str">
        <f>_xlfn.XLOOKUP(Table1[[#This Row],[EmployeeID]],Table4[employeeID],Table4[employeeName])</f>
        <v>Nancy Davolio</v>
      </c>
      <c r="E419" s="1">
        <v>41893</v>
      </c>
      <c r="F419" s="1">
        <v>41921</v>
      </c>
      <c r="G419" s="1">
        <v>41899</v>
      </c>
      <c r="H419" s="3">
        <f>IF(Table1[[#This Row],[ShippedDate]]="","",IF(Table1[[#This Row],[OrderDate]]="","",Table1[[#This Row],[ShippedDate]]-Table1[[#This Row],[OrderDate]]))</f>
        <v>6</v>
      </c>
      <c r="I419" s="3">
        <v>2</v>
      </c>
      <c r="J419" s="2">
        <v>26.31</v>
      </c>
      <c r="K419" s="2">
        <f>SUMIF(order_details!A:A,Table1[[#This Row],[orderID]],order_details!F:F)</f>
        <v>1295</v>
      </c>
      <c r="L419" s="9">
        <f>_xlfn.XLOOKUP(Table1[[#This Row],[orderID]],Table3[orderID],Table3[discount])</f>
        <v>0</v>
      </c>
      <c r="M419" s="2">
        <f>SUM(Table1[[#This Row],[Sales]],Table1[[#This Row],[freight]])</f>
        <v>1321.31</v>
      </c>
      <c r="N419" s="3">
        <f>_xlfn.XLOOKUP(Table1[[#This Row],[orderID]],Table3[orderID],Table3[quantity])</f>
        <v>20</v>
      </c>
      <c r="O419" s="6" t="str">
        <f>_xlfn.XLOOKUP(Table1[[#This Row],[CustomerID]],customers!A:A,customers!B:B)</f>
        <v>Lonesome Pine Restaurant</v>
      </c>
      <c r="P419" s="6" t="str">
        <f>_xlfn.XLOOKUP(Table1[[#This Row],[shipperID]],Table6[shipperID],Table6[companyName])</f>
        <v>United Package</v>
      </c>
      <c r="Q419">
        <f>YEAR(Table1[[#This Row],[OrderDate]])</f>
        <v>2014</v>
      </c>
      <c r="R419">
        <f>MONTH(Table1[[#This Row],[OrderDate]])</f>
        <v>9</v>
      </c>
      <c r="S419" t="str">
        <f>"Q"&amp;ROUNDUP(Table1[[#This Row],[month]]/3,0)</f>
        <v>Q3</v>
      </c>
      <c r="T419" t="str">
        <f>CONCATENATE(Table1[[#This Row],[year]],"-",Table1[[#This Row],[Quarter]])</f>
        <v>2014-Q3</v>
      </c>
      <c r="U419" s="6" t="str">
        <f>IF(H418="","Pending",IF(Table1[[#This Row],[Days to ship]]&lt;Table1[[#This Row],[RequiredDate]],"On Time","Late"))</f>
        <v>On Time</v>
      </c>
      <c r="V419">
        <f>_xlfn.XLOOKUP(Table1[[#This Row],[orderID]],Table3[orderID],Table3[unitPrice])</f>
        <v>53</v>
      </c>
    </row>
    <row r="420" spans="1:22" x14ac:dyDescent="0.45">
      <c r="A420" s="3">
        <v>10666</v>
      </c>
      <c r="B420" s="6" t="s">
        <v>155</v>
      </c>
      <c r="C420" s="3">
        <v>7</v>
      </c>
      <c r="D420" s="6" t="str">
        <f>_xlfn.XLOOKUP(Table1[[#This Row],[EmployeeID]],Table4[employeeID],Table4[employeeName])</f>
        <v>Robert King</v>
      </c>
      <c r="E420" s="1">
        <v>41894</v>
      </c>
      <c r="F420" s="1">
        <v>41922</v>
      </c>
      <c r="G420" s="1">
        <v>41904</v>
      </c>
      <c r="H420" s="3">
        <f>IF(Table1[[#This Row],[ShippedDate]]="","",IF(Table1[[#This Row],[OrderDate]]="","",Table1[[#This Row],[ShippedDate]]-Table1[[#This Row],[OrderDate]]))</f>
        <v>10</v>
      </c>
      <c r="I420" s="3">
        <v>2</v>
      </c>
      <c r="J420" s="2">
        <v>232.42</v>
      </c>
      <c r="K420" s="2">
        <f>SUMIF(order_details!A:A,Table1[[#This Row],[orderID]],order_details!F:F)</f>
        <v>4666.9400000000005</v>
      </c>
      <c r="L420" s="9">
        <f>_xlfn.XLOOKUP(Table1[[#This Row],[orderID]],Table3[orderID],Table3[discount])</f>
        <v>0</v>
      </c>
      <c r="M420" s="2">
        <f>SUM(Table1[[#This Row],[Sales]],Table1[[#This Row],[freight]])</f>
        <v>4899.3600000000006</v>
      </c>
      <c r="N420" s="3">
        <f>_xlfn.XLOOKUP(Table1[[#This Row],[orderID]],Table3[orderID],Table3[quantity])</f>
        <v>36</v>
      </c>
      <c r="O420" s="6" t="str">
        <f>_xlfn.XLOOKUP(Table1[[#This Row],[CustomerID]],customers!A:A,customers!B:B)</f>
        <v>Richter Supermarkt</v>
      </c>
      <c r="P420" s="6" t="str">
        <f>_xlfn.XLOOKUP(Table1[[#This Row],[shipperID]],Table6[shipperID],Table6[companyName])</f>
        <v>United Package</v>
      </c>
      <c r="Q420">
        <f>YEAR(Table1[[#This Row],[OrderDate]])</f>
        <v>2014</v>
      </c>
      <c r="R420">
        <f>MONTH(Table1[[#This Row],[OrderDate]])</f>
        <v>9</v>
      </c>
      <c r="S420" t="str">
        <f>"Q"&amp;ROUNDUP(Table1[[#This Row],[month]]/3,0)</f>
        <v>Q3</v>
      </c>
      <c r="T420" t="str">
        <f>CONCATENATE(Table1[[#This Row],[year]],"-",Table1[[#This Row],[Quarter]])</f>
        <v>2014-Q3</v>
      </c>
      <c r="U420" s="6" t="str">
        <f>IF(H419="","Pending",IF(Table1[[#This Row],[Days to ship]]&lt;Table1[[#This Row],[RequiredDate]],"On Time","Late"))</f>
        <v>On Time</v>
      </c>
      <c r="V420">
        <f>_xlfn.XLOOKUP(Table1[[#This Row],[orderID]],Table3[orderID],Table3[unitPrice])</f>
        <v>123.79</v>
      </c>
    </row>
    <row r="421" spans="1:22" x14ac:dyDescent="0.45">
      <c r="A421" s="3">
        <v>10667</v>
      </c>
      <c r="B421" s="6" t="s">
        <v>158</v>
      </c>
      <c r="C421" s="3">
        <v>7</v>
      </c>
      <c r="D421" s="6" t="str">
        <f>_xlfn.XLOOKUP(Table1[[#This Row],[EmployeeID]],Table4[employeeID],Table4[employeeName])</f>
        <v>Robert King</v>
      </c>
      <c r="E421" s="1">
        <v>41894</v>
      </c>
      <c r="F421" s="1">
        <v>41922</v>
      </c>
      <c r="G421" s="1">
        <v>41901</v>
      </c>
      <c r="H421" s="3">
        <f>IF(Table1[[#This Row],[ShippedDate]]="","",IF(Table1[[#This Row],[OrderDate]]="","",Table1[[#This Row],[ShippedDate]]-Table1[[#This Row],[OrderDate]]))</f>
        <v>7</v>
      </c>
      <c r="I421" s="3">
        <v>1</v>
      </c>
      <c r="J421" s="2">
        <v>78.09</v>
      </c>
      <c r="K421" s="2">
        <f>SUMIF(order_details!A:A,Table1[[#This Row],[orderID]],order_details!F:F)</f>
        <v>1536.8</v>
      </c>
      <c r="L421" s="9">
        <f>_xlfn.XLOOKUP(Table1[[#This Row],[orderID]],Table3[orderID],Table3[discount])</f>
        <v>0.2</v>
      </c>
      <c r="M421" s="2">
        <f>SUM(Table1[[#This Row],[Sales]],Table1[[#This Row],[freight]])</f>
        <v>1614.8899999999999</v>
      </c>
      <c r="N421" s="3">
        <f>_xlfn.XLOOKUP(Table1[[#This Row],[orderID]],Table3[orderID],Table3[quantity])</f>
        <v>45</v>
      </c>
      <c r="O421" s="6" t="str">
        <f>_xlfn.XLOOKUP(Table1[[#This Row],[CustomerID]],customers!A:A,customers!B:B)</f>
        <v>Ernst Handel</v>
      </c>
      <c r="P421" s="6" t="str">
        <f>_xlfn.XLOOKUP(Table1[[#This Row],[shipperID]],Table6[shipperID],Table6[companyName])</f>
        <v>Speedy Express</v>
      </c>
      <c r="Q421">
        <f>YEAR(Table1[[#This Row],[OrderDate]])</f>
        <v>2014</v>
      </c>
      <c r="R421">
        <f>MONTH(Table1[[#This Row],[OrderDate]])</f>
        <v>9</v>
      </c>
      <c r="S421" t="str">
        <f>"Q"&amp;ROUNDUP(Table1[[#This Row],[month]]/3,0)</f>
        <v>Q3</v>
      </c>
      <c r="T421" t="str">
        <f>CONCATENATE(Table1[[#This Row],[year]],"-",Table1[[#This Row],[Quarter]])</f>
        <v>2014-Q3</v>
      </c>
      <c r="U421" s="6" t="str">
        <f>IF(H420="","Pending",IF(Table1[[#This Row],[Days to ship]]&lt;Table1[[#This Row],[RequiredDate]],"On Time","Late"))</f>
        <v>On Time</v>
      </c>
      <c r="V421">
        <f>_xlfn.XLOOKUP(Table1[[#This Row],[orderID]],Table3[orderID],Table3[unitPrice])</f>
        <v>36</v>
      </c>
    </row>
    <row r="422" spans="1:22" x14ac:dyDescent="0.45">
      <c r="A422" s="3">
        <v>10668</v>
      </c>
      <c r="B422" s="6" t="s">
        <v>182</v>
      </c>
      <c r="C422" s="3">
        <v>1</v>
      </c>
      <c r="D422" s="6" t="str">
        <f>_xlfn.XLOOKUP(Table1[[#This Row],[EmployeeID]],Table4[employeeID],Table4[employeeName])</f>
        <v>Nancy Davolio</v>
      </c>
      <c r="E422" s="1">
        <v>41897</v>
      </c>
      <c r="F422" s="1">
        <v>41925</v>
      </c>
      <c r="G422" s="1">
        <v>41905</v>
      </c>
      <c r="H422" s="3">
        <f>IF(Table1[[#This Row],[ShippedDate]]="","",IF(Table1[[#This Row],[OrderDate]]="","",Table1[[#This Row],[ShippedDate]]-Table1[[#This Row],[OrderDate]]))</f>
        <v>8</v>
      </c>
      <c r="I422" s="3">
        <v>2</v>
      </c>
      <c r="J422" s="2">
        <v>47.22</v>
      </c>
      <c r="K422" s="2">
        <f>SUMIF(order_details!A:A,Table1[[#This Row],[orderID]],order_details!F:F)</f>
        <v>625.27499999999998</v>
      </c>
      <c r="L422" s="9">
        <f>_xlfn.XLOOKUP(Table1[[#This Row],[orderID]],Table3[orderID],Table3[discount])</f>
        <v>0.1</v>
      </c>
      <c r="M422" s="2">
        <f>SUM(Table1[[#This Row],[Sales]],Table1[[#This Row],[freight]])</f>
        <v>672.495</v>
      </c>
      <c r="N422" s="3">
        <f>_xlfn.XLOOKUP(Table1[[#This Row],[orderID]],Table3[orderID],Table3[quantity])</f>
        <v>8</v>
      </c>
      <c r="O422" s="6" t="str">
        <f>_xlfn.XLOOKUP(Table1[[#This Row],[CustomerID]],customers!A:A,customers!B:B)</f>
        <v>Die Wandernde Kuh</v>
      </c>
      <c r="P422" s="6" t="str">
        <f>_xlfn.XLOOKUP(Table1[[#This Row],[shipperID]],Table6[shipperID],Table6[companyName])</f>
        <v>United Package</v>
      </c>
      <c r="Q422">
        <f>YEAR(Table1[[#This Row],[OrderDate]])</f>
        <v>2014</v>
      </c>
      <c r="R422">
        <f>MONTH(Table1[[#This Row],[OrderDate]])</f>
        <v>9</v>
      </c>
      <c r="S422" t="str">
        <f>"Q"&amp;ROUNDUP(Table1[[#This Row],[month]]/3,0)</f>
        <v>Q3</v>
      </c>
      <c r="T422" t="str">
        <f>CONCATENATE(Table1[[#This Row],[year]],"-",Table1[[#This Row],[Quarter]])</f>
        <v>2014-Q3</v>
      </c>
      <c r="U422" s="6" t="str">
        <f>IF(H421="","Pending",IF(Table1[[#This Row],[Days to ship]]&lt;Table1[[#This Row],[RequiredDate]],"On Time","Late"))</f>
        <v>On Time</v>
      </c>
      <c r="V422">
        <f>_xlfn.XLOOKUP(Table1[[#This Row],[orderID]],Table3[orderID],Table3[unitPrice])</f>
        <v>12.5</v>
      </c>
    </row>
    <row r="423" spans="1:22" x14ac:dyDescent="0.45">
      <c r="A423" s="3">
        <v>10669</v>
      </c>
      <c r="B423" s="6" t="s">
        <v>156</v>
      </c>
      <c r="C423" s="3">
        <v>2</v>
      </c>
      <c r="D423" s="6" t="str">
        <f>_xlfn.XLOOKUP(Table1[[#This Row],[EmployeeID]],Table4[employeeID],Table4[employeeName])</f>
        <v>Andrew Fuller</v>
      </c>
      <c r="E423" s="1">
        <v>41897</v>
      </c>
      <c r="F423" s="1">
        <v>41925</v>
      </c>
      <c r="G423" s="1">
        <v>41904</v>
      </c>
      <c r="H423" s="3">
        <f>IF(Table1[[#This Row],[ShippedDate]]="","",IF(Table1[[#This Row],[OrderDate]]="","",Table1[[#This Row],[ShippedDate]]-Table1[[#This Row],[OrderDate]]))</f>
        <v>7</v>
      </c>
      <c r="I423" s="3">
        <v>1</v>
      </c>
      <c r="J423" s="2">
        <v>24.39</v>
      </c>
      <c r="K423" s="2">
        <f>SUMIF(order_details!A:A,Table1[[#This Row],[orderID]],order_details!F:F)</f>
        <v>570</v>
      </c>
      <c r="L423" s="9">
        <f>_xlfn.XLOOKUP(Table1[[#This Row],[orderID]],Table3[orderID],Table3[discount])</f>
        <v>0</v>
      </c>
      <c r="M423" s="2">
        <f>SUM(Table1[[#This Row],[Sales]],Table1[[#This Row],[freight]])</f>
        <v>594.39</v>
      </c>
      <c r="N423" s="3">
        <f>_xlfn.XLOOKUP(Table1[[#This Row],[orderID]],Table3[orderID],Table3[quantity])</f>
        <v>30</v>
      </c>
      <c r="O423" s="6" t="str">
        <f>_xlfn.XLOOKUP(Table1[[#This Row],[CustomerID]],customers!A:A,customers!B:B)</f>
        <v>Simons bistro</v>
      </c>
      <c r="P423" s="6" t="str">
        <f>_xlfn.XLOOKUP(Table1[[#This Row],[shipperID]],Table6[shipperID],Table6[companyName])</f>
        <v>Speedy Express</v>
      </c>
      <c r="Q423">
        <f>YEAR(Table1[[#This Row],[OrderDate]])</f>
        <v>2014</v>
      </c>
      <c r="R423">
        <f>MONTH(Table1[[#This Row],[OrderDate]])</f>
        <v>9</v>
      </c>
      <c r="S423" t="str">
        <f>"Q"&amp;ROUNDUP(Table1[[#This Row],[month]]/3,0)</f>
        <v>Q3</v>
      </c>
      <c r="T423" t="str">
        <f>CONCATENATE(Table1[[#This Row],[year]],"-",Table1[[#This Row],[Quarter]])</f>
        <v>2014-Q3</v>
      </c>
      <c r="U423" s="6" t="str">
        <f>IF(H422="","Pending",IF(Table1[[#This Row],[Days to ship]]&lt;Table1[[#This Row],[RequiredDate]],"On Time","Late"))</f>
        <v>On Time</v>
      </c>
      <c r="V423">
        <f>_xlfn.XLOOKUP(Table1[[#This Row],[orderID]],Table3[orderID],Table3[unitPrice])</f>
        <v>19</v>
      </c>
    </row>
    <row r="424" spans="1:22" x14ac:dyDescent="0.45">
      <c r="A424" s="3">
        <v>10670</v>
      </c>
      <c r="B424" s="6" t="s">
        <v>201</v>
      </c>
      <c r="C424" s="3">
        <v>4</v>
      </c>
      <c r="D424" s="6" t="str">
        <f>_xlfn.XLOOKUP(Table1[[#This Row],[EmployeeID]],Table4[employeeID],Table4[employeeName])</f>
        <v>Margaret Peacock</v>
      </c>
      <c r="E424" s="1">
        <v>41898</v>
      </c>
      <c r="F424" s="1">
        <v>41926</v>
      </c>
      <c r="G424" s="1">
        <v>41900</v>
      </c>
      <c r="H424" s="3">
        <f>IF(Table1[[#This Row],[ShippedDate]]="","",IF(Table1[[#This Row],[OrderDate]]="","",Table1[[#This Row],[ShippedDate]]-Table1[[#This Row],[OrderDate]]))</f>
        <v>2</v>
      </c>
      <c r="I424" s="3">
        <v>1</v>
      </c>
      <c r="J424" s="2">
        <v>203.48</v>
      </c>
      <c r="K424" s="2">
        <f>SUMIF(order_details!A:A,Table1[[#This Row],[orderID]],order_details!F:F)</f>
        <v>2301.75</v>
      </c>
      <c r="L424" s="9">
        <f>_xlfn.XLOOKUP(Table1[[#This Row],[orderID]],Table3[orderID],Table3[discount])</f>
        <v>0</v>
      </c>
      <c r="M424" s="2">
        <f>SUM(Table1[[#This Row],[Sales]],Table1[[#This Row],[freight]])</f>
        <v>2505.23</v>
      </c>
      <c r="N424" s="3">
        <f>_xlfn.XLOOKUP(Table1[[#This Row],[orderID]],Table3[orderID],Table3[quantity])</f>
        <v>32</v>
      </c>
      <c r="O424" s="6" t="str">
        <f>_xlfn.XLOOKUP(Table1[[#This Row],[CustomerID]],customers!A:A,customers!B:B)</f>
        <v>Frankenversand</v>
      </c>
      <c r="P424" s="6" t="str">
        <f>_xlfn.XLOOKUP(Table1[[#This Row],[shipperID]],Table6[shipperID],Table6[companyName])</f>
        <v>Speedy Express</v>
      </c>
      <c r="Q424">
        <f>YEAR(Table1[[#This Row],[OrderDate]])</f>
        <v>2014</v>
      </c>
      <c r="R424">
        <f>MONTH(Table1[[#This Row],[OrderDate]])</f>
        <v>9</v>
      </c>
      <c r="S424" t="str">
        <f>"Q"&amp;ROUNDUP(Table1[[#This Row],[month]]/3,0)</f>
        <v>Q3</v>
      </c>
      <c r="T424" t="str">
        <f>CONCATENATE(Table1[[#This Row],[year]],"-",Table1[[#This Row],[Quarter]])</f>
        <v>2014-Q3</v>
      </c>
      <c r="U424" s="6" t="str">
        <f>IF(H423="","Pending",IF(Table1[[#This Row],[Days to ship]]&lt;Table1[[#This Row],[RequiredDate]],"On Time","Late"))</f>
        <v>On Time</v>
      </c>
      <c r="V424">
        <f>_xlfn.XLOOKUP(Table1[[#This Row],[orderID]],Table3[orderID],Table3[unitPrice])</f>
        <v>9</v>
      </c>
    </row>
    <row r="425" spans="1:22" x14ac:dyDescent="0.45">
      <c r="A425" s="3">
        <v>10671</v>
      </c>
      <c r="B425" s="6" t="s">
        <v>213</v>
      </c>
      <c r="C425" s="3">
        <v>1</v>
      </c>
      <c r="D425" s="6" t="str">
        <f>_xlfn.XLOOKUP(Table1[[#This Row],[EmployeeID]],Table4[employeeID],Table4[employeeName])</f>
        <v>Nancy Davolio</v>
      </c>
      <c r="E425" s="1">
        <v>41899</v>
      </c>
      <c r="F425" s="1">
        <v>41927</v>
      </c>
      <c r="G425" s="1">
        <v>41906</v>
      </c>
      <c r="H425" s="3">
        <f>IF(Table1[[#This Row],[ShippedDate]]="","",IF(Table1[[#This Row],[OrderDate]]="","",Table1[[#This Row],[ShippedDate]]-Table1[[#This Row],[OrderDate]]))</f>
        <v>7</v>
      </c>
      <c r="I425" s="3">
        <v>1</v>
      </c>
      <c r="J425" s="2">
        <v>30.34</v>
      </c>
      <c r="K425" s="2">
        <f>SUMIF(order_details!A:A,Table1[[#This Row],[orderID]],order_details!F:F)</f>
        <v>920.1</v>
      </c>
      <c r="L425" s="9">
        <f>_xlfn.XLOOKUP(Table1[[#This Row],[orderID]],Table3[orderID],Table3[discount])</f>
        <v>0</v>
      </c>
      <c r="M425" s="2">
        <f>SUM(Table1[[#This Row],[Sales]],Table1[[#This Row],[freight]])</f>
        <v>950.44</v>
      </c>
      <c r="N425" s="3">
        <f>_xlfn.XLOOKUP(Table1[[#This Row],[orderID]],Table3[orderID],Table3[quantity])</f>
        <v>10</v>
      </c>
      <c r="O425" s="6" t="str">
        <f>_xlfn.XLOOKUP(Table1[[#This Row],[CustomerID]],customers!A:A,customers!B:B)</f>
        <v>France restauration</v>
      </c>
      <c r="P425" s="6" t="str">
        <f>_xlfn.XLOOKUP(Table1[[#This Row],[shipperID]],Table6[shipperID],Table6[companyName])</f>
        <v>Speedy Express</v>
      </c>
      <c r="Q425">
        <f>YEAR(Table1[[#This Row],[OrderDate]])</f>
        <v>2014</v>
      </c>
      <c r="R425">
        <f>MONTH(Table1[[#This Row],[OrderDate]])</f>
        <v>9</v>
      </c>
      <c r="S425" t="str">
        <f>"Q"&amp;ROUNDUP(Table1[[#This Row],[month]]/3,0)</f>
        <v>Q3</v>
      </c>
      <c r="T425" t="str">
        <f>CONCATENATE(Table1[[#This Row],[year]],"-",Table1[[#This Row],[Quarter]])</f>
        <v>2014-Q3</v>
      </c>
      <c r="U425" s="6" t="str">
        <f>IF(H424="","Pending",IF(Table1[[#This Row],[Days to ship]]&lt;Table1[[#This Row],[RequiredDate]],"On Time","Late"))</f>
        <v>On Time</v>
      </c>
      <c r="V425">
        <f>_xlfn.XLOOKUP(Table1[[#This Row],[orderID]],Table3[orderID],Table3[unitPrice])</f>
        <v>17.45</v>
      </c>
    </row>
    <row r="426" spans="1:22" x14ac:dyDescent="0.45">
      <c r="A426" s="3">
        <v>10672</v>
      </c>
      <c r="B426" s="6" t="s">
        <v>223</v>
      </c>
      <c r="C426" s="3">
        <v>9</v>
      </c>
      <c r="D426" s="6" t="str">
        <f>_xlfn.XLOOKUP(Table1[[#This Row],[EmployeeID]],Table4[employeeID],Table4[employeeName])</f>
        <v>Anne Dodsworth</v>
      </c>
      <c r="E426" s="1">
        <v>41899</v>
      </c>
      <c r="F426" s="1">
        <v>41913</v>
      </c>
      <c r="G426" s="1">
        <v>41908</v>
      </c>
      <c r="H426" s="3">
        <f>IF(Table1[[#This Row],[ShippedDate]]="","",IF(Table1[[#This Row],[OrderDate]]="","",Table1[[#This Row],[ShippedDate]]-Table1[[#This Row],[OrderDate]]))</f>
        <v>9</v>
      </c>
      <c r="I426" s="3">
        <v>2</v>
      </c>
      <c r="J426" s="2">
        <v>95.75</v>
      </c>
      <c r="K426" s="2">
        <f>SUMIF(order_details!A:A,Table1[[#This Row],[orderID]],order_details!F:F)</f>
        <v>3815.25</v>
      </c>
      <c r="L426" s="9">
        <f>_xlfn.XLOOKUP(Table1[[#This Row],[orderID]],Table3[orderID],Table3[discount])</f>
        <v>0.1</v>
      </c>
      <c r="M426" s="2">
        <f>SUM(Table1[[#This Row],[Sales]],Table1[[#This Row],[freight]])</f>
        <v>3911</v>
      </c>
      <c r="N426" s="3">
        <f>_xlfn.XLOOKUP(Table1[[#This Row],[orderID]],Table3[orderID],Table3[quantity])</f>
        <v>15</v>
      </c>
      <c r="O426" s="6" t="str">
        <f>_xlfn.XLOOKUP(Table1[[#This Row],[CustomerID]],customers!A:A,customers!B:B)</f>
        <v>Berglunds snabbköp</v>
      </c>
      <c r="P426" s="6" t="str">
        <f>_xlfn.XLOOKUP(Table1[[#This Row],[shipperID]],Table6[shipperID],Table6[companyName])</f>
        <v>United Package</v>
      </c>
      <c r="Q426">
        <f>YEAR(Table1[[#This Row],[OrderDate]])</f>
        <v>2014</v>
      </c>
      <c r="R426">
        <f>MONTH(Table1[[#This Row],[OrderDate]])</f>
        <v>9</v>
      </c>
      <c r="S426" t="str">
        <f>"Q"&amp;ROUNDUP(Table1[[#This Row],[month]]/3,0)</f>
        <v>Q3</v>
      </c>
      <c r="T426" t="str">
        <f>CONCATENATE(Table1[[#This Row],[year]],"-",Table1[[#This Row],[Quarter]])</f>
        <v>2014-Q3</v>
      </c>
      <c r="U426" s="6" t="str">
        <f>IF(H425="","Pending",IF(Table1[[#This Row],[Days to ship]]&lt;Table1[[#This Row],[RequiredDate]],"On Time","Late"))</f>
        <v>On Time</v>
      </c>
      <c r="V426">
        <f>_xlfn.XLOOKUP(Table1[[#This Row],[orderID]],Table3[orderID],Table3[unitPrice])</f>
        <v>263.5</v>
      </c>
    </row>
    <row r="427" spans="1:22" x14ac:dyDescent="0.45">
      <c r="A427" s="3">
        <v>10673</v>
      </c>
      <c r="B427" s="6" t="s">
        <v>204</v>
      </c>
      <c r="C427" s="3">
        <v>2</v>
      </c>
      <c r="D427" s="6" t="str">
        <f>_xlfn.XLOOKUP(Table1[[#This Row],[EmployeeID]],Table4[employeeID],Table4[employeeName])</f>
        <v>Andrew Fuller</v>
      </c>
      <c r="E427" s="1">
        <v>41900</v>
      </c>
      <c r="F427" s="1">
        <v>41928</v>
      </c>
      <c r="G427" s="1">
        <v>41901</v>
      </c>
      <c r="H427" s="3">
        <f>IF(Table1[[#This Row],[ShippedDate]]="","",IF(Table1[[#This Row],[OrderDate]]="","",Table1[[#This Row],[ShippedDate]]-Table1[[#This Row],[OrderDate]]))</f>
        <v>1</v>
      </c>
      <c r="I427" s="3">
        <v>1</v>
      </c>
      <c r="J427" s="2">
        <v>22.76</v>
      </c>
      <c r="K427" s="2">
        <f>SUMIF(order_details!A:A,Table1[[#This Row],[orderID]],order_details!F:F)</f>
        <v>412.35</v>
      </c>
      <c r="L427" s="9">
        <f>_xlfn.XLOOKUP(Table1[[#This Row],[orderID]],Table3[orderID],Table3[discount])</f>
        <v>0</v>
      </c>
      <c r="M427" s="2">
        <f>SUM(Table1[[#This Row],[Sales]],Table1[[#This Row],[freight]])</f>
        <v>435.11</v>
      </c>
      <c r="N427" s="3">
        <f>_xlfn.XLOOKUP(Table1[[#This Row],[orderID]],Table3[orderID],Table3[quantity])</f>
        <v>3</v>
      </c>
      <c r="O427" s="6" t="str">
        <f>_xlfn.XLOOKUP(Table1[[#This Row],[CustomerID]],customers!A:A,customers!B:B)</f>
        <v>Wilman Kala</v>
      </c>
      <c r="P427" s="6" t="str">
        <f>_xlfn.XLOOKUP(Table1[[#This Row],[shipperID]],Table6[shipperID],Table6[companyName])</f>
        <v>Speedy Express</v>
      </c>
      <c r="Q427">
        <f>YEAR(Table1[[#This Row],[OrderDate]])</f>
        <v>2014</v>
      </c>
      <c r="R427">
        <f>MONTH(Table1[[#This Row],[OrderDate]])</f>
        <v>9</v>
      </c>
      <c r="S427" t="str">
        <f>"Q"&amp;ROUNDUP(Table1[[#This Row],[month]]/3,0)</f>
        <v>Q3</v>
      </c>
      <c r="T427" t="str">
        <f>CONCATENATE(Table1[[#This Row],[year]],"-",Table1[[#This Row],[Quarter]])</f>
        <v>2014-Q3</v>
      </c>
      <c r="U427" s="6" t="str">
        <f>IF(H426="","Pending",IF(Table1[[#This Row],[Days to ship]]&lt;Table1[[#This Row],[RequiredDate]],"On Time","Late"))</f>
        <v>On Time</v>
      </c>
      <c r="V427">
        <f>_xlfn.XLOOKUP(Table1[[#This Row],[orderID]],Table3[orderID],Table3[unitPrice])</f>
        <v>17.45</v>
      </c>
    </row>
    <row r="428" spans="1:22" x14ac:dyDescent="0.45">
      <c r="A428" s="3">
        <v>10674</v>
      </c>
      <c r="B428" s="6" t="s">
        <v>220</v>
      </c>
      <c r="C428" s="3">
        <v>4</v>
      </c>
      <c r="D428" s="6" t="str">
        <f>_xlfn.XLOOKUP(Table1[[#This Row],[EmployeeID]],Table4[employeeID],Table4[employeeName])</f>
        <v>Margaret Peacock</v>
      </c>
      <c r="E428" s="1">
        <v>41900</v>
      </c>
      <c r="F428" s="1">
        <v>41928</v>
      </c>
      <c r="G428" s="1">
        <v>41912</v>
      </c>
      <c r="H428" s="3">
        <f>IF(Table1[[#This Row],[ShippedDate]]="","",IF(Table1[[#This Row],[OrderDate]]="","",Table1[[#This Row],[ShippedDate]]-Table1[[#This Row],[OrderDate]]))</f>
        <v>12</v>
      </c>
      <c r="I428" s="3">
        <v>2</v>
      </c>
      <c r="J428" s="2">
        <v>0.9</v>
      </c>
      <c r="K428" s="2">
        <f>SUMIF(order_details!A:A,Table1[[#This Row],[orderID]],order_details!F:F)</f>
        <v>45</v>
      </c>
      <c r="L428" s="9">
        <f>_xlfn.XLOOKUP(Table1[[#This Row],[orderID]],Table3[orderID],Table3[discount])</f>
        <v>0</v>
      </c>
      <c r="M428" s="2">
        <f>SUM(Table1[[#This Row],[Sales]],Table1[[#This Row],[freight]])</f>
        <v>45.9</v>
      </c>
      <c r="N428" s="3">
        <f>_xlfn.XLOOKUP(Table1[[#This Row],[orderID]],Table3[orderID],Table3[quantity])</f>
        <v>5</v>
      </c>
      <c r="O428" s="6" t="str">
        <f>_xlfn.XLOOKUP(Table1[[#This Row],[CustomerID]],customers!A:A,customers!B:B)</f>
        <v>Island Trading</v>
      </c>
      <c r="P428" s="6" t="str">
        <f>_xlfn.XLOOKUP(Table1[[#This Row],[shipperID]],Table6[shipperID],Table6[companyName])</f>
        <v>United Package</v>
      </c>
      <c r="Q428">
        <f>YEAR(Table1[[#This Row],[OrderDate]])</f>
        <v>2014</v>
      </c>
      <c r="R428">
        <f>MONTH(Table1[[#This Row],[OrderDate]])</f>
        <v>9</v>
      </c>
      <c r="S428" t="str">
        <f>"Q"&amp;ROUNDUP(Table1[[#This Row],[month]]/3,0)</f>
        <v>Q3</v>
      </c>
      <c r="T428" t="str">
        <f>CONCATENATE(Table1[[#This Row],[year]],"-",Table1[[#This Row],[Quarter]])</f>
        <v>2014-Q3</v>
      </c>
      <c r="U428" s="6" t="str">
        <f>IF(H427="","Pending",IF(Table1[[#This Row],[Days to ship]]&lt;Table1[[#This Row],[RequiredDate]],"On Time","Late"))</f>
        <v>On Time</v>
      </c>
      <c r="V428">
        <f>_xlfn.XLOOKUP(Table1[[#This Row],[orderID]],Table3[orderID],Table3[unitPrice])</f>
        <v>9</v>
      </c>
    </row>
    <row r="429" spans="1:22" x14ac:dyDescent="0.45">
      <c r="A429" s="3">
        <v>10675</v>
      </c>
      <c r="B429" s="6" t="s">
        <v>201</v>
      </c>
      <c r="C429" s="3">
        <v>5</v>
      </c>
      <c r="D429" s="6" t="str">
        <f>_xlfn.XLOOKUP(Table1[[#This Row],[EmployeeID]],Table4[employeeID],Table4[employeeName])</f>
        <v>Steven Buchanan</v>
      </c>
      <c r="E429" s="1">
        <v>41901</v>
      </c>
      <c r="F429" s="1">
        <v>41929</v>
      </c>
      <c r="G429" s="1">
        <v>41905</v>
      </c>
      <c r="H429" s="3">
        <f>IF(Table1[[#This Row],[ShippedDate]]="","",IF(Table1[[#This Row],[OrderDate]]="","",Table1[[#This Row],[ShippedDate]]-Table1[[#This Row],[OrderDate]]))</f>
        <v>4</v>
      </c>
      <c r="I429" s="3">
        <v>2</v>
      </c>
      <c r="J429" s="2">
        <v>31.85</v>
      </c>
      <c r="K429" s="2">
        <f>SUMIF(order_details!A:A,Table1[[#This Row],[orderID]],order_details!F:F)</f>
        <v>1423</v>
      </c>
      <c r="L429" s="9">
        <f>_xlfn.XLOOKUP(Table1[[#This Row],[orderID]],Table3[orderID],Table3[discount])</f>
        <v>0</v>
      </c>
      <c r="M429" s="2">
        <f>SUM(Table1[[#This Row],[Sales]],Table1[[#This Row],[freight]])</f>
        <v>1454.85</v>
      </c>
      <c r="N429" s="3">
        <f>_xlfn.XLOOKUP(Table1[[#This Row],[orderID]],Table3[orderID],Table3[quantity])</f>
        <v>30</v>
      </c>
      <c r="O429" s="6" t="str">
        <f>_xlfn.XLOOKUP(Table1[[#This Row],[CustomerID]],customers!A:A,customers!B:B)</f>
        <v>Frankenversand</v>
      </c>
      <c r="P429" s="6" t="str">
        <f>_xlfn.XLOOKUP(Table1[[#This Row],[shipperID]],Table6[shipperID],Table6[companyName])</f>
        <v>United Package</v>
      </c>
      <c r="Q429">
        <f>YEAR(Table1[[#This Row],[OrderDate]])</f>
        <v>2014</v>
      </c>
      <c r="R429">
        <f>MONTH(Table1[[#This Row],[OrderDate]])</f>
        <v>9</v>
      </c>
      <c r="S429" t="str">
        <f>"Q"&amp;ROUNDUP(Table1[[#This Row],[month]]/3,0)</f>
        <v>Q3</v>
      </c>
      <c r="T429" t="str">
        <f>CONCATENATE(Table1[[#This Row],[year]],"-",Table1[[#This Row],[Quarter]])</f>
        <v>2014-Q3</v>
      </c>
      <c r="U429" s="6" t="str">
        <f>IF(H428="","Pending",IF(Table1[[#This Row],[Days to ship]]&lt;Table1[[#This Row],[RequiredDate]],"On Time","Late"))</f>
        <v>On Time</v>
      </c>
      <c r="V429">
        <f>_xlfn.XLOOKUP(Table1[[#This Row],[orderID]],Table3[orderID],Table3[unitPrice])</f>
        <v>23.25</v>
      </c>
    </row>
    <row r="430" spans="1:22" x14ac:dyDescent="0.45">
      <c r="A430" s="3">
        <v>10676</v>
      </c>
      <c r="B430" s="6" t="s">
        <v>161</v>
      </c>
      <c r="C430" s="3">
        <v>2</v>
      </c>
      <c r="D430" s="6" t="str">
        <f>_xlfn.XLOOKUP(Table1[[#This Row],[EmployeeID]],Table4[employeeID],Table4[employeeName])</f>
        <v>Andrew Fuller</v>
      </c>
      <c r="E430" s="1">
        <v>41904</v>
      </c>
      <c r="F430" s="1">
        <v>41932</v>
      </c>
      <c r="G430" s="1">
        <v>41911</v>
      </c>
      <c r="H430" s="3">
        <f>IF(Table1[[#This Row],[ShippedDate]]="","",IF(Table1[[#This Row],[OrderDate]]="","",Table1[[#This Row],[ShippedDate]]-Table1[[#This Row],[OrderDate]]))</f>
        <v>7</v>
      </c>
      <c r="I430" s="3">
        <v>2</v>
      </c>
      <c r="J430" s="2">
        <v>2.0099999999999998</v>
      </c>
      <c r="K430" s="2">
        <f>SUMIF(order_details!A:A,Table1[[#This Row],[orderID]],order_details!F:F)</f>
        <v>534.85</v>
      </c>
      <c r="L430" s="9">
        <f>_xlfn.XLOOKUP(Table1[[#This Row],[orderID]],Table3[orderID],Table3[discount])</f>
        <v>0</v>
      </c>
      <c r="M430" s="2">
        <f>SUM(Table1[[#This Row],[Sales]],Table1[[#This Row],[freight]])</f>
        <v>536.86</v>
      </c>
      <c r="N430" s="3">
        <f>_xlfn.XLOOKUP(Table1[[#This Row],[orderID]],Table3[orderID],Table3[quantity])</f>
        <v>2</v>
      </c>
      <c r="O430" s="6" t="str">
        <f>_xlfn.XLOOKUP(Table1[[#This Row],[CustomerID]],customers!A:A,customers!B:B)</f>
        <v>Tortuga Restaurante</v>
      </c>
      <c r="P430" s="6" t="str">
        <f>_xlfn.XLOOKUP(Table1[[#This Row],[shipperID]],Table6[shipperID],Table6[companyName])</f>
        <v>United Package</v>
      </c>
      <c r="Q430">
        <f>YEAR(Table1[[#This Row],[OrderDate]])</f>
        <v>2014</v>
      </c>
      <c r="R430">
        <f>MONTH(Table1[[#This Row],[OrderDate]])</f>
        <v>9</v>
      </c>
      <c r="S430" t="str">
        <f>"Q"&amp;ROUNDUP(Table1[[#This Row],[month]]/3,0)</f>
        <v>Q3</v>
      </c>
      <c r="T430" t="str">
        <f>CONCATENATE(Table1[[#This Row],[year]],"-",Table1[[#This Row],[Quarter]])</f>
        <v>2014-Q3</v>
      </c>
      <c r="U430" s="6" t="str">
        <f>IF(H429="","Pending",IF(Table1[[#This Row],[Days to ship]]&lt;Table1[[#This Row],[RequiredDate]],"On Time","Late"))</f>
        <v>On Time</v>
      </c>
      <c r="V430">
        <f>_xlfn.XLOOKUP(Table1[[#This Row],[orderID]],Table3[orderID],Table3[unitPrice])</f>
        <v>31</v>
      </c>
    </row>
    <row r="431" spans="1:22" x14ac:dyDescent="0.45">
      <c r="A431" s="3">
        <v>10677</v>
      </c>
      <c r="B431" s="6" t="s">
        <v>227</v>
      </c>
      <c r="C431" s="3">
        <v>1</v>
      </c>
      <c r="D431" s="6" t="str">
        <f>_xlfn.XLOOKUP(Table1[[#This Row],[EmployeeID]],Table4[employeeID],Table4[employeeName])</f>
        <v>Nancy Davolio</v>
      </c>
      <c r="E431" s="1">
        <v>41904</v>
      </c>
      <c r="F431" s="1">
        <v>41932</v>
      </c>
      <c r="G431" s="1">
        <v>41908</v>
      </c>
      <c r="H431" s="3">
        <f>IF(Table1[[#This Row],[ShippedDate]]="","",IF(Table1[[#This Row],[OrderDate]]="","",Table1[[#This Row],[ShippedDate]]-Table1[[#This Row],[OrderDate]]))</f>
        <v>4</v>
      </c>
      <c r="I431" s="3">
        <v>3</v>
      </c>
      <c r="J431" s="2">
        <v>4.03</v>
      </c>
      <c r="K431" s="2">
        <f>SUMIF(order_details!A:A,Table1[[#This Row],[orderID]],order_details!F:F)</f>
        <v>813.36500000000001</v>
      </c>
      <c r="L431" s="9">
        <f>_xlfn.XLOOKUP(Table1[[#This Row],[orderID]],Table3[orderID],Table3[discount])</f>
        <v>0.15</v>
      </c>
      <c r="M431" s="2">
        <f>SUM(Table1[[#This Row],[Sales]],Table1[[#This Row],[freight]])</f>
        <v>817.39499999999998</v>
      </c>
      <c r="N431" s="3">
        <f>_xlfn.XLOOKUP(Table1[[#This Row],[orderID]],Table3[orderID],Table3[quantity])</f>
        <v>30</v>
      </c>
      <c r="O431" s="6" t="str">
        <f>_xlfn.XLOOKUP(Table1[[#This Row],[CustomerID]],customers!A:A,customers!B:B)</f>
        <v>Antonio Moreno Taquería</v>
      </c>
      <c r="P431" s="6" t="str">
        <f>_xlfn.XLOOKUP(Table1[[#This Row],[shipperID]],Table6[shipperID],Table6[companyName])</f>
        <v>Federal Shipping</v>
      </c>
      <c r="Q431">
        <f>YEAR(Table1[[#This Row],[OrderDate]])</f>
        <v>2014</v>
      </c>
      <c r="R431">
        <f>MONTH(Table1[[#This Row],[OrderDate]])</f>
        <v>9</v>
      </c>
      <c r="S431" t="str">
        <f>"Q"&amp;ROUNDUP(Table1[[#This Row],[month]]/3,0)</f>
        <v>Q3</v>
      </c>
      <c r="T431" t="str">
        <f>CONCATENATE(Table1[[#This Row],[year]],"-",Table1[[#This Row],[Quarter]])</f>
        <v>2014-Q3</v>
      </c>
      <c r="U431" s="6" t="str">
        <f>IF(H430="","Pending",IF(Table1[[#This Row],[Days to ship]]&lt;Table1[[#This Row],[RequiredDate]],"On Time","Late"))</f>
        <v>On Time</v>
      </c>
      <c r="V431">
        <f>_xlfn.XLOOKUP(Table1[[#This Row],[orderID]],Table3[orderID],Table3[unitPrice])</f>
        <v>31.23</v>
      </c>
    </row>
    <row r="432" spans="1:22" x14ac:dyDescent="0.45">
      <c r="A432" s="3">
        <v>10678</v>
      </c>
      <c r="B432" s="6" t="s">
        <v>165</v>
      </c>
      <c r="C432" s="3">
        <v>7</v>
      </c>
      <c r="D432" s="6" t="str">
        <f>_xlfn.XLOOKUP(Table1[[#This Row],[EmployeeID]],Table4[employeeID],Table4[employeeName])</f>
        <v>Robert King</v>
      </c>
      <c r="E432" s="1">
        <v>41905</v>
      </c>
      <c r="F432" s="1">
        <v>41933</v>
      </c>
      <c r="G432" s="1">
        <v>41928</v>
      </c>
      <c r="H432" s="3">
        <f>IF(Table1[[#This Row],[ShippedDate]]="","",IF(Table1[[#This Row],[OrderDate]]="","",Table1[[#This Row],[ShippedDate]]-Table1[[#This Row],[OrderDate]]))</f>
        <v>23</v>
      </c>
      <c r="I432" s="3">
        <v>3</v>
      </c>
      <c r="J432" s="2">
        <v>388.98</v>
      </c>
      <c r="K432" s="2">
        <f>SUMIF(order_details!A:A,Table1[[#This Row],[orderID]],order_details!F:F)</f>
        <v>5256.5</v>
      </c>
      <c r="L432" s="9">
        <f>_xlfn.XLOOKUP(Table1[[#This Row],[orderID]],Table3[orderID],Table3[discount])</f>
        <v>0</v>
      </c>
      <c r="M432" s="2">
        <f>SUM(Table1[[#This Row],[Sales]],Table1[[#This Row],[freight]])</f>
        <v>5645.48</v>
      </c>
      <c r="N432" s="3">
        <f>_xlfn.XLOOKUP(Table1[[#This Row],[orderID]],Table3[orderID],Table3[quantity])</f>
        <v>100</v>
      </c>
      <c r="O432" s="6" t="str">
        <f>_xlfn.XLOOKUP(Table1[[#This Row],[CustomerID]],customers!A:A,customers!B:B)</f>
        <v>Save-a-lot Markets</v>
      </c>
      <c r="P432" s="6" t="str">
        <f>_xlfn.XLOOKUP(Table1[[#This Row],[shipperID]],Table6[shipperID],Table6[companyName])</f>
        <v>Federal Shipping</v>
      </c>
      <c r="Q432">
        <f>YEAR(Table1[[#This Row],[OrderDate]])</f>
        <v>2014</v>
      </c>
      <c r="R432">
        <f>MONTH(Table1[[#This Row],[OrderDate]])</f>
        <v>9</v>
      </c>
      <c r="S432" t="str">
        <f>"Q"&amp;ROUNDUP(Table1[[#This Row],[month]]/3,0)</f>
        <v>Q3</v>
      </c>
      <c r="T432" t="str">
        <f>CONCATENATE(Table1[[#This Row],[year]],"-",Table1[[#This Row],[Quarter]])</f>
        <v>2014-Q3</v>
      </c>
      <c r="U432" s="6" t="str">
        <f>IF(H431="","Pending",IF(Table1[[#This Row],[Days to ship]]&lt;Table1[[#This Row],[RequiredDate]],"On Time","Late"))</f>
        <v>On Time</v>
      </c>
      <c r="V432">
        <f>_xlfn.XLOOKUP(Table1[[#This Row],[orderID]],Table3[orderID],Table3[unitPrice])</f>
        <v>38</v>
      </c>
    </row>
    <row r="433" spans="1:22" x14ac:dyDescent="0.45">
      <c r="A433" s="3">
        <v>10679</v>
      </c>
      <c r="B433" s="6" t="s">
        <v>231</v>
      </c>
      <c r="C433" s="3">
        <v>8</v>
      </c>
      <c r="D433" s="6" t="str">
        <f>_xlfn.XLOOKUP(Table1[[#This Row],[EmployeeID]],Table4[employeeID],Table4[employeeName])</f>
        <v>Laura Callahan</v>
      </c>
      <c r="E433" s="1">
        <v>41905</v>
      </c>
      <c r="F433" s="1">
        <v>41933</v>
      </c>
      <c r="G433" s="1">
        <v>41912</v>
      </c>
      <c r="H433" s="3">
        <f>IF(Table1[[#This Row],[ShippedDate]]="","",IF(Table1[[#This Row],[OrderDate]]="","",Table1[[#This Row],[ShippedDate]]-Table1[[#This Row],[OrderDate]]))</f>
        <v>7</v>
      </c>
      <c r="I433" s="3">
        <v>3</v>
      </c>
      <c r="J433" s="2">
        <v>27.94</v>
      </c>
      <c r="K433" s="2">
        <f>SUMIF(order_details!A:A,Table1[[#This Row],[orderID]],order_details!F:F)</f>
        <v>660</v>
      </c>
      <c r="L433" s="9">
        <f>_xlfn.XLOOKUP(Table1[[#This Row],[orderID]],Table3[orderID],Table3[discount])</f>
        <v>0</v>
      </c>
      <c r="M433" s="2">
        <f>SUM(Table1[[#This Row],[Sales]],Table1[[#This Row],[freight]])</f>
        <v>687.94</v>
      </c>
      <c r="N433" s="3">
        <f>_xlfn.XLOOKUP(Table1[[#This Row],[orderID]],Table3[orderID],Table3[quantity])</f>
        <v>12</v>
      </c>
      <c r="O433" s="6" t="str">
        <f>_xlfn.XLOOKUP(Table1[[#This Row],[CustomerID]],customers!A:A,customers!B:B)</f>
        <v>Blondesddsl père et fils</v>
      </c>
      <c r="P433" s="6" t="str">
        <f>_xlfn.XLOOKUP(Table1[[#This Row],[shipperID]],Table6[shipperID],Table6[companyName])</f>
        <v>Federal Shipping</v>
      </c>
      <c r="Q433">
        <f>YEAR(Table1[[#This Row],[OrderDate]])</f>
        <v>2014</v>
      </c>
      <c r="R433">
        <f>MONTH(Table1[[#This Row],[OrderDate]])</f>
        <v>9</v>
      </c>
      <c r="S433" t="str">
        <f>"Q"&amp;ROUNDUP(Table1[[#This Row],[month]]/3,0)</f>
        <v>Q3</v>
      </c>
      <c r="T433" t="str">
        <f>CONCATENATE(Table1[[#This Row],[year]],"-",Table1[[#This Row],[Quarter]])</f>
        <v>2014-Q3</v>
      </c>
      <c r="U433" s="6" t="str">
        <f>IF(H432="","Pending",IF(Table1[[#This Row],[Days to ship]]&lt;Table1[[#This Row],[RequiredDate]],"On Time","Late"))</f>
        <v>On Time</v>
      </c>
      <c r="V433">
        <f>_xlfn.XLOOKUP(Table1[[#This Row],[orderID]],Table3[orderID],Table3[unitPrice])</f>
        <v>55</v>
      </c>
    </row>
    <row r="434" spans="1:22" x14ac:dyDescent="0.45">
      <c r="A434" s="3">
        <v>10680</v>
      </c>
      <c r="B434" s="6" t="s">
        <v>190</v>
      </c>
      <c r="C434" s="3">
        <v>1</v>
      </c>
      <c r="D434" s="6" t="str">
        <f>_xlfn.XLOOKUP(Table1[[#This Row],[EmployeeID]],Table4[employeeID],Table4[employeeName])</f>
        <v>Nancy Davolio</v>
      </c>
      <c r="E434" s="1">
        <v>41906</v>
      </c>
      <c r="F434" s="1">
        <v>41934</v>
      </c>
      <c r="G434" s="1">
        <v>41908</v>
      </c>
      <c r="H434" s="3">
        <f>IF(Table1[[#This Row],[ShippedDate]]="","",IF(Table1[[#This Row],[OrderDate]]="","",Table1[[#This Row],[ShippedDate]]-Table1[[#This Row],[OrderDate]]))</f>
        <v>2</v>
      </c>
      <c r="I434" s="3">
        <v>1</v>
      </c>
      <c r="J434" s="2">
        <v>26.61</v>
      </c>
      <c r="K434" s="2">
        <f>SUMIF(order_details!A:A,Table1[[#This Row],[orderID]],order_details!F:F)</f>
        <v>1261.875</v>
      </c>
      <c r="L434" s="9">
        <f>_xlfn.XLOOKUP(Table1[[#This Row],[orderID]],Table3[orderID],Table3[discount])</f>
        <v>0.25</v>
      </c>
      <c r="M434" s="2">
        <f>SUM(Table1[[#This Row],[Sales]],Table1[[#This Row],[freight]])</f>
        <v>1288.4849999999999</v>
      </c>
      <c r="N434" s="3">
        <f>_xlfn.XLOOKUP(Table1[[#This Row],[orderID]],Table3[orderID],Table3[quantity])</f>
        <v>50</v>
      </c>
      <c r="O434" s="6" t="str">
        <f>_xlfn.XLOOKUP(Table1[[#This Row],[CustomerID]],customers!A:A,customers!B:B)</f>
        <v>Old World Delicatessen</v>
      </c>
      <c r="P434" s="6" t="str">
        <f>_xlfn.XLOOKUP(Table1[[#This Row],[shipperID]],Table6[shipperID],Table6[companyName])</f>
        <v>Speedy Express</v>
      </c>
      <c r="Q434">
        <f>YEAR(Table1[[#This Row],[OrderDate]])</f>
        <v>2014</v>
      </c>
      <c r="R434">
        <f>MONTH(Table1[[#This Row],[OrderDate]])</f>
        <v>9</v>
      </c>
      <c r="S434" t="str">
        <f>"Q"&amp;ROUNDUP(Table1[[#This Row],[month]]/3,0)</f>
        <v>Q3</v>
      </c>
      <c r="T434" t="str">
        <f>CONCATENATE(Table1[[#This Row],[year]],"-",Table1[[#This Row],[Quarter]])</f>
        <v>2014-Q3</v>
      </c>
      <c r="U434" s="6" t="str">
        <f>IF(H433="","Pending",IF(Table1[[#This Row],[Days to ship]]&lt;Table1[[#This Row],[RequiredDate]],"On Time","Late"))</f>
        <v>On Time</v>
      </c>
      <c r="V434">
        <f>_xlfn.XLOOKUP(Table1[[#This Row],[orderID]],Table3[orderID],Table3[unitPrice])</f>
        <v>17.45</v>
      </c>
    </row>
    <row r="435" spans="1:22" x14ac:dyDescent="0.45">
      <c r="A435" s="3">
        <v>10681</v>
      </c>
      <c r="B435" s="6" t="s">
        <v>168</v>
      </c>
      <c r="C435" s="3">
        <v>3</v>
      </c>
      <c r="D435" s="6" t="str">
        <f>_xlfn.XLOOKUP(Table1[[#This Row],[EmployeeID]],Table4[employeeID],Table4[employeeName])</f>
        <v>Janet Leverling</v>
      </c>
      <c r="E435" s="1">
        <v>41907</v>
      </c>
      <c r="F435" s="1">
        <v>41935</v>
      </c>
      <c r="G435" s="1">
        <v>41912</v>
      </c>
      <c r="H435" s="3">
        <f>IF(Table1[[#This Row],[ShippedDate]]="","",IF(Table1[[#This Row],[OrderDate]]="","",Table1[[#This Row],[ShippedDate]]-Table1[[#This Row],[OrderDate]]))</f>
        <v>5</v>
      </c>
      <c r="I435" s="3">
        <v>3</v>
      </c>
      <c r="J435" s="2">
        <v>76.13</v>
      </c>
      <c r="K435" s="2">
        <f>SUMIF(order_details!A:A,Table1[[#This Row],[orderID]],order_details!F:F)</f>
        <v>1287.4000000000001</v>
      </c>
      <c r="L435" s="9">
        <f>_xlfn.XLOOKUP(Table1[[#This Row],[orderID]],Table3[orderID],Table3[discount])</f>
        <v>0.1</v>
      </c>
      <c r="M435" s="2">
        <f>SUM(Table1[[#This Row],[Sales]],Table1[[#This Row],[freight]])</f>
        <v>1363.5300000000002</v>
      </c>
      <c r="N435" s="3">
        <f>_xlfn.XLOOKUP(Table1[[#This Row],[orderID]],Table3[orderID],Table3[quantity])</f>
        <v>30</v>
      </c>
      <c r="O435" s="6" t="str">
        <f>_xlfn.XLOOKUP(Table1[[#This Row],[CustomerID]],customers!A:A,customers!B:B)</f>
        <v>Great Lakes Food Market</v>
      </c>
      <c r="P435" s="6" t="str">
        <f>_xlfn.XLOOKUP(Table1[[#This Row],[shipperID]],Table6[shipperID],Table6[companyName])</f>
        <v>Federal Shipping</v>
      </c>
      <c r="Q435">
        <f>YEAR(Table1[[#This Row],[OrderDate]])</f>
        <v>2014</v>
      </c>
      <c r="R435">
        <f>MONTH(Table1[[#This Row],[OrderDate]])</f>
        <v>9</v>
      </c>
      <c r="S435" t="str">
        <f>"Q"&amp;ROUNDUP(Table1[[#This Row],[month]]/3,0)</f>
        <v>Q3</v>
      </c>
      <c r="T435" t="str">
        <f>CONCATENATE(Table1[[#This Row],[year]],"-",Table1[[#This Row],[Quarter]])</f>
        <v>2014-Q3</v>
      </c>
      <c r="U435" s="6" t="str">
        <f>IF(H434="","Pending",IF(Table1[[#This Row],[Days to ship]]&lt;Table1[[#This Row],[RequiredDate]],"On Time","Late"))</f>
        <v>On Time</v>
      </c>
      <c r="V435">
        <f>_xlfn.XLOOKUP(Table1[[#This Row],[orderID]],Table3[orderID],Table3[unitPrice])</f>
        <v>9.1999999999999993</v>
      </c>
    </row>
    <row r="436" spans="1:22" x14ac:dyDescent="0.45">
      <c r="A436" s="3">
        <v>10682</v>
      </c>
      <c r="B436" s="6" t="s">
        <v>227</v>
      </c>
      <c r="C436" s="3">
        <v>3</v>
      </c>
      <c r="D436" s="6" t="str">
        <f>_xlfn.XLOOKUP(Table1[[#This Row],[EmployeeID]],Table4[employeeID],Table4[employeeName])</f>
        <v>Janet Leverling</v>
      </c>
      <c r="E436" s="1">
        <v>41907</v>
      </c>
      <c r="F436" s="1">
        <v>41935</v>
      </c>
      <c r="G436" s="1">
        <v>41913</v>
      </c>
      <c r="H436" s="3">
        <f>IF(Table1[[#This Row],[ShippedDate]]="","",IF(Table1[[#This Row],[OrderDate]]="","",Table1[[#This Row],[ShippedDate]]-Table1[[#This Row],[OrderDate]]))</f>
        <v>6</v>
      </c>
      <c r="I436" s="3">
        <v>2</v>
      </c>
      <c r="J436" s="2">
        <v>36.130000000000003</v>
      </c>
      <c r="K436" s="2">
        <f>SUMIF(order_details!A:A,Table1[[#This Row],[orderID]],order_details!F:F)</f>
        <v>375.5</v>
      </c>
      <c r="L436" s="9">
        <f>_xlfn.XLOOKUP(Table1[[#This Row],[orderID]],Table3[orderID],Table3[discount])</f>
        <v>0</v>
      </c>
      <c r="M436" s="2">
        <f>SUM(Table1[[#This Row],[Sales]],Table1[[#This Row],[freight]])</f>
        <v>411.63</v>
      </c>
      <c r="N436" s="3">
        <f>_xlfn.XLOOKUP(Table1[[#This Row],[orderID]],Table3[orderID],Table3[quantity])</f>
        <v>30</v>
      </c>
      <c r="O436" s="6" t="str">
        <f>_xlfn.XLOOKUP(Table1[[#This Row],[CustomerID]],customers!A:A,customers!B:B)</f>
        <v>Antonio Moreno Taquería</v>
      </c>
      <c r="P436" s="6" t="str">
        <f>_xlfn.XLOOKUP(Table1[[#This Row],[shipperID]],Table6[shipperID],Table6[companyName])</f>
        <v>United Package</v>
      </c>
      <c r="Q436">
        <f>YEAR(Table1[[#This Row],[OrderDate]])</f>
        <v>2014</v>
      </c>
      <c r="R436">
        <f>MONTH(Table1[[#This Row],[OrderDate]])</f>
        <v>9</v>
      </c>
      <c r="S436" t="str">
        <f>"Q"&amp;ROUNDUP(Table1[[#This Row],[month]]/3,0)</f>
        <v>Q3</v>
      </c>
      <c r="T436" t="str">
        <f>CONCATENATE(Table1[[#This Row],[year]],"-",Table1[[#This Row],[Quarter]])</f>
        <v>2014-Q3</v>
      </c>
      <c r="U436" s="6" t="str">
        <f>IF(H435="","Pending",IF(Table1[[#This Row],[Days to ship]]&lt;Table1[[#This Row],[RequiredDate]],"On Time","Late"))</f>
        <v>On Time</v>
      </c>
      <c r="V436">
        <f>_xlfn.XLOOKUP(Table1[[#This Row],[orderID]],Table3[orderID],Table3[unitPrice])</f>
        <v>2.5</v>
      </c>
    </row>
    <row r="437" spans="1:22" x14ac:dyDescent="0.45">
      <c r="A437" s="3">
        <v>10683</v>
      </c>
      <c r="B437" s="6" t="s">
        <v>224</v>
      </c>
      <c r="C437" s="3">
        <v>2</v>
      </c>
      <c r="D437" s="6" t="str">
        <f>_xlfn.XLOOKUP(Table1[[#This Row],[EmployeeID]],Table4[employeeID],Table4[employeeName])</f>
        <v>Andrew Fuller</v>
      </c>
      <c r="E437" s="1">
        <v>41908</v>
      </c>
      <c r="F437" s="1">
        <v>41936</v>
      </c>
      <c r="G437" s="1">
        <v>41913</v>
      </c>
      <c r="H437" s="3">
        <f>IF(Table1[[#This Row],[ShippedDate]]="","",IF(Table1[[#This Row],[OrderDate]]="","",Table1[[#This Row],[ShippedDate]]-Table1[[#This Row],[OrderDate]]))</f>
        <v>5</v>
      </c>
      <c r="I437" s="3">
        <v>1</v>
      </c>
      <c r="J437" s="2">
        <v>4.4000000000000004</v>
      </c>
      <c r="K437" s="2">
        <f>SUMIF(order_details!A:A,Table1[[#This Row],[orderID]],order_details!F:F)</f>
        <v>63</v>
      </c>
      <c r="L437" s="9">
        <f>_xlfn.XLOOKUP(Table1[[#This Row],[orderID]],Table3[orderID],Table3[discount])</f>
        <v>0</v>
      </c>
      <c r="M437" s="2">
        <f>SUM(Table1[[#This Row],[Sales]],Table1[[#This Row],[freight]])</f>
        <v>67.400000000000006</v>
      </c>
      <c r="N437" s="3">
        <f>_xlfn.XLOOKUP(Table1[[#This Row],[orderID]],Table3[orderID],Table3[quantity])</f>
        <v>9</v>
      </c>
      <c r="O437" s="6" t="str">
        <f>_xlfn.XLOOKUP(Table1[[#This Row],[CustomerID]],customers!A:A,customers!B:B)</f>
        <v>Du monde entier</v>
      </c>
      <c r="P437" s="6" t="str">
        <f>_xlfn.XLOOKUP(Table1[[#This Row],[shipperID]],Table6[shipperID],Table6[companyName])</f>
        <v>Speedy Express</v>
      </c>
      <c r="Q437">
        <f>YEAR(Table1[[#This Row],[OrderDate]])</f>
        <v>2014</v>
      </c>
      <c r="R437">
        <f>MONTH(Table1[[#This Row],[OrderDate]])</f>
        <v>9</v>
      </c>
      <c r="S437" t="str">
        <f>"Q"&amp;ROUNDUP(Table1[[#This Row],[month]]/3,0)</f>
        <v>Q3</v>
      </c>
      <c r="T437" t="str">
        <f>CONCATENATE(Table1[[#This Row],[year]],"-",Table1[[#This Row],[Quarter]])</f>
        <v>2014-Q3</v>
      </c>
      <c r="U437" s="6" t="str">
        <f>IF(H436="","Pending",IF(Table1[[#This Row],[Days to ship]]&lt;Table1[[#This Row],[RequiredDate]],"On Time","Late"))</f>
        <v>On Time</v>
      </c>
      <c r="V437">
        <f>_xlfn.XLOOKUP(Table1[[#This Row],[orderID]],Table3[orderID],Table3[unitPrice])</f>
        <v>7</v>
      </c>
    </row>
    <row r="438" spans="1:22" x14ac:dyDescent="0.45">
      <c r="A438" s="3">
        <v>10684</v>
      </c>
      <c r="B438" s="6" t="s">
        <v>195</v>
      </c>
      <c r="C438" s="3">
        <v>3</v>
      </c>
      <c r="D438" s="6" t="str">
        <f>_xlfn.XLOOKUP(Table1[[#This Row],[EmployeeID]],Table4[employeeID],Table4[employeeName])</f>
        <v>Janet Leverling</v>
      </c>
      <c r="E438" s="1">
        <v>41908</v>
      </c>
      <c r="F438" s="1">
        <v>41936</v>
      </c>
      <c r="G438" s="1">
        <v>41912</v>
      </c>
      <c r="H438" s="3">
        <f>IF(Table1[[#This Row],[ShippedDate]]="","",IF(Table1[[#This Row],[OrderDate]]="","",Table1[[#This Row],[ShippedDate]]-Table1[[#This Row],[OrderDate]]))</f>
        <v>4</v>
      </c>
      <c r="I438" s="3">
        <v>1</v>
      </c>
      <c r="J438" s="2">
        <v>145.63</v>
      </c>
      <c r="K438" s="2">
        <f>SUMIF(order_details!A:A,Table1[[#This Row],[orderID]],order_details!F:F)</f>
        <v>1768</v>
      </c>
      <c r="L438" s="9">
        <f>_xlfn.XLOOKUP(Table1[[#This Row],[orderID]],Table3[orderID],Table3[discount])</f>
        <v>0</v>
      </c>
      <c r="M438" s="2">
        <f>SUM(Table1[[#This Row],[Sales]],Table1[[#This Row],[freight]])</f>
        <v>1913.63</v>
      </c>
      <c r="N438" s="3">
        <f>_xlfn.XLOOKUP(Table1[[#This Row],[orderID]],Table3[orderID],Table3[quantity])</f>
        <v>20</v>
      </c>
      <c r="O438" s="6" t="str">
        <f>_xlfn.XLOOKUP(Table1[[#This Row],[CustomerID]],customers!A:A,customers!B:B)</f>
        <v>Ottilies Käseladen</v>
      </c>
      <c r="P438" s="6" t="str">
        <f>_xlfn.XLOOKUP(Table1[[#This Row],[shipperID]],Table6[shipperID],Table6[companyName])</f>
        <v>Speedy Express</v>
      </c>
      <c r="Q438">
        <f>YEAR(Table1[[#This Row],[OrderDate]])</f>
        <v>2014</v>
      </c>
      <c r="R438">
        <f>MONTH(Table1[[#This Row],[OrderDate]])</f>
        <v>9</v>
      </c>
      <c r="S438" t="str">
        <f>"Q"&amp;ROUNDUP(Table1[[#This Row],[month]]/3,0)</f>
        <v>Q3</v>
      </c>
      <c r="T438" t="str">
        <f>CONCATENATE(Table1[[#This Row],[year]],"-",Table1[[#This Row],[Quarter]])</f>
        <v>2014-Q3</v>
      </c>
      <c r="U438" s="6" t="str">
        <f>IF(H437="","Pending",IF(Table1[[#This Row],[Days to ship]]&lt;Table1[[#This Row],[RequiredDate]],"On Time","Late"))</f>
        <v>On Time</v>
      </c>
      <c r="V438">
        <f>_xlfn.XLOOKUP(Table1[[#This Row],[orderID]],Table3[orderID],Table3[unitPrice])</f>
        <v>18.399999999999999</v>
      </c>
    </row>
    <row r="439" spans="1:22" x14ac:dyDescent="0.45">
      <c r="A439" s="3">
        <v>10685</v>
      </c>
      <c r="B439" s="6" t="s">
        <v>180</v>
      </c>
      <c r="C439" s="3">
        <v>4</v>
      </c>
      <c r="D439" s="6" t="str">
        <f>_xlfn.XLOOKUP(Table1[[#This Row],[EmployeeID]],Table4[employeeID],Table4[employeeName])</f>
        <v>Margaret Peacock</v>
      </c>
      <c r="E439" s="1">
        <v>41911</v>
      </c>
      <c r="F439" s="1">
        <v>41925</v>
      </c>
      <c r="G439" s="1">
        <v>41915</v>
      </c>
      <c r="H439" s="3">
        <f>IF(Table1[[#This Row],[ShippedDate]]="","",IF(Table1[[#This Row],[OrderDate]]="","",Table1[[#This Row],[ShippedDate]]-Table1[[#This Row],[OrderDate]]))</f>
        <v>4</v>
      </c>
      <c r="I439" s="3">
        <v>2</v>
      </c>
      <c r="J439" s="2">
        <v>33.75</v>
      </c>
      <c r="K439" s="2">
        <f>SUMIF(order_details!A:A,Table1[[#This Row],[orderID]],order_details!F:F)</f>
        <v>801.1</v>
      </c>
      <c r="L439" s="9">
        <f>_xlfn.XLOOKUP(Table1[[#This Row],[orderID]],Table3[orderID],Table3[discount])</f>
        <v>0</v>
      </c>
      <c r="M439" s="2">
        <f>SUM(Table1[[#This Row],[Sales]],Table1[[#This Row],[freight]])</f>
        <v>834.85</v>
      </c>
      <c r="N439" s="3">
        <f>_xlfn.XLOOKUP(Table1[[#This Row],[orderID]],Table3[orderID],Table3[quantity])</f>
        <v>20</v>
      </c>
      <c r="O439" s="6" t="str">
        <f>_xlfn.XLOOKUP(Table1[[#This Row],[CustomerID]],customers!A:A,customers!B:B)</f>
        <v>Gourmet Lanchonetes</v>
      </c>
      <c r="P439" s="6" t="str">
        <f>_xlfn.XLOOKUP(Table1[[#This Row],[shipperID]],Table6[shipperID],Table6[companyName])</f>
        <v>United Package</v>
      </c>
      <c r="Q439">
        <f>YEAR(Table1[[#This Row],[OrderDate]])</f>
        <v>2014</v>
      </c>
      <c r="R439">
        <f>MONTH(Table1[[#This Row],[OrderDate]])</f>
        <v>9</v>
      </c>
      <c r="S439" t="str">
        <f>"Q"&amp;ROUNDUP(Table1[[#This Row],[month]]/3,0)</f>
        <v>Q3</v>
      </c>
      <c r="T439" t="str">
        <f>CONCATENATE(Table1[[#This Row],[year]],"-",Table1[[#This Row],[Quarter]])</f>
        <v>2014-Q3</v>
      </c>
      <c r="U439" s="6" t="str">
        <f>IF(H438="","Pending",IF(Table1[[#This Row],[Days to ship]]&lt;Table1[[#This Row],[RequiredDate]],"On Time","Late"))</f>
        <v>On Time</v>
      </c>
      <c r="V439">
        <f>_xlfn.XLOOKUP(Table1[[#This Row],[orderID]],Table3[orderID],Table3[unitPrice])</f>
        <v>31</v>
      </c>
    </row>
    <row r="440" spans="1:22" x14ac:dyDescent="0.45">
      <c r="A440" s="3">
        <v>10686</v>
      </c>
      <c r="B440" s="6" t="s">
        <v>176</v>
      </c>
      <c r="C440" s="3">
        <v>2</v>
      </c>
      <c r="D440" s="6" t="str">
        <f>_xlfn.XLOOKUP(Table1[[#This Row],[EmployeeID]],Table4[employeeID],Table4[employeeName])</f>
        <v>Andrew Fuller</v>
      </c>
      <c r="E440" s="1">
        <v>41912</v>
      </c>
      <c r="F440" s="1">
        <v>41940</v>
      </c>
      <c r="G440" s="1">
        <v>41920</v>
      </c>
      <c r="H440" s="3">
        <f>IF(Table1[[#This Row],[ShippedDate]]="","",IF(Table1[[#This Row],[OrderDate]]="","",Table1[[#This Row],[ShippedDate]]-Table1[[#This Row],[OrderDate]]))</f>
        <v>8</v>
      </c>
      <c r="I440" s="3">
        <v>1</v>
      </c>
      <c r="J440" s="2">
        <v>96.5</v>
      </c>
      <c r="K440" s="2">
        <f>SUMIF(order_details!A:A,Table1[[#This Row],[orderID]],order_details!F:F)</f>
        <v>1404.45</v>
      </c>
      <c r="L440" s="9">
        <f>_xlfn.XLOOKUP(Table1[[#This Row],[orderID]],Table3[orderID],Table3[discount])</f>
        <v>0.2</v>
      </c>
      <c r="M440" s="2">
        <f>SUM(Table1[[#This Row],[Sales]],Table1[[#This Row],[freight]])</f>
        <v>1500.95</v>
      </c>
      <c r="N440" s="3">
        <f>_xlfn.XLOOKUP(Table1[[#This Row],[orderID]],Table3[orderID],Table3[quantity])</f>
        <v>30</v>
      </c>
      <c r="O440" s="6" t="str">
        <f>_xlfn.XLOOKUP(Table1[[#This Row],[CustomerID]],customers!A:A,customers!B:B)</f>
        <v>Piccolo und mehr</v>
      </c>
      <c r="P440" s="6" t="str">
        <f>_xlfn.XLOOKUP(Table1[[#This Row],[shipperID]],Table6[shipperID],Table6[companyName])</f>
        <v>Speedy Express</v>
      </c>
      <c r="Q440">
        <f>YEAR(Table1[[#This Row],[OrderDate]])</f>
        <v>2014</v>
      </c>
      <c r="R440">
        <f>MONTH(Table1[[#This Row],[OrderDate]])</f>
        <v>9</v>
      </c>
      <c r="S440" t="str">
        <f>"Q"&amp;ROUNDUP(Table1[[#This Row],[month]]/3,0)</f>
        <v>Q3</v>
      </c>
      <c r="T440" t="str">
        <f>CONCATENATE(Table1[[#This Row],[year]],"-",Table1[[#This Row],[Quarter]])</f>
        <v>2014-Q3</v>
      </c>
      <c r="U440" s="6" t="str">
        <f>IF(H439="","Pending",IF(Table1[[#This Row],[Days to ship]]&lt;Table1[[#This Row],[RequiredDate]],"On Time","Late"))</f>
        <v>On Time</v>
      </c>
      <c r="V440">
        <f>_xlfn.XLOOKUP(Table1[[#This Row],[orderID]],Table3[orderID],Table3[unitPrice])</f>
        <v>39</v>
      </c>
    </row>
    <row r="441" spans="1:22" x14ac:dyDescent="0.45">
      <c r="A441" s="3">
        <v>10687</v>
      </c>
      <c r="B441" s="6" t="s">
        <v>166</v>
      </c>
      <c r="C441" s="3">
        <v>9</v>
      </c>
      <c r="D441" s="6" t="str">
        <f>_xlfn.XLOOKUP(Table1[[#This Row],[EmployeeID]],Table4[employeeID],Table4[employeeName])</f>
        <v>Anne Dodsworth</v>
      </c>
      <c r="E441" s="1">
        <v>41912</v>
      </c>
      <c r="F441" s="1">
        <v>41940</v>
      </c>
      <c r="G441" s="1">
        <v>41942</v>
      </c>
      <c r="H441" s="3">
        <f>IF(Table1[[#This Row],[ShippedDate]]="","",IF(Table1[[#This Row],[OrderDate]]="","",Table1[[#This Row],[ShippedDate]]-Table1[[#This Row],[OrderDate]]))</f>
        <v>30</v>
      </c>
      <c r="I441" s="3">
        <v>2</v>
      </c>
      <c r="J441" s="2">
        <v>296.43</v>
      </c>
      <c r="K441" s="2">
        <f>SUMIF(order_details!A:A,Table1[[#This Row],[orderID]],order_details!F:F)</f>
        <v>4960.8999999999996</v>
      </c>
      <c r="L441" s="9">
        <f>_xlfn.XLOOKUP(Table1[[#This Row],[orderID]],Table3[orderID],Table3[discount])</f>
        <v>0.25</v>
      </c>
      <c r="M441" s="2">
        <f>SUM(Table1[[#This Row],[Sales]],Table1[[#This Row],[freight]])</f>
        <v>5257.33</v>
      </c>
      <c r="N441" s="3">
        <f>_xlfn.XLOOKUP(Table1[[#This Row],[orderID]],Table3[orderID],Table3[quantity])</f>
        <v>50</v>
      </c>
      <c r="O441" s="6" t="str">
        <f>_xlfn.XLOOKUP(Table1[[#This Row],[CustomerID]],customers!A:A,customers!B:B)</f>
        <v>Hungry Owl All-Night Grocers</v>
      </c>
      <c r="P441" s="6" t="str">
        <f>_xlfn.XLOOKUP(Table1[[#This Row],[shipperID]],Table6[shipperID],Table6[companyName])</f>
        <v>United Package</v>
      </c>
      <c r="Q441">
        <f>YEAR(Table1[[#This Row],[OrderDate]])</f>
        <v>2014</v>
      </c>
      <c r="R441">
        <f>MONTH(Table1[[#This Row],[OrderDate]])</f>
        <v>9</v>
      </c>
      <c r="S441" t="str">
        <f>"Q"&amp;ROUNDUP(Table1[[#This Row],[month]]/3,0)</f>
        <v>Q3</v>
      </c>
      <c r="T441" t="str">
        <f>CONCATENATE(Table1[[#This Row],[year]],"-",Table1[[#This Row],[Quarter]])</f>
        <v>2014-Q3</v>
      </c>
      <c r="U441" s="6" t="str">
        <f>IF(H440="","Pending",IF(Table1[[#This Row],[Days to ship]]&lt;Table1[[#This Row],[RequiredDate]],"On Time","Late"))</f>
        <v>On Time</v>
      </c>
      <c r="V441">
        <f>_xlfn.XLOOKUP(Table1[[#This Row],[orderID]],Table3[orderID],Table3[unitPrice])</f>
        <v>97</v>
      </c>
    </row>
    <row r="442" spans="1:22" x14ac:dyDescent="0.45">
      <c r="A442" s="3">
        <v>10688</v>
      </c>
      <c r="B442" s="6" t="s">
        <v>207</v>
      </c>
      <c r="C442" s="3">
        <v>4</v>
      </c>
      <c r="D442" s="6" t="str">
        <f>_xlfn.XLOOKUP(Table1[[#This Row],[EmployeeID]],Table4[employeeID],Table4[employeeName])</f>
        <v>Margaret Peacock</v>
      </c>
      <c r="E442" s="1">
        <v>41913</v>
      </c>
      <c r="F442" s="1">
        <v>41927</v>
      </c>
      <c r="G442" s="1">
        <v>41919</v>
      </c>
      <c r="H442" s="3">
        <f>IF(Table1[[#This Row],[ShippedDate]]="","",IF(Table1[[#This Row],[OrderDate]]="","",Table1[[#This Row],[ShippedDate]]-Table1[[#This Row],[OrderDate]]))</f>
        <v>6</v>
      </c>
      <c r="I442" s="3">
        <v>2</v>
      </c>
      <c r="J442" s="2">
        <v>299.08999999999997</v>
      </c>
      <c r="K442" s="2">
        <f>SUMIF(order_details!A:A,Table1[[#This Row],[orderID]],order_details!F:F)</f>
        <v>3160.6</v>
      </c>
      <c r="L442" s="9">
        <f>_xlfn.XLOOKUP(Table1[[#This Row],[orderID]],Table3[orderID],Table3[discount])</f>
        <v>0.1</v>
      </c>
      <c r="M442" s="2">
        <f>SUM(Table1[[#This Row],[Sales]],Table1[[#This Row],[freight]])</f>
        <v>3459.69</v>
      </c>
      <c r="N442" s="3">
        <f>_xlfn.XLOOKUP(Table1[[#This Row],[orderID]],Table3[orderID],Table3[quantity])</f>
        <v>18</v>
      </c>
      <c r="O442" s="6" t="str">
        <f>_xlfn.XLOOKUP(Table1[[#This Row],[CustomerID]],customers!A:A,customers!B:B)</f>
        <v>Vaffeljernet</v>
      </c>
      <c r="P442" s="6" t="str">
        <f>_xlfn.XLOOKUP(Table1[[#This Row],[shipperID]],Table6[shipperID],Table6[companyName])</f>
        <v>United Package</v>
      </c>
      <c r="Q442">
        <f>YEAR(Table1[[#This Row],[OrderDate]])</f>
        <v>2014</v>
      </c>
      <c r="R442">
        <f>MONTH(Table1[[#This Row],[OrderDate]])</f>
        <v>10</v>
      </c>
      <c r="S442" t="str">
        <f>"Q"&amp;ROUNDUP(Table1[[#This Row],[month]]/3,0)</f>
        <v>Q4</v>
      </c>
      <c r="T442" t="str">
        <f>CONCATENATE(Table1[[#This Row],[year]],"-",Table1[[#This Row],[Quarter]])</f>
        <v>2014-Q4</v>
      </c>
      <c r="U442" s="6" t="str">
        <f>IF(H441="","Pending",IF(Table1[[#This Row],[Days to ship]]&lt;Table1[[#This Row],[RequiredDate]],"On Time","Late"))</f>
        <v>On Time</v>
      </c>
      <c r="V442">
        <f>_xlfn.XLOOKUP(Table1[[#This Row],[orderID]],Table3[orderID],Table3[unitPrice])</f>
        <v>31</v>
      </c>
    </row>
    <row r="443" spans="1:22" x14ac:dyDescent="0.45">
      <c r="A443" s="3">
        <v>10689</v>
      </c>
      <c r="B443" s="6" t="s">
        <v>223</v>
      </c>
      <c r="C443" s="3">
        <v>1</v>
      </c>
      <c r="D443" s="6" t="str">
        <f>_xlfn.XLOOKUP(Table1[[#This Row],[EmployeeID]],Table4[employeeID],Table4[employeeName])</f>
        <v>Nancy Davolio</v>
      </c>
      <c r="E443" s="1">
        <v>41913</v>
      </c>
      <c r="F443" s="1">
        <v>41941</v>
      </c>
      <c r="G443" s="1">
        <v>41919</v>
      </c>
      <c r="H443" s="3">
        <f>IF(Table1[[#This Row],[ShippedDate]]="","",IF(Table1[[#This Row],[OrderDate]]="","",Table1[[#This Row],[ShippedDate]]-Table1[[#This Row],[OrderDate]]))</f>
        <v>6</v>
      </c>
      <c r="I443" s="3">
        <v>2</v>
      </c>
      <c r="J443" s="2">
        <v>13.42</v>
      </c>
      <c r="K443" s="2">
        <f>SUMIF(order_details!A:A,Table1[[#This Row],[orderID]],order_details!F:F)</f>
        <v>472.5</v>
      </c>
      <c r="L443" s="9">
        <f>_xlfn.XLOOKUP(Table1[[#This Row],[orderID]],Table3[orderID],Table3[discount])</f>
        <v>0.25</v>
      </c>
      <c r="M443" s="2">
        <f>SUM(Table1[[#This Row],[Sales]],Table1[[#This Row],[freight]])</f>
        <v>485.92</v>
      </c>
      <c r="N443" s="3">
        <f>_xlfn.XLOOKUP(Table1[[#This Row],[orderID]],Table3[orderID],Table3[quantity])</f>
        <v>35</v>
      </c>
      <c r="O443" s="6" t="str">
        <f>_xlfn.XLOOKUP(Table1[[#This Row],[CustomerID]],customers!A:A,customers!B:B)</f>
        <v>Berglunds snabbköp</v>
      </c>
      <c r="P443" s="6" t="str">
        <f>_xlfn.XLOOKUP(Table1[[#This Row],[shipperID]],Table6[shipperID],Table6[companyName])</f>
        <v>United Package</v>
      </c>
      <c r="Q443">
        <f>YEAR(Table1[[#This Row],[OrderDate]])</f>
        <v>2014</v>
      </c>
      <c r="R443">
        <f>MONTH(Table1[[#This Row],[OrderDate]])</f>
        <v>10</v>
      </c>
      <c r="S443" t="str">
        <f>"Q"&amp;ROUNDUP(Table1[[#This Row],[month]]/3,0)</f>
        <v>Q4</v>
      </c>
      <c r="T443" t="str">
        <f>CONCATENATE(Table1[[#This Row],[year]],"-",Table1[[#This Row],[Quarter]])</f>
        <v>2014-Q4</v>
      </c>
      <c r="U443" s="6" t="str">
        <f>IF(H442="","Pending",IF(Table1[[#This Row],[Days to ship]]&lt;Table1[[#This Row],[RequiredDate]],"On Time","Late"))</f>
        <v>On Time</v>
      </c>
      <c r="V443">
        <f>_xlfn.XLOOKUP(Table1[[#This Row],[orderID]],Table3[orderID],Table3[unitPrice])</f>
        <v>18</v>
      </c>
    </row>
    <row r="444" spans="1:22" x14ac:dyDescent="0.45">
      <c r="A444" s="3">
        <v>10690</v>
      </c>
      <c r="B444" s="6" t="s">
        <v>177</v>
      </c>
      <c r="C444" s="3">
        <v>1</v>
      </c>
      <c r="D444" s="6" t="str">
        <f>_xlfn.XLOOKUP(Table1[[#This Row],[EmployeeID]],Table4[employeeID],Table4[employeeName])</f>
        <v>Nancy Davolio</v>
      </c>
      <c r="E444" s="1">
        <v>41914</v>
      </c>
      <c r="F444" s="1">
        <v>41942</v>
      </c>
      <c r="G444" s="1">
        <v>41915</v>
      </c>
      <c r="H444" s="3">
        <f>IF(Table1[[#This Row],[ShippedDate]]="","",IF(Table1[[#This Row],[OrderDate]]="","",Table1[[#This Row],[ShippedDate]]-Table1[[#This Row],[OrderDate]]))</f>
        <v>1</v>
      </c>
      <c r="I444" s="3">
        <v>1</v>
      </c>
      <c r="J444" s="2">
        <v>15.8</v>
      </c>
      <c r="K444" s="2">
        <f>SUMIF(order_details!A:A,Table1[[#This Row],[orderID]],order_details!F:F)</f>
        <v>862.5</v>
      </c>
      <c r="L444" s="9">
        <f>_xlfn.XLOOKUP(Table1[[#This Row],[orderID]],Table3[orderID],Table3[discount])</f>
        <v>0.25</v>
      </c>
      <c r="M444" s="2">
        <f>SUM(Table1[[#This Row],[Sales]],Table1[[#This Row],[freight]])</f>
        <v>878.3</v>
      </c>
      <c r="N444" s="3">
        <f>_xlfn.XLOOKUP(Table1[[#This Row],[orderID]],Table3[orderID],Table3[quantity])</f>
        <v>20</v>
      </c>
      <c r="O444" s="6" t="str">
        <f>_xlfn.XLOOKUP(Table1[[#This Row],[CustomerID]],customers!A:A,customers!B:B)</f>
        <v>Hanari Carnes</v>
      </c>
      <c r="P444" s="6" t="str">
        <f>_xlfn.XLOOKUP(Table1[[#This Row],[shipperID]],Table6[shipperID],Table6[companyName])</f>
        <v>Speedy Express</v>
      </c>
      <c r="Q444">
        <f>YEAR(Table1[[#This Row],[OrderDate]])</f>
        <v>2014</v>
      </c>
      <c r="R444">
        <f>MONTH(Table1[[#This Row],[OrderDate]])</f>
        <v>10</v>
      </c>
      <c r="S444" t="str">
        <f>"Q"&amp;ROUNDUP(Table1[[#This Row],[month]]/3,0)</f>
        <v>Q4</v>
      </c>
      <c r="T444" t="str">
        <f>CONCATENATE(Table1[[#This Row],[year]],"-",Table1[[#This Row],[Quarter]])</f>
        <v>2014-Q4</v>
      </c>
      <c r="U444" s="6" t="str">
        <f>IF(H443="","Pending",IF(Table1[[#This Row],[Days to ship]]&lt;Table1[[#This Row],[RequiredDate]],"On Time","Late"))</f>
        <v>On Time</v>
      </c>
      <c r="V444">
        <f>_xlfn.XLOOKUP(Table1[[#This Row],[orderID]],Table3[orderID],Table3[unitPrice])</f>
        <v>38</v>
      </c>
    </row>
    <row r="445" spans="1:22" x14ac:dyDescent="0.45">
      <c r="A445" s="3">
        <v>10691</v>
      </c>
      <c r="B445" s="6" t="s">
        <v>194</v>
      </c>
      <c r="C445" s="3">
        <v>2</v>
      </c>
      <c r="D445" s="6" t="str">
        <f>_xlfn.XLOOKUP(Table1[[#This Row],[EmployeeID]],Table4[employeeID],Table4[employeeName])</f>
        <v>Andrew Fuller</v>
      </c>
      <c r="E445" s="1">
        <v>41915</v>
      </c>
      <c r="F445" s="1">
        <v>41957</v>
      </c>
      <c r="G445" s="1">
        <v>41934</v>
      </c>
      <c r="H445" s="3">
        <f>IF(Table1[[#This Row],[ShippedDate]]="","",IF(Table1[[#This Row],[OrderDate]]="","",Table1[[#This Row],[ShippedDate]]-Table1[[#This Row],[OrderDate]]))</f>
        <v>19</v>
      </c>
      <c r="I445" s="3">
        <v>2</v>
      </c>
      <c r="J445" s="2">
        <v>810.05</v>
      </c>
      <c r="K445" s="2">
        <f>SUMIF(order_details!A:A,Table1[[#This Row],[orderID]],order_details!F:F)</f>
        <v>10164.799999999999</v>
      </c>
      <c r="L445" s="9">
        <f>_xlfn.XLOOKUP(Table1[[#This Row],[orderID]],Table3[orderID],Table3[discount])</f>
        <v>0</v>
      </c>
      <c r="M445" s="2">
        <f>SUM(Table1[[#This Row],[Sales]],Table1[[#This Row],[freight]])</f>
        <v>10974.849999999999</v>
      </c>
      <c r="N445" s="3">
        <f>_xlfn.XLOOKUP(Table1[[#This Row],[orderID]],Table3[orderID],Table3[quantity])</f>
        <v>30</v>
      </c>
      <c r="O445" s="6" t="str">
        <f>_xlfn.XLOOKUP(Table1[[#This Row],[CustomerID]],customers!A:A,customers!B:B)</f>
        <v>QUICK-Stop</v>
      </c>
      <c r="P445" s="6" t="str">
        <f>_xlfn.XLOOKUP(Table1[[#This Row],[shipperID]],Table6[shipperID],Table6[companyName])</f>
        <v>United Package</v>
      </c>
      <c r="Q445">
        <f>YEAR(Table1[[#This Row],[OrderDate]])</f>
        <v>2014</v>
      </c>
      <c r="R445">
        <f>MONTH(Table1[[#This Row],[OrderDate]])</f>
        <v>10</v>
      </c>
      <c r="S445" t="str">
        <f>"Q"&amp;ROUNDUP(Table1[[#This Row],[month]]/3,0)</f>
        <v>Q4</v>
      </c>
      <c r="T445" t="str">
        <f>CONCATENATE(Table1[[#This Row],[year]],"-",Table1[[#This Row],[Quarter]])</f>
        <v>2014-Q4</v>
      </c>
      <c r="U445" s="6" t="str">
        <f>IF(H444="","Pending",IF(Table1[[#This Row],[Days to ship]]&lt;Table1[[#This Row],[RequiredDate]],"On Time","Late"))</f>
        <v>On Time</v>
      </c>
      <c r="V445">
        <f>_xlfn.XLOOKUP(Table1[[#This Row],[orderID]],Table3[orderID],Table3[unitPrice])</f>
        <v>18</v>
      </c>
    </row>
    <row r="446" spans="1:22" x14ac:dyDescent="0.45">
      <c r="A446" s="3">
        <v>10692</v>
      </c>
      <c r="B446" s="6" t="s">
        <v>202</v>
      </c>
      <c r="C446" s="3">
        <v>4</v>
      </c>
      <c r="D446" s="6" t="str">
        <f>_xlfn.XLOOKUP(Table1[[#This Row],[EmployeeID]],Table4[employeeID],Table4[employeeName])</f>
        <v>Margaret Peacock</v>
      </c>
      <c r="E446" s="1">
        <v>41915</v>
      </c>
      <c r="F446" s="1">
        <v>41943</v>
      </c>
      <c r="G446" s="1">
        <v>41925</v>
      </c>
      <c r="H446" s="3">
        <f>IF(Table1[[#This Row],[ShippedDate]]="","",IF(Table1[[#This Row],[OrderDate]]="","",Table1[[#This Row],[ShippedDate]]-Table1[[#This Row],[OrderDate]]))</f>
        <v>10</v>
      </c>
      <c r="I446" s="3">
        <v>2</v>
      </c>
      <c r="J446" s="2">
        <v>61.02</v>
      </c>
      <c r="K446" s="2">
        <f>SUMIF(order_details!A:A,Table1[[#This Row],[orderID]],order_details!F:F)</f>
        <v>878</v>
      </c>
      <c r="L446" s="9">
        <f>_xlfn.XLOOKUP(Table1[[#This Row],[orderID]],Table3[orderID],Table3[discount])</f>
        <v>0</v>
      </c>
      <c r="M446" s="2">
        <f>SUM(Table1[[#This Row],[Sales]],Table1[[#This Row],[freight]])</f>
        <v>939.02</v>
      </c>
      <c r="N446" s="3">
        <f>_xlfn.XLOOKUP(Table1[[#This Row],[orderID]],Table3[orderID],Table3[quantity])</f>
        <v>20</v>
      </c>
      <c r="O446" s="6" t="str">
        <f>_xlfn.XLOOKUP(Table1[[#This Row],[CustomerID]],customers!A:A,customers!B:B)</f>
        <v>Alfreds Futterkiste</v>
      </c>
      <c r="P446" s="6" t="str">
        <f>_xlfn.XLOOKUP(Table1[[#This Row],[shipperID]],Table6[shipperID],Table6[companyName])</f>
        <v>United Package</v>
      </c>
      <c r="Q446">
        <f>YEAR(Table1[[#This Row],[OrderDate]])</f>
        <v>2014</v>
      </c>
      <c r="R446">
        <f>MONTH(Table1[[#This Row],[OrderDate]])</f>
        <v>10</v>
      </c>
      <c r="S446" t="str">
        <f>"Q"&amp;ROUNDUP(Table1[[#This Row],[month]]/3,0)</f>
        <v>Q4</v>
      </c>
      <c r="T446" t="str">
        <f>CONCATENATE(Table1[[#This Row],[year]],"-",Table1[[#This Row],[Quarter]])</f>
        <v>2014-Q4</v>
      </c>
      <c r="U446" s="6" t="str">
        <f>IF(H445="","Pending",IF(Table1[[#This Row],[Days to ship]]&lt;Table1[[#This Row],[RequiredDate]],"On Time","Late"))</f>
        <v>On Time</v>
      </c>
      <c r="V446">
        <f>_xlfn.XLOOKUP(Table1[[#This Row],[orderID]],Table3[orderID],Table3[unitPrice])</f>
        <v>43.9</v>
      </c>
    </row>
    <row r="447" spans="1:22" x14ac:dyDescent="0.45">
      <c r="A447" s="3">
        <v>10693</v>
      </c>
      <c r="B447" s="6" t="s">
        <v>164</v>
      </c>
      <c r="C447" s="3">
        <v>3</v>
      </c>
      <c r="D447" s="6" t="str">
        <f>_xlfn.XLOOKUP(Table1[[#This Row],[EmployeeID]],Table4[employeeID],Table4[employeeName])</f>
        <v>Janet Leverling</v>
      </c>
      <c r="E447" s="1">
        <v>41918</v>
      </c>
      <c r="F447" s="1">
        <v>41932</v>
      </c>
      <c r="G447" s="1">
        <v>41922</v>
      </c>
      <c r="H447" s="3">
        <f>IF(Table1[[#This Row],[ShippedDate]]="","",IF(Table1[[#This Row],[OrderDate]]="","",Table1[[#This Row],[ShippedDate]]-Table1[[#This Row],[OrderDate]]))</f>
        <v>4</v>
      </c>
      <c r="I447" s="3">
        <v>3</v>
      </c>
      <c r="J447" s="2">
        <v>139.34</v>
      </c>
      <c r="K447" s="2">
        <f>SUMIF(order_details!A:A,Table1[[#This Row],[orderID]],order_details!F:F)</f>
        <v>2071.1999999999998</v>
      </c>
      <c r="L447" s="9">
        <f>_xlfn.XLOOKUP(Table1[[#This Row],[orderID]],Table3[orderID],Table3[discount])</f>
        <v>0</v>
      </c>
      <c r="M447" s="2">
        <f>SUM(Table1[[#This Row],[Sales]],Table1[[#This Row],[freight]])</f>
        <v>2210.54</v>
      </c>
      <c r="N447" s="3">
        <f>_xlfn.XLOOKUP(Table1[[#This Row],[orderID]],Table3[orderID],Table3[quantity])</f>
        <v>6</v>
      </c>
      <c r="O447" s="6" t="str">
        <f>_xlfn.XLOOKUP(Table1[[#This Row],[CustomerID]],customers!A:A,customers!B:B)</f>
        <v>White Clover Markets</v>
      </c>
      <c r="P447" s="6" t="str">
        <f>_xlfn.XLOOKUP(Table1[[#This Row],[shipperID]],Table6[shipperID],Table6[companyName])</f>
        <v>Federal Shipping</v>
      </c>
      <c r="Q447">
        <f>YEAR(Table1[[#This Row],[OrderDate]])</f>
        <v>2014</v>
      </c>
      <c r="R447">
        <f>MONTH(Table1[[#This Row],[OrderDate]])</f>
        <v>10</v>
      </c>
      <c r="S447" t="str">
        <f>"Q"&amp;ROUNDUP(Table1[[#This Row],[month]]/3,0)</f>
        <v>Q4</v>
      </c>
      <c r="T447" t="str">
        <f>CONCATENATE(Table1[[#This Row],[year]],"-",Table1[[#This Row],[Quarter]])</f>
        <v>2014-Q4</v>
      </c>
      <c r="U447" s="6" t="str">
        <f>IF(H446="","Pending",IF(Table1[[#This Row],[Days to ship]]&lt;Table1[[#This Row],[RequiredDate]],"On Time","Late"))</f>
        <v>On Time</v>
      </c>
      <c r="V447">
        <f>_xlfn.XLOOKUP(Table1[[#This Row],[orderID]],Table3[orderID],Table3[unitPrice])</f>
        <v>97</v>
      </c>
    </row>
    <row r="448" spans="1:22" x14ac:dyDescent="0.45">
      <c r="A448" s="3">
        <v>10694</v>
      </c>
      <c r="B448" s="6" t="s">
        <v>194</v>
      </c>
      <c r="C448" s="3">
        <v>8</v>
      </c>
      <c r="D448" s="6" t="str">
        <f>_xlfn.XLOOKUP(Table1[[#This Row],[EmployeeID]],Table4[employeeID],Table4[employeeName])</f>
        <v>Laura Callahan</v>
      </c>
      <c r="E448" s="1">
        <v>41918</v>
      </c>
      <c r="F448" s="1">
        <v>41946</v>
      </c>
      <c r="G448" s="1">
        <v>41921</v>
      </c>
      <c r="H448" s="3">
        <f>IF(Table1[[#This Row],[ShippedDate]]="","",IF(Table1[[#This Row],[OrderDate]]="","",Table1[[#This Row],[ShippedDate]]-Table1[[#This Row],[OrderDate]]))</f>
        <v>3</v>
      </c>
      <c r="I448" s="3">
        <v>3</v>
      </c>
      <c r="J448" s="2">
        <v>398.36</v>
      </c>
      <c r="K448" s="2">
        <f>SUMIF(order_details!A:A,Table1[[#This Row],[orderID]],order_details!F:F)</f>
        <v>4825</v>
      </c>
      <c r="L448" s="9">
        <f>_xlfn.XLOOKUP(Table1[[#This Row],[orderID]],Table3[orderID],Table3[discount])</f>
        <v>0</v>
      </c>
      <c r="M448" s="2">
        <f>SUM(Table1[[#This Row],[Sales]],Table1[[#This Row],[freight]])</f>
        <v>5223.3599999999997</v>
      </c>
      <c r="N448" s="3">
        <f>_xlfn.XLOOKUP(Table1[[#This Row],[orderID]],Table3[orderID],Table3[quantity])</f>
        <v>90</v>
      </c>
      <c r="O448" s="6" t="str">
        <f>_xlfn.XLOOKUP(Table1[[#This Row],[CustomerID]],customers!A:A,customers!B:B)</f>
        <v>QUICK-Stop</v>
      </c>
      <c r="P448" s="6" t="str">
        <f>_xlfn.XLOOKUP(Table1[[#This Row],[shipperID]],Table6[shipperID],Table6[companyName])</f>
        <v>Federal Shipping</v>
      </c>
      <c r="Q448">
        <f>YEAR(Table1[[#This Row],[OrderDate]])</f>
        <v>2014</v>
      </c>
      <c r="R448">
        <f>MONTH(Table1[[#This Row],[OrderDate]])</f>
        <v>10</v>
      </c>
      <c r="S448" t="str">
        <f>"Q"&amp;ROUNDUP(Table1[[#This Row],[month]]/3,0)</f>
        <v>Q4</v>
      </c>
      <c r="T448" t="str">
        <f>CONCATENATE(Table1[[#This Row],[year]],"-",Table1[[#This Row],[Quarter]])</f>
        <v>2014-Q4</v>
      </c>
      <c r="U448" s="6" t="str">
        <f>IF(H447="","Pending",IF(Table1[[#This Row],[Days to ship]]&lt;Table1[[#This Row],[RequiredDate]],"On Time","Late"))</f>
        <v>On Time</v>
      </c>
      <c r="V448">
        <f>_xlfn.XLOOKUP(Table1[[#This Row],[orderID]],Table3[orderID],Table3[unitPrice])</f>
        <v>30</v>
      </c>
    </row>
    <row r="449" spans="1:22" x14ac:dyDescent="0.45">
      <c r="A449" s="3">
        <v>10695</v>
      </c>
      <c r="B449" s="6" t="s">
        <v>204</v>
      </c>
      <c r="C449" s="3">
        <v>7</v>
      </c>
      <c r="D449" s="6" t="str">
        <f>_xlfn.XLOOKUP(Table1[[#This Row],[EmployeeID]],Table4[employeeID],Table4[employeeName])</f>
        <v>Robert King</v>
      </c>
      <c r="E449" s="1">
        <v>41919</v>
      </c>
      <c r="F449" s="1">
        <v>41961</v>
      </c>
      <c r="G449" s="1">
        <v>41926</v>
      </c>
      <c r="H449" s="3">
        <f>IF(Table1[[#This Row],[ShippedDate]]="","",IF(Table1[[#This Row],[OrderDate]]="","",Table1[[#This Row],[ShippedDate]]-Table1[[#This Row],[OrderDate]]))</f>
        <v>7</v>
      </c>
      <c r="I449" s="3">
        <v>1</v>
      </c>
      <c r="J449" s="2">
        <v>16.72</v>
      </c>
      <c r="K449" s="2">
        <f>SUMIF(order_details!A:A,Table1[[#This Row],[orderID]],order_details!F:F)</f>
        <v>642</v>
      </c>
      <c r="L449" s="9">
        <f>_xlfn.XLOOKUP(Table1[[#This Row],[orderID]],Table3[orderID],Table3[discount])</f>
        <v>0</v>
      </c>
      <c r="M449" s="2">
        <f>SUM(Table1[[#This Row],[Sales]],Table1[[#This Row],[freight]])</f>
        <v>658.72</v>
      </c>
      <c r="N449" s="3">
        <f>_xlfn.XLOOKUP(Table1[[#This Row],[orderID]],Table3[orderID],Table3[quantity])</f>
        <v>10</v>
      </c>
      <c r="O449" s="6" t="str">
        <f>_xlfn.XLOOKUP(Table1[[#This Row],[CustomerID]],customers!A:A,customers!B:B)</f>
        <v>Wilman Kala</v>
      </c>
      <c r="P449" s="6" t="str">
        <f>_xlfn.XLOOKUP(Table1[[#This Row],[shipperID]],Table6[shipperID],Table6[companyName])</f>
        <v>Speedy Express</v>
      </c>
      <c r="Q449">
        <f>YEAR(Table1[[#This Row],[OrderDate]])</f>
        <v>2014</v>
      </c>
      <c r="R449">
        <f>MONTH(Table1[[#This Row],[OrderDate]])</f>
        <v>10</v>
      </c>
      <c r="S449" t="str">
        <f>"Q"&amp;ROUNDUP(Table1[[#This Row],[month]]/3,0)</f>
        <v>Q4</v>
      </c>
      <c r="T449" t="str">
        <f>CONCATENATE(Table1[[#This Row],[year]],"-",Table1[[#This Row],[Quarter]])</f>
        <v>2014-Q4</v>
      </c>
      <c r="U449" s="6" t="str">
        <f>IF(H448="","Pending",IF(Table1[[#This Row],[Days to ship]]&lt;Table1[[#This Row],[RequiredDate]],"On Time","Late"))</f>
        <v>On Time</v>
      </c>
      <c r="V449">
        <f>_xlfn.XLOOKUP(Table1[[#This Row],[orderID]],Table3[orderID],Table3[unitPrice])</f>
        <v>40</v>
      </c>
    </row>
    <row r="450" spans="1:22" x14ac:dyDescent="0.45">
      <c r="A450" s="3">
        <v>10696</v>
      </c>
      <c r="B450" s="6" t="s">
        <v>164</v>
      </c>
      <c r="C450" s="3">
        <v>8</v>
      </c>
      <c r="D450" s="6" t="str">
        <f>_xlfn.XLOOKUP(Table1[[#This Row],[EmployeeID]],Table4[employeeID],Table4[employeeName])</f>
        <v>Laura Callahan</v>
      </c>
      <c r="E450" s="1">
        <v>41920</v>
      </c>
      <c r="F450" s="1">
        <v>41962</v>
      </c>
      <c r="G450" s="1">
        <v>41926</v>
      </c>
      <c r="H450" s="3">
        <f>IF(Table1[[#This Row],[ShippedDate]]="","",IF(Table1[[#This Row],[OrderDate]]="","",Table1[[#This Row],[ShippedDate]]-Table1[[#This Row],[OrderDate]]))</f>
        <v>6</v>
      </c>
      <c r="I450" s="3">
        <v>3</v>
      </c>
      <c r="J450" s="2">
        <v>102.55</v>
      </c>
      <c r="K450" s="2">
        <f>SUMIF(order_details!A:A,Table1[[#This Row],[orderID]],order_details!F:F)</f>
        <v>996</v>
      </c>
      <c r="L450" s="9">
        <f>_xlfn.XLOOKUP(Table1[[#This Row],[orderID]],Table3[orderID],Table3[discount])</f>
        <v>0</v>
      </c>
      <c r="M450" s="2">
        <f>SUM(Table1[[#This Row],[Sales]],Table1[[#This Row],[freight]])</f>
        <v>1098.55</v>
      </c>
      <c r="N450" s="3">
        <f>_xlfn.XLOOKUP(Table1[[#This Row],[orderID]],Table3[orderID],Table3[quantity])</f>
        <v>20</v>
      </c>
      <c r="O450" s="6" t="str">
        <f>_xlfn.XLOOKUP(Table1[[#This Row],[CustomerID]],customers!A:A,customers!B:B)</f>
        <v>White Clover Markets</v>
      </c>
      <c r="P450" s="6" t="str">
        <f>_xlfn.XLOOKUP(Table1[[#This Row],[shipperID]],Table6[shipperID],Table6[companyName])</f>
        <v>Federal Shipping</v>
      </c>
      <c r="Q450">
        <f>YEAR(Table1[[#This Row],[OrderDate]])</f>
        <v>2014</v>
      </c>
      <c r="R450">
        <f>MONTH(Table1[[#This Row],[OrderDate]])</f>
        <v>10</v>
      </c>
      <c r="S450" t="str">
        <f>"Q"&amp;ROUNDUP(Table1[[#This Row],[month]]/3,0)</f>
        <v>Q4</v>
      </c>
      <c r="T450" t="str">
        <f>CONCATENATE(Table1[[#This Row],[year]],"-",Table1[[#This Row],[Quarter]])</f>
        <v>2014-Q4</v>
      </c>
      <c r="U450" s="6" t="str">
        <f>IF(H449="","Pending",IF(Table1[[#This Row],[Days to ship]]&lt;Table1[[#This Row],[RequiredDate]],"On Time","Late"))</f>
        <v>On Time</v>
      </c>
      <c r="V450">
        <f>_xlfn.XLOOKUP(Table1[[#This Row],[orderID]],Table3[orderID],Table3[unitPrice])</f>
        <v>39</v>
      </c>
    </row>
    <row r="451" spans="1:22" x14ac:dyDescent="0.45">
      <c r="A451" s="3">
        <v>10697</v>
      </c>
      <c r="B451" s="6" t="s">
        <v>187</v>
      </c>
      <c r="C451" s="3">
        <v>3</v>
      </c>
      <c r="D451" s="6" t="str">
        <f>_xlfn.XLOOKUP(Table1[[#This Row],[EmployeeID]],Table4[employeeID],Table4[employeeName])</f>
        <v>Janet Leverling</v>
      </c>
      <c r="E451" s="1">
        <v>41920</v>
      </c>
      <c r="F451" s="1">
        <v>41948</v>
      </c>
      <c r="G451" s="1">
        <v>41926</v>
      </c>
      <c r="H451" s="3">
        <f>IF(Table1[[#This Row],[ShippedDate]]="","",IF(Table1[[#This Row],[OrderDate]]="","",Table1[[#This Row],[ShippedDate]]-Table1[[#This Row],[OrderDate]]))</f>
        <v>6</v>
      </c>
      <c r="I451" s="3">
        <v>1</v>
      </c>
      <c r="J451" s="2">
        <v>45.52</v>
      </c>
      <c r="K451" s="2">
        <f>SUMIF(order_details!A:A,Table1[[#This Row],[orderID]],order_details!F:F)</f>
        <v>805.42499999999995</v>
      </c>
      <c r="L451" s="9">
        <f>_xlfn.XLOOKUP(Table1[[#This Row],[orderID]],Table3[orderID],Table3[discount])</f>
        <v>0.25</v>
      </c>
      <c r="M451" s="2">
        <f>SUM(Table1[[#This Row],[Sales]],Table1[[#This Row],[freight]])</f>
        <v>850.94499999999994</v>
      </c>
      <c r="N451" s="3">
        <f>_xlfn.XLOOKUP(Table1[[#This Row],[orderID]],Table3[orderID],Table3[quantity])</f>
        <v>7</v>
      </c>
      <c r="O451" s="6" t="str">
        <f>_xlfn.XLOOKUP(Table1[[#This Row],[CustomerID]],customers!A:A,customers!B:B)</f>
        <v>LINO-Delicateses</v>
      </c>
      <c r="P451" s="6" t="str">
        <f>_xlfn.XLOOKUP(Table1[[#This Row],[shipperID]],Table6[shipperID],Table6[companyName])</f>
        <v>Speedy Express</v>
      </c>
      <c r="Q451">
        <f>YEAR(Table1[[#This Row],[OrderDate]])</f>
        <v>2014</v>
      </c>
      <c r="R451">
        <f>MONTH(Table1[[#This Row],[OrderDate]])</f>
        <v>10</v>
      </c>
      <c r="S451" t="str">
        <f>"Q"&amp;ROUNDUP(Table1[[#This Row],[month]]/3,0)</f>
        <v>Q4</v>
      </c>
      <c r="T451" t="str">
        <f>CONCATENATE(Table1[[#This Row],[year]],"-",Table1[[#This Row],[Quarter]])</f>
        <v>2014-Q4</v>
      </c>
      <c r="U451" s="6" t="str">
        <f>IF(H450="","Pending",IF(Table1[[#This Row],[Days to ship]]&lt;Table1[[#This Row],[RequiredDate]],"On Time","Late"))</f>
        <v>On Time</v>
      </c>
      <c r="V451">
        <f>_xlfn.XLOOKUP(Table1[[#This Row],[orderID]],Table3[orderID],Table3[unitPrice])</f>
        <v>9.1999999999999993</v>
      </c>
    </row>
    <row r="452" spans="1:22" x14ac:dyDescent="0.45">
      <c r="A452" s="3">
        <v>10698</v>
      </c>
      <c r="B452" s="6" t="s">
        <v>158</v>
      </c>
      <c r="C452" s="3">
        <v>4</v>
      </c>
      <c r="D452" s="6" t="str">
        <f>_xlfn.XLOOKUP(Table1[[#This Row],[EmployeeID]],Table4[employeeID],Table4[employeeName])</f>
        <v>Margaret Peacock</v>
      </c>
      <c r="E452" s="1">
        <v>41921</v>
      </c>
      <c r="F452" s="1">
        <v>41949</v>
      </c>
      <c r="G452" s="1">
        <v>41929</v>
      </c>
      <c r="H452" s="3">
        <f>IF(Table1[[#This Row],[ShippedDate]]="","",IF(Table1[[#This Row],[OrderDate]]="","",Table1[[#This Row],[ShippedDate]]-Table1[[#This Row],[OrderDate]]))</f>
        <v>8</v>
      </c>
      <c r="I452" s="3">
        <v>1</v>
      </c>
      <c r="J452" s="2">
        <v>272.47000000000003</v>
      </c>
      <c r="K452" s="2">
        <f>SUMIF(order_details!A:A,Table1[[#This Row],[orderID]],order_details!F:F)</f>
        <v>3436.4434999999994</v>
      </c>
      <c r="L452" s="9">
        <f>_xlfn.XLOOKUP(Table1[[#This Row],[orderID]],Table3[orderID],Table3[discount])</f>
        <v>0</v>
      </c>
      <c r="M452" s="2">
        <f>SUM(Table1[[#This Row],[Sales]],Table1[[#This Row],[freight]])</f>
        <v>3708.9134999999997</v>
      </c>
      <c r="N452" s="3">
        <f>_xlfn.XLOOKUP(Table1[[#This Row],[orderID]],Table3[orderID],Table3[quantity])</f>
        <v>15</v>
      </c>
      <c r="O452" s="6" t="str">
        <f>_xlfn.XLOOKUP(Table1[[#This Row],[CustomerID]],customers!A:A,customers!B:B)</f>
        <v>Ernst Handel</v>
      </c>
      <c r="P452" s="6" t="str">
        <f>_xlfn.XLOOKUP(Table1[[#This Row],[shipperID]],Table6[shipperID],Table6[companyName])</f>
        <v>Speedy Express</v>
      </c>
      <c r="Q452">
        <f>YEAR(Table1[[#This Row],[OrderDate]])</f>
        <v>2014</v>
      </c>
      <c r="R452">
        <f>MONTH(Table1[[#This Row],[OrderDate]])</f>
        <v>10</v>
      </c>
      <c r="S452" t="str">
        <f>"Q"&amp;ROUNDUP(Table1[[#This Row],[month]]/3,0)</f>
        <v>Q4</v>
      </c>
      <c r="T452" t="str">
        <f>CONCATENATE(Table1[[#This Row],[year]],"-",Table1[[#This Row],[Quarter]])</f>
        <v>2014-Q4</v>
      </c>
      <c r="U452" s="6" t="str">
        <f>IF(H451="","Pending",IF(Table1[[#This Row],[Days to ship]]&lt;Table1[[#This Row],[RequiredDate]],"On Time","Late"))</f>
        <v>On Time</v>
      </c>
      <c r="V452">
        <f>_xlfn.XLOOKUP(Table1[[#This Row],[orderID]],Table3[orderID],Table3[unitPrice])</f>
        <v>21</v>
      </c>
    </row>
    <row r="453" spans="1:22" x14ac:dyDescent="0.45">
      <c r="A453" s="3">
        <v>10699</v>
      </c>
      <c r="B453" s="6" t="s">
        <v>218</v>
      </c>
      <c r="C453" s="3">
        <v>3</v>
      </c>
      <c r="D453" s="6" t="str">
        <f>_xlfn.XLOOKUP(Table1[[#This Row],[EmployeeID]],Table4[employeeID],Table4[employeeName])</f>
        <v>Janet Leverling</v>
      </c>
      <c r="E453" s="1">
        <v>41921</v>
      </c>
      <c r="F453" s="1">
        <v>41949</v>
      </c>
      <c r="G453" s="1">
        <v>41925</v>
      </c>
      <c r="H453" s="3">
        <f>IF(Table1[[#This Row],[ShippedDate]]="","",IF(Table1[[#This Row],[OrderDate]]="","",Table1[[#This Row],[ShippedDate]]-Table1[[#This Row],[OrderDate]]))</f>
        <v>4</v>
      </c>
      <c r="I453" s="3">
        <v>3</v>
      </c>
      <c r="J453" s="2">
        <v>0.57999999999999996</v>
      </c>
      <c r="K453" s="2">
        <f>SUMIF(order_details!A:A,Table1[[#This Row],[orderID]],order_details!F:F)</f>
        <v>114</v>
      </c>
      <c r="L453" s="9">
        <f>_xlfn.XLOOKUP(Table1[[#This Row],[orderID]],Table3[orderID],Table3[discount])</f>
        <v>0</v>
      </c>
      <c r="M453" s="2">
        <f>SUM(Table1[[#This Row],[Sales]],Table1[[#This Row],[freight]])</f>
        <v>114.58</v>
      </c>
      <c r="N453" s="3">
        <f>_xlfn.XLOOKUP(Table1[[#This Row],[orderID]],Table3[orderID],Table3[quantity])</f>
        <v>12</v>
      </c>
      <c r="O453" s="6" t="str">
        <f>_xlfn.XLOOKUP(Table1[[#This Row],[CustomerID]],customers!A:A,customers!B:B)</f>
        <v>Morgenstern Gesundkost</v>
      </c>
      <c r="P453" s="6" t="str">
        <f>_xlfn.XLOOKUP(Table1[[#This Row],[shipperID]],Table6[shipperID],Table6[companyName])</f>
        <v>Federal Shipping</v>
      </c>
      <c r="Q453">
        <f>YEAR(Table1[[#This Row],[OrderDate]])</f>
        <v>2014</v>
      </c>
      <c r="R453">
        <f>MONTH(Table1[[#This Row],[OrderDate]])</f>
        <v>10</v>
      </c>
      <c r="S453" t="str">
        <f>"Q"&amp;ROUNDUP(Table1[[#This Row],[month]]/3,0)</f>
        <v>Q4</v>
      </c>
      <c r="T453" t="str">
        <f>CONCATENATE(Table1[[#This Row],[year]],"-",Table1[[#This Row],[Quarter]])</f>
        <v>2014-Q4</v>
      </c>
      <c r="U453" s="6" t="str">
        <f>IF(H452="","Pending",IF(Table1[[#This Row],[Days to ship]]&lt;Table1[[#This Row],[RequiredDate]],"On Time","Late"))</f>
        <v>On Time</v>
      </c>
      <c r="V453">
        <f>_xlfn.XLOOKUP(Table1[[#This Row],[orderID]],Table3[orderID],Table3[unitPrice])</f>
        <v>9.5</v>
      </c>
    </row>
    <row r="454" spans="1:22" x14ac:dyDescent="0.45">
      <c r="A454" s="3">
        <v>10700</v>
      </c>
      <c r="B454" s="6" t="s">
        <v>165</v>
      </c>
      <c r="C454" s="3">
        <v>3</v>
      </c>
      <c r="D454" s="6" t="str">
        <f>_xlfn.XLOOKUP(Table1[[#This Row],[EmployeeID]],Table4[employeeID],Table4[employeeName])</f>
        <v>Janet Leverling</v>
      </c>
      <c r="E454" s="1">
        <v>41922</v>
      </c>
      <c r="F454" s="1">
        <v>41950</v>
      </c>
      <c r="G454" s="1">
        <v>41928</v>
      </c>
      <c r="H454" s="3">
        <f>IF(Table1[[#This Row],[ShippedDate]]="","",IF(Table1[[#This Row],[OrderDate]]="","",Table1[[#This Row],[ShippedDate]]-Table1[[#This Row],[OrderDate]]))</f>
        <v>6</v>
      </c>
      <c r="I454" s="3">
        <v>1</v>
      </c>
      <c r="J454" s="2">
        <v>65.099999999999994</v>
      </c>
      <c r="K454" s="2">
        <f>SUMIF(order_details!A:A,Table1[[#This Row],[orderID]],order_details!F:F)</f>
        <v>1638.4</v>
      </c>
      <c r="L454" s="9">
        <f>_xlfn.XLOOKUP(Table1[[#This Row],[orderID]],Table3[orderID],Table3[discount])</f>
        <v>0.2</v>
      </c>
      <c r="M454" s="2">
        <f>SUM(Table1[[#This Row],[Sales]],Table1[[#This Row],[freight]])</f>
        <v>1703.5</v>
      </c>
      <c r="N454" s="3">
        <f>_xlfn.XLOOKUP(Table1[[#This Row],[orderID]],Table3[orderID],Table3[quantity])</f>
        <v>5</v>
      </c>
      <c r="O454" s="6" t="str">
        <f>_xlfn.XLOOKUP(Table1[[#This Row],[CustomerID]],customers!A:A,customers!B:B)</f>
        <v>Save-a-lot Markets</v>
      </c>
      <c r="P454" s="6" t="str">
        <f>_xlfn.XLOOKUP(Table1[[#This Row],[shipperID]],Table6[shipperID],Table6[companyName])</f>
        <v>Speedy Express</v>
      </c>
      <c r="Q454">
        <f>YEAR(Table1[[#This Row],[OrderDate]])</f>
        <v>2014</v>
      </c>
      <c r="R454">
        <f>MONTH(Table1[[#This Row],[OrderDate]])</f>
        <v>10</v>
      </c>
      <c r="S454" t="str">
        <f>"Q"&amp;ROUNDUP(Table1[[#This Row],[month]]/3,0)</f>
        <v>Q4</v>
      </c>
      <c r="T454" t="str">
        <f>CONCATENATE(Table1[[#This Row],[year]],"-",Table1[[#This Row],[Quarter]])</f>
        <v>2014-Q4</v>
      </c>
      <c r="U454" s="6" t="str">
        <f>IF(H453="","Pending",IF(Table1[[#This Row],[Days to ship]]&lt;Table1[[#This Row],[RequiredDate]],"On Time","Late"))</f>
        <v>On Time</v>
      </c>
      <c r="V454">
        <f>_xlfn.XLOOKUP(Table1[[#This Row],[orderID]],Table3[orderID],Table3[unitPrice])</f>
        <v>18</v>
      </c>
    </row>
    <row r="455" spans="1:22" x14ac:dyDescent="0.45">
      <c r="A455" s="3">
        <v>10701</v>
      </c>
      <c r="B455" s="6" t="s">
        <v>166</v>
      </c>
      <c r="C455" s="3">
        <v>6</v>
      </c>
      <c r="D455" s="6" t="str">
        <f>_xlfn.XLOOKUP(Table1[[#This Row],[EmployeeID]],Table4[employeeID],Table4[employeeName])</f>
        <v>Michael Suyama</v>
      </c>
      <c r="E455" s="1">
        <v>41925</v>
      </c>
      <c r="F455" s="1">
        <v>41939</v>
      </c>
      <c r="G455" s="1">
        <v>41927</v>
      </c>
      <c r="H455" s="3">
        <f>IF(Table1[[#This Row],[ShippedDate]]="","",IF(Table1[[#This Row],[OrderDate]]="","",Table1[[#This Row],[ShippedDate]]-Table1[[#This Row],[OrderDate]]))</f>
        <v>2</v>
      </c>
      <c r="I455" s="3">
        <v>3</v>
      </c>
      <c r="J455" s="2">
        <v>220.31</v>
      </c>
      <c r="K455" s="2">
        <f>SUMIF(order_details!A:A,Table1[[#This Row],[orderID]],order_details!F:F)</f>
        <v>2864.5</v>
      </c>
      <c r="L455" s="9">
        <f>_xlfn.XLOOKUP(Table1[[#This Row],[orderID]],Table3[orderID],Table3[discount])</f>
        <v>0.15</v>
      </c>
      <c r="M455" s="2">
        <f>SUM(Table1[[#This Row],[Sales]],Table1[[#This Row],[freight]])</f>
        <v>3084.81</v>
      </c>
      <c r="N455" s="3">
        <f>_xlfn.XLOOKUP(Table1[[#This Row],[orderID]],Table3[orderID],Table3[quantity])</f>
        <v>42</v>
      </c>
      <c r="O455" s="6" t="str">
        <f>_xlfn.XLOOKUP(Table1[[#This Row],[CustomerID]],customers!A:A,customers!B:B)</f>
        <v>Hungry Owl All-Night Grocers</v>
      </c>
      <c r="P455" s="6" t="str">
        <f>_xlfn.XLOOKUP(Table1[[#This Row],[shipperID]],Table6[shipperID],Table6[companyName])</f>
        <v>Federal Shipping</v>
      </c>
      <c r="Q455">
        <f>YEAR(Table1[[#This Row],[OrderDate]])</f>
        <v>2014</v>
      </c>
      <c r="R455">
        <f>MONTH(Table1[[#This Row],[OrderDate]])</f>
        <v>10</v>
      </c>
      <c r="S455" t="str">
        <f>"Q"&amp;ROUNDUP(Table1[[#This Row],[month]]/3,0)</f>
        <v>Q4</v>
      </c>
      <c r="T455" t="str">
        <f>CONCATENATE(Table1[[#This Row],[year]],"-",Table1[[#This Row],[Quarter]])</f>
        <v>2014-Q4</v>
      </c>
      <c r="U455" s="6" t="str">
        <f>IF(H454="","Pending",IF(Table1[[#This Row],[Days to ship]]&lt;Table1[[#This Row],[RequiredDate]],"On Time","Late"))</f>
        <v>On Time</v>
      </c>
      <c r="V455">
        <f>_xlfn.XLOOKUP(Table1[[#This Row],[orderID]],Table3[orderID],Table3[unitPrice])</f>
        <v>55</v>
      </c>
    </row>
    <row r="456" spans="1:22" x14ac:dyDescent="0.45">
      <c r="A456" s="3">
        <v>10702</v>
      </c>
      <c r="B456" s="6" t="s">
        <v>202</v>
      </c>
      <c r="C456" s="3">
        <v>4</v>
      </c>
      <c r="D456" s="6" t="str">
        <f>_xlfn.XLOOKUP(Table1[[#This Row],[EmployeeID]],Table4[employeeID],Table4[employeeName])</f>
        <v>Margaret Peacock</v>
      </c>
      <c r="E456" s="1">
        <v>41925</v>
      </c>
      <c r="F456" s="1">
        <v>41967</v>
      </c>
      <c r="G456" s="1">
        <v>41933</v>
      </c>
      <c r="H456" s="3">
        <f>IF(Table1[[#This Row],[ShippedDate]]="","",IF(Table1[[#This Row],[OrderDate]]="","",Table1[[#This Row],[ShippedDate]]-Table1[[#This Row],[OrderDate]]))</f>
        <v>8</v>
      </c>
      <c r="I456" s="3">
        <v>1</v>
      </c>
      <c r="J456" s="2">
        <v>23.94</v>
      </c>
      <c r="K456" s="2">
        <f>SUMIF(order_details!A:A,Table1[[#This Row],[orderID]],order_details!F:F)</f>
        <v>330</v>
      </c>
      <c r="L456" s="9">
        <f>_xlfn.XLOOKUP(Table1[[#This Row],[orderID]],Table3[orderID],Table3[discount])</f>
        <v>0</v>
      </c>
      <c r="M456" s="2">
        <f>SUM(Table1[[#This Row],[Sales]],Table1[[#This Row],[freight]])</f>
        <v>353.94</v>
      </c>
      <c r="N456" s="3">
        <f>_xlfn.XLOOKUP(Table1[[#This Row],[orderID]],Table3[orderID],Table3[quantity])</f>
        <v>6</v>
      </c>
      <c r="O456" s="6" t="str">
        <f>_xlfn.XLOOKUP(Table1[[#This Row],[CustomerID]],customers!A:A,customers!B:B)</f>
        <v>Alfreds Futterkiste</v>
      </c>
      <c r="P456" s="6" t="str">
        <f>_xlfn.XLOOKUP(Table1[[#This Row],[shipperID]],Table6[shipperID],Table6[companyName])</f>
        <v>Speedy Express</v>
      </c>
      <c r="Q456">
        <f>YEAR(Table1[[#This Row],[OrderDate]])</f>
        <v>2014</v>
      </c>
      <c r="R456">
        <f>MONTH(Table1[[#This Row],[OrderDate]])</f>
        <v>10</v>
      </c>
      <c r="S456" t="str">
        <f>"Q"&amp;ROUNDUP(Table1[[#This Row],[month]]/3,0)</f>
        <v>Q4</v>
      </c>
      <c r="T456" t="str">
        <f>CONCATENATE(Table1[[#This Row],[year]],"-",Table1[[#This Row],[Quarter]])</f>
        <v>2014-Q4</v>
      </c>
      <c r="U456" s="6" t="str">
        <f>IF(H455="","Pending",IF(Table1[[#This Row],[Days to ship]]&lt;Table1[[#This Row],[RequiredDate]],"On Time","Late"))</f>
        <v>On Time</v>
      </c>
      <c r="V456">
        <f>_xlfn.XLOOKUP(Table1[[#This Row],[orderID]],Table3[orderID],Table3[unitPrice])</f>
        <v>10</v>
      </c>
    </row>
    <row r="457" spans="1:22" x14ac:dyDescent="0.45">
      <c r="A457" s="3">
        <v>10703</v>
      </c>
      <c r="B457" s="6" t="s">
        <v>179</v>
      </c>
      <c r="C457" s="3">
        <v>6</v>
      </c>
      <c r="D457" s="6" t="str">
        <f>_xlfn.XLOOKUP(Table1[[#This Row],[EmployeeID]],Table4[employeeID],Table4[employeeName])</f>
        <v>Michael Suyama</v>
      </c>
      <c r="E457" s="1">
        <v>41926</v>
      </c>
      <c r="F457" s="1">
        <v>41954</v>
      </c>
      <c r="G457" s="1">
        <v>41932</v>
      </c>
      <c r="H457" s="3">
        <f>IF(Table1[[#This Row],[ShippedDate]]="","",IF(Table1[[#This Row],[OrderDate]]="","",Table1[[#This Row],[ShippedDate]]-Table1[[#This Row],[OrderDate]]))</f>
        <v>6</v>
      </c>
      <c r="I457" s="3">
        <v>2</v>
      </c>
      <c r="J457" s="2">
        <v>152.30000000000001</v>
      </c>
      <c r="K457" s="2">
        <f>SUMIF(order_details!A:A,Table1[[#This Row],[orderID]],order_details!F:F)</f>
        <v>2545</v>
      </c>
      <c r="L457" s="9">
        <f>_xlfn.XLOOKUP(Table1[[#This Row],[orderID]],Table3[orderID],Table3[discount])</f>
        <v>0</v>
      </c>
      <c r="M457" s="2">
        <f>SUM(Table1[[#This Row],[Sales]],Table1[[#This Row],[freight]])</f>
        <v>2697.3</v>
      </c>
      <c r="N457" s="3">
        <f>_xlfn.XLOOKUP(Table1[[#This Row],[orderID]],Table3[orderID],Table3[quantity])</f>
        <v>5</v>
      </c>
      <c r="O457" s="6" t="str">
        <f>_xlfn.XLOOKUP(Table1[[#This Row],[CustomerID]],customers!A:A,customers!B:B)</f>
        <v>Folk och fä HB</v>
      </c>
      <c r="P457" s="6" t="str">
        <f>_xlfn.XLOOKUP(Table1[[#This Row],[shipperID]],Table6[shipperID],Table6[companyName])</f>
        <v>United Package</v>
      </c>
      <c r="Q457">
        <f>YEAR(Table1[[#This Row],[OrderDate]])</f>
        <v>2014</v>
      </c>
      <c r="R457">
        <f>MONTH(Table1[[#This Row],[OrderDate]])</f>
        <v>10</v>
      </c>
      <c r="S457" t="str">
        <f>"Q"&amp;ROUNDUP(Table1[[#This Row],[month]]/3,0)</f>
        <v>Q4</v>
      </c>
      <c r="T457" t="str">
        <f>CONCATENATE(Table1[[#This Row],[year]],"-",Table1[[#This Row],[Quarter]])</f>
        <v>2014-Q4</v>
      </c>
      <c r="U457" s="6" t="str">
        <f>IF(H456="","Pending",IF(Table1[[#This Row],[Days to ship]]&lt;Table1[[#This Row],[RequiredDate]],"On Time","Late"))</f>
        <v>On Time</v>
      </c>
      <c r="V457">
        <f>_xlfn.XLOOKUP(Table1[[#This Row],[orderID]],Table3[orderID],Table3[unitPrice])</f>
        <v>19</v>
      </c>
    </row>
    <row r="458" spans="1:22" x14ac:dyDescent="0.45">
      <c r="A458" s="3">
        <v>10704</v>
      </c>
      <c r="B458" s="6" t="s">
        <v>162</v>
      </c>
      <c r="C458" s="3">
        <v>6</v>
      </c>
      <c r="D458" s="6" t="str">
        <f>_xlfn.XLOOKUP(Table1[[#This Row],[EmployeeID]],Table4[employeeID],Table4[employeeName])</f>
        <v>Michael Suyama</v>
      </c>
      <c r="E458" s="1">
        <v>41926</v>
      </c>
      <c r="F458" s="1">
        <v>41954</v>
      </c>
      <c r="G458" s="1">
        <v>41950</v>
      </c>
      <c r="H458" s="3">
        <f>IF(Table1[[#This Row],[ShippedDate]]="","",IF(Table1[[#This Row],[OrderDate]]="","",Table1[[#This Row],[ShippedDate]]-Table1[[#This Row],[OrderDate]]))</f>
        <v>24</v>
      </c>
      <c r="I458" s="3">
        <v>1</v>
      </c>
      <c r="J458" s="2">
        <v>4.78</v>
      </c>
      <c r="K458" s="2">
        <f>SUMIF(order_details!A:A,Table1[[#This Row],[orderID]],order_details!F:F)</f>
        <v>595.5</v>
      </c>
      <c r="L458" s="9">
        <f>_xlfn.XLOOKUP(Table1[[#This Row],[orderID]],Table3[orderID],Table3[discount])</f>
        <v>0</v>
      </c>
      <c r="M458" s="2">
        <f>SUM(Table1[[#This Row],[Sales]],Table1[[#This Row],[freight]])</f>
        <v>600.28</v>
      </c>
      <c r="N458" s="3">
        <f>_xlfn.XLOOKUP(Table1[[#This Row],[orderID]],Table3[orderID],Table3[quantity])</f>
        <v>6</v>
      </c>
      <c r="O458" s="6" t="str">
        <f>_xlfn.XLOOKUP(Table1[[#This Row],[CustomerID]],customers!A:A,customers!B:B)</f>
        <v>Queen Cozinha</v>
      </c>
      <c r="P458" s="6" t="str">
        <f>_xlfn.XLOOKUP(Table1[[#This Row],[shipperID]],Table6[shipperID],Table6[companyName])</f>
        <v>Speedy Express</v>
      </c>
      <c r="Q458">
        <f>YEAR(Table1[[#This Row],[OrderDate]])</f>
        <v>2014</v>
      </c>
      <c r="R458">
        <f>MONTH(Table1[[#This Row],[OrderDate]])</f>
        <v>10</v>
      </c>
      <c r="S458" t="str">
        <f>"Q"&amp;ROUNDUP(Table1[[#This Row],[month]]/3,0)</f>
        <v>Q4</v>
      </c>
      <c r="T458" t="str">
        <f>CONCATENATE(Table1[[#This Row],[year]],"-",Table1[[#This Row],[Quarter]])</f>
        <v>2014-Q4</v>
      </c>
      <c r="U458" s="6" t="str">
        <f>IF(H457="","Pending",IF(Table1[[#This Row],[Days to ship]]&lt;Table1[[#This Row],[RequiredDate]],"On Time","Late"))</f>
        <v>On Time</v>
      </c>
      <c r="V458">
        <f>_xlfn.XLOOKUP(Table1[[#This Row],[orderID]],Table3[orderID],Table3[unitPrice])</f>
        <v>22</v>
      </c>
    </row>
    <row r="459" spans="1:22" x14ac:dyDescent="0.45">
      <c r="A459" s="3">
        <v>10705</v>
      </c>
      <c r="B459" s="6" t="s">
        <v>174</v>
      </c>
      <c r="C459" s="3">
        <v>9</v>
      </c>
      <c r="D459" s="6" t="str">
        <f>_xlfn.XLOOKUP(Table1[[#This Row],[EmployeeID]],Table4[employeeID],Table4[employeeName])</f>
        <v>Anne Dodsworth</v>
      </c>
      <c r="E459" s="1">
        <v>41927</v>
      </c>
      <c r="F459" s="1">
        <v>41955</v>
      </c>
      <c r="G459" s="1">
        <v>41961</v>
      </c>
      <c r="H459" s="3">
        <f>IF(Table1[[#This Row],[ShippedDate]]="","",IF(Table1[[#This Row],[OrderDate]]="","",Table1[[#This Row],[ShippedDate]]-Table1[[#This Row],[OrderDate]]))</f>
        <v>34</v>
      </c>
      <c r="I459" s="3">
        <v>2</v>
      </c>
      <c r="J459" s="2">
        <v>3.52</v>
      </c>
      <c r="K459" s="2">
        <f>SUMIF(order_details!A:A,Table1[[#This Row],[orderID]],order_details!F:F)</f>
        <v>378</v>
      </c>
      <c r="L459" s="9">
        <f>_xlfn.XLOOKUP(Table1[[#This Row],[orderID]],Table3[orderID],Table3[discount])</f>
        <v>0</v>
      </c>
      <c r="M459" s="2">
        <f>SUM(Table1[[#This Row],[Sales]],Table1[[#This Row],[freight]])</f>
        <v>381.52</v>
      </c>
      <c r="N459" s="3">
        <f>_xlfn.XLOOKUP(Table1[[#This Row],[orderID]],Table3[orderID],Table3[quantity])</f>
        <v>20</v>
      </c>
      <c r="O459" s="6" t="str">
        <f>_xlfn.XLOOKUP(Table1[[#This Row],[CustomerID]],customers!A:A,customers!B:B)</f>
        <v>HILARION-Abastos</v>
      </c>
      <c r="P459" s="6" t="str">
        <f>_xlfn.XLOOKUP(Table1[[#This Row],[shipperID]],Table6[shipperID],Table6[companyName])</f>
        <v>United Package</v>
      </c>
      <c r="Q459">
        <f>YEAR(Table1[[#This Row],[OrderDate]])</f>
        <v>2014</v>
      </c>
      <c r="R459">
        <f>MONTH(Table1[[#This Row],[OrderDate]])</f>
        <v>10</v>
      </c>
      <c r="S459" t="str">
        <f>"Q"&amp;ROUNDUP(Table1[[#This Row],[month]]/3,0)</f>
        <v>Q4</v>
      </c>
      <c r="T459" t="str">
        <f>CONCATENATE(Table1[[#This Row],[year]],"-",Table1[[#This Row],[Quarter]])</f>
        <v>2014-Q4</v>
      </c>
      <c r="U459" s="6" t="str">
        <f>IF(H458="","Pending",IF(Table1[[#This Row],[Days to ship]]&lt;Table1[[#This Row],[RequiredDate]],"On Time","Late"))</f>
        <v>On Time</v>
      </c>
      <c r="V459">
        <f>_xlfn.XLOOKUP(Table1[[#This Row],[orderID]],Table3[orderID],Table3[unitPrice])</f>
        <v>12.5</v>
      </c>
    </row>
    <row r="460" spans="1:22" x14ac:dyDescent="0.45">
      <c r="A460" s="3">
        <v>10706</v>
      </c>
      <c r="B460" s="6" t="s">
        <v>190</v>
      </c>
      <c r="C460" s="3">
        <v>8</v>
      </c>
      <c r="D460" s="6" t="str">
        <f>_xlfn.XLOOKUP(Table1[[#This Row],[EmployeeID]],Table4[employeeID],Table4[employeeName])</f>
        <v>Laura Callahan</v>
      </c>
      <c r="E460" s="1">
        <v>41928</v>
      </c>
      <c r="F460" s="1">
        <v>41956</v>
      </c>
      <c r="G460" s="1">
        <v>41933</v>
      </c>
      <c r="H460" s="3">
        <f>IF(Table1[[#This Row],[ShippedDate]]="","",IF(Table1[[#This Row],[OrderDate]]="","",Table1[[#This Row],[ShippedDate]]-Table1[[#This Row],[OrderDate]]))</f>
        <v>5</v>
      </c>
      <c r="I460" s="3">
        <v>3</v>
      </c>
      <c r="J460" s="2">
        <v>135.63</v>
      </c>
      <c r="K460" s="2">
        <f>SUMIF(order_details!A:A,Table1[[#This Row],[orderID]],order_details!F:F)</f>
        <v>1893</v>
      </c>
      <c r="L460" s="9">
        <f>_xlfn.XLOOKUP(Table1[[#This Row],[orderID]],Table3[orderID],Table3[discount])</f>
        <v>0</v>
      </c>
      <c r="M460" s="2">
        <f>SUM(Table1[[#This Row],[Sales]],Table1[[#This Row],[freight]])</f>
        <v>2028.63</v>
      </c>
      <c r="N460" s="3">
        <f>_xlfn.XLOOKUP(Table1[[#This Row],[orderID]],Table3[orderID],Table3[quantity])</f>
        <v>20</v>
      </c>
      <c r="O460" s="6" t="str">
        <f>_xlfn.XLOOKUP(Table1[[#This Row],[CustomerID]],customers!A:A,customers!B:B)</f>
        <v>Old World Delicatessen</v>
      </c>
      <c r="P460" s="6" t="str">
        <f>_xlfn.XLOOKUP(Table1[[#This Row],[shipperID]],Table6[shipperID],Table6[companyName])</f>
        <v>Federal Shipping</v>
      </c>
      <c r="Q460">
        <f>YEAR(Table1[[#This Row],[OrderDate]])</f>
        <v>2014</v>
      </c>
      <c r="R460">
        <f>MONTH(Table1[[#This Row],[OrderDate]])</f>
        <v>10</v>
      </c>
      <c r="S460" t="str">
        <f>"Q"&amp;ROUNDUP(Table1[[#This Row],[month]]/3,0)</f>
        <v>Q4</v>
      </c>
      <c r="T460" t="str">
        <f>CONCATENATE(Table1[[#This Row],[year]],"-",Table1[[#This Row],[Quarter]])</f>
        <v>2014-Q4</v>
      </c>
      <c r="U460" s="6" t="str">
        <f>IF(H459="","Pending",IF(Table1[[#This Row],[Days to ship]]&lt;Table1[[#This Row],[RequiredDate]],"On Time","Late"))</f>
        <v>On Time</v>
      </c>
      <c r="V460">
        <f>_xlfn.XLOOKUP(Table1[[#This Row],[orderID]],Table3[orderID],Table3[unitPrice])</f>
        <v>17.45</v>
      </c>
    </row>
    <row r="461" spans="1:22" x14ac:dyDescent="0.45">
      <c r="A461" s="3">
        <v>10707</v>
      </c>
      <c r="B461" s="6" t="s">
        <v>198</v>
      </c>
      <c r="C461" s="3">
        <v>4</v>
      </c>
      <c r="D461" s="6" t="str">
        <f>_xlfn.XLOOKUP(Table1[[#This Row],[EmployeeID]],Table4[employeeID],Table4[employeeName])</f>
        <v>Margaret Peacock</v>
      </c>
      <c r="E461" s="1">
        <v>41928</v>
      </c>
      <c r="F461" s="1">
        <v>41942</v>
      </c>
      <c r="G461" s="1">
        <v>41935</v>
      </c>
      <c r="H461" s="3">
        <f>IF(Table1[[#This Row],[ShippedDate]]="","",IF(Table1[[#This Row],[OrderDate]]="","",Table1[[#This Row],[ShippedDate]]-Table1[[#This Row],[OrderDate]]))</f>
        <v>7</v>
      </c>
      <c r="I461" s="3">
        <v>3</v>
      </c>
      <c r="J461" s="2">
        <v>21.74</v>
      </c>
      <c r="K461" s="2">
        <f>SUMIF(order_details!A:A,Table1[[#This Row],[orderID]],order_details!F:F)</f>
        <v>1641</v>
      </c>
      <c r="L461" s="9">
        <f>_xlfn.XLOOKUP(Table1[[#This Row],[orderID]],Table3[orderID],Table3[discount])</f>
        <v>0</v>
      </c>
      <c r="M461" s="2">
        <f>SUM(Table1[[#This Row],[Sales]],Table1[[#This Row],[freight]])</f>
        <v>1662.74</v>
      </c>
      <c r="N461" s="3">
        <f>_xlfn.XLOOKUP(Table1[[#This Row],[orderID]],Table3[orderID],Table3[quantity])</f>
        <v>21</v>
      </c>
      <c r="O461" s="6" t="str">
        <f>_xlfn.XLOOKUP(Table1[[#This Row],[CustomerID]],customers!A:A,customers!B:B)</f>
        <v>Around the Horn</v>
      </c>
      <c r="P461" s="6" t="str">
        <f>_xlfn.XLOOKUP(Table1[[#This Row],[shipperID]],Table6[shipperID],Table6[companyName])</f>
        <v>Federal Shipping</v>
      </c>
      <c r="Q461">
        <f>YEAR(Table1[[#This Row],[OrderDate]])</f>
        <v>2014</v>
      </c>
      <c r="R461">
        <f>MONTH(Table1[[#This Row],[OrderDate]])</f>
        <v>10</v>
      </c>
      <c r="S461" t="str">
        <f>"Q"&amp;ROUNDUP(Table1[[#This Row],[month]]/3,0)</f>
        <v>Q4</v>
      </c>
      <c r="T461" t="str">
        <f>CONCATENATE(Table1[[#This Row],[year]],"-",Table1[[#This Row],[Quarter]])</f>
        <v>2014-Q4</v>
      </c>
      <c r="U461" s="6" t="str">
        <f>IF(H460="","Pending",IF(Table1[[#This Row],[Days to ship]]&lt;Table1[[#This Row],[RequiredDate]],"On Time","Late"))</f>
        <v>On Time</v>
      </c>
      <c r="V461">
        <f>_xlfn.XLOOKUP(Table1[[#This Row],[orderID]],Table3[orderID],Table3[unitPrice])</f>
        <v>24</v>
      </c>
    </row>
    <row r="462" spans="1:22" x14ac:dyDescent="0.45">
      <c r="A462" s="3">
        <v>10708</v>
      </c>
      <c r="B462" s="6" t="s">
        <v>208</v>
      </c>
      <c r="C462" s="3">
        <v>6</v>
      </c>
      <c r="D462" s="6" t="str">
        <f>_xlfn.XLOOKUP(Table1[[#This Row],[EmployeeID]],Table4[employeeID],Table4[employeeName])</f>
        <v>Michael Suyama</v>
      </c>
      <c r="E462" s="1">
        <v>41929</v>
      </c>
      <c r="F462" s="1">
        <v>41971</v>
      </c>
      <c r="G462" s="1">
        <v>41948</v>
      </c>
      <c r="H462" s="3">
        <f>IF(Table1[[#This Row],[ShippedDate]]="","",IF(Table1[[#This Row],[OrderDate]]="","",Table1[[#This Row],[ShippedDate]]-Table1[[#This Row],[OrderDate]]))</f>
        <v>19</v>
      </c>
      <c r="I462" s="3">
        <v>2</v>
      </c>
      <c r="J462" s="2">
        <v>2.96</v>
      </c>
      <c r="K462" s="2">
        <f>SUMIF(order_details!A:A,Table1[[#This Row],[orderID]],order_details!F:F)</f>
        <v>180.4</v>
      </c>
      <c r="L462" s="9">
        <f>_xlfn.XLOOKUP(Table1[[#This Row],[orderID]],Table3[orderID],Table3[discount])</f>
        <v>0</v>
      </c>
      <c r="M462" s="2">
        <f>SUM(Table1[[#This Row],[Sales]],Table1[[#This Row],[freight]])</f>
        <v>183.36</v>
      </c>
      <c r="N462" s="3">
        <f>_xlfn.XLOOKUP(Table1[[#This Row],[orderID]],Table3[orderID],Table3[quantity])</f>
        <v>4</v>
      </c>
      <c r="O462" s="6" t="str">
        <f>_xlfn.XLOOKUP(Table1[[#This Row],[CustomerID]],customers!A:A,customers!B:B)</f>
        <v>The Big Cheese</v>
      </c>
      <c r="P462" s="6" t="str">
        <f>_xlfn.XLOOKUP(Table1[[#This Row],[shipperID]],Table6[shipperID],Table6[companyName])</f>
        <v>United Package</v>
      </c>
      <c r="Q462">
        <f>YEAR(Table1[[#This Row],[OrderDate]])</f>
        <v>2014</v>
      </c>
      <c r="R462">
        <f>MONTH(Table1[[#This Row],[OrderDate]])</f>
        <v>10</v>
      </c>
      <c r="S462" t="str">
        <f>"Q"&amp;ROUNDUP(Table1[[#This Row],[month]]/3,0)</f>
        <v>Q4</v>
      </c>
      <c r="T462" t="str">
        <f>CONCATENATE(Table1[[#This Row],[year]],"-",Table1[[#This Row],[Quarter]])</f>
        <v>2014-Q4</v>
      </c>
      <c r="U462" s="6" t="str">
        <f>IF(H461="","Pending",IF(Table1[[#This Row],[Days to ship]]&lt;Table1[[#This Row],[RequiredDate]],"On Time","Late"))</f>
        <v>On Time</v>
      </c>
      <c r="V462">
        <f>_xlfn.XLOOKUP(Table1[[#This Row],[orderID]],Table3[orderID],Table3[unitPrice])</f>
        <v>21.35</v>
      </c>
    </row>
    <row r="463" spans="1:22" x14ac:dyDescent="0.45">
      <c r="A463" s="3">
        <v>10709</v>
      </c>
      <c r="B463" s="6" t="s">
        <v>180</v>
      </c>
      <c r="C463" s="3">
        <v>1</v>
      </c>
      <c r="D463" s="6" t="str">
        <f>_xlfn.XLOOKUP(Table1[[#This Row],[EmployeeID]],Table4[employeeID],Table4[employeeName])</f>
        <v>Nancy Davolio</v>
      </c>
      <c r="E463" s="1">
        <v>41929</v>
      </c>
      <c r="F463" s="1">
        <v>41957</v>
      </c>
      <c r="G463" s="1">
        <v>41963</v>
      </c>
      <c r="H463" s="3">
        <f>IF(Table1[[#This Row],[ShippedDate]]="","",IF(Table1[[#This Row],[OrderDate]]="","",Table1[[#This Row],[ShippedDate]]-Table1[[#This Row],[OrderDate]]))</f>
        <v>34</v>
      </c>
      <c r="I463" s="3">
        <v>3</v>
      </c>
      <c r="J463" s="2">
        <v>210.8</v>
      </c>
      <c r="K463" s="2">
        <f>SUMIF(order_details!A:A,Table1[[#This Row],[orderID]],order_details!F:F)</f>
        <v>3424</v>
      </c>
      <c r="L463" s="9">
        <f>_xlfn.XLOOKUP(Table1[[#This Row],[orderID]],Table3[orderID],Table3[discount])</f>
        <v>0</v>
      </c>
      <c r="M463" s="2">
        <f>SUM(Table1[[#This Row],[Sales]],Table1[[#This Row],[freight]])</f>
        <v>3634.8</v>
      </c>
      <c r="N463" s="3">
        <f>_xlfn.XLOOKUP(Table1[[#This Row],[orderID]],Table3[orderID],Table3[quantity])</f>
        <v>40</v>
      </c>
      <c r="O463" s="6" t="str">
        <f>_xlfn.XLOOKUP(Table1[[#This Row],[CustomerID]],customers!A:A,customers!B:B)</f>
        <v>Gourmet Lanchonetes</v>
      </c>
      <c r="P463" s="6" t="str">
        <f>_xlfn.XLOOKUP(Table1[[#This Row],[shipperID]],Table6[shipperID],Table6[companyName])</f>
        <v>Federal Shipping</v>
      </c>
      <c r="Q463">
        <f>YEAR(Table1[[#This Row],[OrderDate]])</f>
        <v>2014</v>
      </c>
      <c r="R463">
        <f>MONTH(Table1[[#This Row],[OrderDate]])</f>
        <v>10</v>
      </c>
      <c r="S463" t="str">
        <f>"Q"&amp;ROUNDUP(Table1[[#This Row],[month]]/3,0)</f>
        <v>Q4</v>
      </c>
      <c r="T463" t="str">
        <f>CONCATENATE(Table1[[#This Row],[year]],"-",Table1[[#This Row],[Quarter]])</f>
        <v>2014-Q4</v>
      </c>
      <c r="U463" s="6" t="str">
        <f>IF(H462="","Pending",IF(Table1[[#This Row],[Days to ship]]&lt;Table1[[#This Row],[RequiredDate]],"On Time","Late"))</f>
        <v>On Time</v>
      </c>
      <c r="V463">
        <f>_xlfn.XLOOKUP(Table1[[#This Row],[orderID]],Table3[orderID],Table3[unitPrice])</f>
        <v>40</v>
      </c>
    </row>
    <row r="464" spans="1:22" x14ac:dyDescent="0.45">
      <c r="A464" s="3">
        <v>10710</v>
      </c>
      <c r="B464" s="6" t="s">
        <v>169</v>
      </c>
      <c r="C464" s="3">
        <v>1</v>
      </c>
      <c r="D464" s="6" t="str">
        <f>_xlfn.XLOOKUP(Table1[[#This Row],[EmployeeID]],Table4[employeeID],Table4[employeeName])</f>
        <v>Nancy Davolio</v>
      </c>
      <c r="E464" s="1">
        <v>41932</v>
      </c>
      <c r="F464" s="1">
        <v>41960</v>
      </c>
      <c r="G464" s="1">
        <v>41935</v>
      </c>
      <c r="H464" s="3">
        <f>IF(Table1[[#This Row],[ShippedDate]]="","",IF(Table1[[#This Row],[OrderDate]]="","",Table1[[#This Row],[ShippedDate]]-Table1[[#This Row],[OrderDate]]))</f>
        <v>3</v>
      </c>
      <c r="I464" s="3">
        <v>1</v>
      </c>
      <c r="J464" s="2">
        <v>4.9800000000000004</v>
      </c>
      <c r="K464" s="2">
        <f>SUMIF(order_details!A:A,Table1[[#This Row],[orderID]],order_details!F:F)</f>
        <v>93.5</v>
      </c>
      <c r="L464" s="9">
        <f>_xlfn.XLOOKUP(Table1[[#This Row],[orderID]],Table3[orderID],Table3[discount])</f>
        <v>0</v>
      </c>
      <c r="M464" s="2">
        <f>SUM(Table1[[#This Row],[Sales]],Table1[[#This Row],[freight]])</f>
        <v>98.48</v>
      </c>
      <c r="N464" s="3">
        <f>_xlfn.XLOOKUP(Table1[[#This Row],[orderID]],Table3[orderID],Table3[quantity])</f>
        <v>5</v>
      </c>
      <c r="O464" s="6" t="str">
        <f>_xlfn.XLOOKUP(Table1[[#This Row],[CustomerID]],customers!A:A,customers!B:B)</f>
        <v>Franchi S.p.A.</v>
      </c>
      <c r="P464" s="6" t="str">
        <f>_xlfn.XLOOKUP(Table1[[#This Row],[shipperID]],Table6[shipperID],Table6[companyName])</f>
        <v>Speedy Express</v>
      </c>
      <c r="Q464">
        <f>YEAR(Table1[[#This Row],[OrderDate]])</f>
        <v>2014</v>
      </c>
      <c r="R464">
        <f>MONTH(Table1[[#This Row],[OrderDate]])</f>
        <v>10</v>
      </c>
      <c r="S464" t="str">
        <f>"Q"&amp;ROUNDUP(Table1[[#This Row],[month]]/3,0)</f>
        <v>Q4</v>
      </c>
      <c r="T464" t="str">
        <f>CONCATENATE(Table1[[#This Row],[year]],"-",Table1[[#This Row],[Quarter]])</f>
        <v>2014-Q4</v>
      </c>
      <c r="U464" s="6" t="str">
        <f>IF(H463="","Pending",IF(Table1[[#This Row],[Days to ship]]&lt;Table1[[#This Row],[RequiredDate]],"On Time","Late"))</f>
        <v>On Time</v>
      </c>
      <c r="V464">
        <f>_xlfn.XLOOKUP(Table1[[#This Row],[orderID]],Table3[orderID],Table3[unitPrice])</f>
        <v>9.1999999999999993</v>
      </c>
    </row>
    <row r="465" spans="1:22" x14ac:dyDescent="0.45">
      <c r="A465" s="3">
        <v>10711</v>
      </c>
      <c r="B465" s="6" t="s">
        <v>165</v>
      </c>
      <c r="C465" s="3">
        <v>5</v>
      </c>
      <c r="D465" s="6" t="str">
        <f>_xlfn.XLOOKUP(Table1[[#This Row],[EmployeeID]],Table4[employeeID],Table4[employeeName])</f>
        <v>Steven Buchanan</v>
      </c>
      <c r="E465" s="1">
        <v>41933</v>
      </c>
      <c r="F465" s="1">
        <v>41975</v>
      </c>
      <c r="G465" s="1">
        <v>41941</v>
      </c>
      <c r="H465" s="3">
        <f>IF(Table1[[#This Row],[ShippedDate]]="","",IF(Table1[[#This Row],[OrderDate]]="","",Table1[[#This Row],[ShippedDate]]-Table1[[#This Row],[OrderDate]]))</f>
        <v>8</v>
      </c>
      <c r="I465" s="3">
        <v>2</v>
      </c>
      <c r="J465" s="2">
        <v>52.41</v>
      </c>
      <c r="K465" s="2">
        <f>SUMIF(order_details!A:A,Table1[[#This Row],[orderID]],order_details!F:F)</f>
        <v>4451.7</v>
      </c>
      <c r="L465" s="9">
        <f>_xlfn.XLOOKUP(Table1[[#This Row],[orderID]],Table3[orderID],Table3[discount])</f>
        <v>0</v>
      </c>
      <c r="M465" s="2">
        <f>SUM(Table1[[#This Row],[Sales]],Table1[[#This Row],[freight]])</f>
        <v>4504.1099999999997</v>
      </c>
      <c r="N465" s="3">
        <f>_xlfn.XLOOKUP(Table1[[#This Row],[orderID]],Table3[orderID],Table3[quantity])</f>
        <v>12</v>
      </c>
      <c r="O465" s="6" t="str">
        <f>_xlfn.XLOOKUP(Table1[[#This Row],[CustomerID]],customers!A:A,customers!B:B)</f>
        <v>Save-a-lot Markets</v>
      </c>
      <c r="P465" s="6" t="str">
        <f>_xlfn.XLOOKUP(Table1[[#This Row],[shipperID]],Table6[shipperID],Table6[companyName])</f>
        <v>United Package</v>
      </c>
      <c r="Q465">
        <f>YEAR(Table1[[#This Row],[OrderDate]])</f>
        <v>2014</v>
      </c>
      <c r="R465">
        <f>MONTH(Table1[[#This Row],[OrderDate]])</f>
        <v>10</v>
      </c>
      <c r="S465" t="str">
        <f>"Q"&amp;ROUNDUP(Table1[[#This Row],[month]]/3,0)</f>
        <v>Q4</v>
      </c>
      <c r="T465" t="str">
        <f>CONCATENATE(Table1[[#This Row],[year]],"-",Table1[[#This Row],[Quarter]])</f>
        <v>2014-Q4</v>
      </c>
      <c r="U465" s="6" t="str">
        <f>IF(H464="","Pending",IF(Table1[[#This Row],[Days to ship]]&lt;Table1[[#This Row],[RequiredDate]],"On Time","Late"))</f>
        <v>On Time</v>
      </c>
      <c r="V465">
        <f>_xlfn.XLOOKUP(Table1[[#This Row],[orderID]],Table3[orderID],Table3[unitPrice])</f>
        <v>9.1999999999999993</v>
      </c>
    </row>
    <row r="466" spans="1:22" x14ac:dyDescent="0.45">
      <c r="A466" s="3">
        <v>10712</v>
      </c>
      <c r="B466" s="6" t="s">
        <v>166</v>
      </c>
      <c r="C466" s="3">
        <v>3</v>
      </c>
      <c r="D466" s="6" t="str">
        <f>_xlfn.XLOOKUP(Table1[[#This Row],[EmployeeID]],Table4[employeeID],Table4[employeeName])</f>
        <v>Janet Leverling</v>
      </c>
      <c r="E466" s="1">
        <v>41933</v>
      </c>
      <c r="F466" s="1">
        <v>41961</v>
      </c>
      <c r="G466" s="1">
        <v>41943</v>
      </c>
      <c r="H466" s="3">
        <f>IF(Table1[[#This Row],[ShippedDate]]="","",IF(Table1[[#This Row],[OrderDate]]="","",Table1[[#This Row],[ShippedDate]]-Table1[[#This Row],[OrderDate]]))</f>
        <v>10</v>
      </c>
      <c r="I466" s="3">
        <v>1</v>
      </c>
      <c r="J466" s="2">
        <v>89.93</v>
      </c>
      <c r="K466" s="2">
        <f>SUMIF(order_details!A:A,Table1[[#This Row],[orderID]],order_details!F:F)</f>
        <v>1233.48</v>
      </c>
      <c r="L466" s="9">
        <f>_xlfn.XLOOKUP(Table1[[#This Row],[orderID]],Table3[orderID],Table3[discount])</f>
        <v>0.05</v>
      </c>
      <c r="M466" s="2">
        <f>SUM(Table1[[#This Row],[Sales]],Table1[[#This Row],[freight]])</f>
        <v>1323.41</v>
      </c>
      <c r="N466" s="3">
        <f>_xlfn.XLOOKUP(Table1[[#This Row],[orderID]],Table3[orderID],Table3[quantity])</f>
        <v>3</v>
      </c>
      <c r="O466" s="6" t="str">
        <f>_xlfn.XLOOKUP(Table1[[#This Row],[CustomerID]],customers!A:A,customers!B:B)</f>
        <v>Hungry Owl All-Night Grocers</v>
      </c>
      <c r="P466" s="6" t="str">
        <f>_xlfn.XLOOKUP(Table1[[#This Row],[shipperID]],Table6[shipperID],Table6[companyName])</f>
        <v>Speedy Express</v>
      </c>
      <c r="Q466">
        <f>YEAR(Table1[[#This Row],[OrderDate]])</f>
        <v>2014</v>
      </c>
      <c r="R466">
        <f>MONTH(Table1[[#This Row],[OrderDate]])</f>
        <v>10</v>
      </c>
      <c r="S466" t="str">
        <f>"Q"&amp;ROUNDUP(Table1[[#This Row],[month]]/3,0)</f>
        <v>Q4</v>
      </c>
      <c r="T466" t="str">
        <f>CONCATENATE(Table1[[#This Row],[year]],"-",Table1[[#This Row],[Quarter]])</f>
        <v>2014-Q4</v>
      </c>
      <c r="U466" s="6" t="str">
        <f>IF(H465="","Pending",IF(Table1[[#This Row],[Days to ship]]&lt;Table1[[#This Row],[RequiredDate]],"On Time","Late"))</f>
        <v>On Time</v>
      </c>
      <c r="V466">
        <f>_xlfn.XLOOKUP(Table1[[#This Row],[orderID]],Table3[orderID],Table3[unitPrice])</f>
        <v>32.799999999999997</v>
      </c>
    </row>
    <row r="467" spans="1:22" x14ac:dyDescent="0.45">
      <c r="A467" s="3">
        <v>10713</v>
      </c>
      <c r="B467" s="6" t="s">
        <v>165</v>
      </c>
      <c r="C467" s="3">
        <v>1</v>
      </c>
      <c r="D467" s="6" t="str">
        <f>_xlfn.XLOOKUP(Table1[[#This Row],[EmployeeID]],Table4[employeeID],Table4[employeeName])</f>
        <v>Nancy Davolio</v>
      </c>
      <c r="E467" s="1">
        <v>41934</v>
      </c>
      <c r="F467" s="1">
        <v>41962</v>
      </c>
      <c r="G467" s="1">
        <v>41936</v>
      </c>
      <c r="H467" s="3">
        <f>IF(Table1[[#This Row],[ShippedDate]]="","",IF(Table1[[#This Row],[OrderDate]]="","",Table1[[#This Row],[ShippedDate]]-Table1[[#This Row],[OrderDate]]))</f>
        <v>2</v>
      </c>
      <c r="I467" s="3">
        <v>1</v>
      </c>
      <c r="J467" s="2">
        <v>167.05</v>
      </c>
      <c r="K467" s="2">
        <f>SUMIF(order_details!A:A,Table1[[#This Row],[orderID]],order_details!F:F)</f>
        <v>2827.9</v>
      </c>
      <c r="L467" s="9">
        <f>_xlfn.XLOOKUP(Table1[[#This Row],[orderID]],Table3[orderID],Table3[discount])</f>
        <v>0</v>
      </c>
      <c r="M467" s="2">
        <f>SUM(Table1[[#This Row],[Sales]],Table1[[#This Row],[freight]])</f>
        <v>2994.9500000000003</v>
      </c>
      <c r="N467" s="3">
        <f>_xlfn.XLOOKUP(Table1[[#This Row],[orderID]],Table3[orderID],Table3[quantity])</f>
        <v>18</v>
      </c>
      <c r="O467" s="6" t="str">
        <f>_xlfn.XLOOKUP(Table1[[#This Row],[CustomerID]],customers!A:A,customers!B:B)</f>
        <v>Save-a-lot Markets</v>
      </c>
      <c r="P467" s="6" t="str">
        <f>_xlfn.XLOOKUP(Table1[[#This Row],[shipperID]],Table6[shipperID],Table6[companyName])</f>
        <v>Speedy Express</v>
      </c>
      <c r="Q467">
        <f>YEAR(Table1[[#This Row],[OrderDate]])</f>
        <v>2014</v>
      </c>
      <c r="R467">
        <f>MONTH(Table1[[#This Row],[OrderDate]])</f>
        <v>10</v>
      </c>
      <c r="S467" t="str">
        <f>"Q"&amp;ROUNDUP(Table1[[#This Row],[month]]/3,0)</f>
        <v>Q4</v>
      </c>
      <c r="T467" t="str">
        <f>CONCATENATE(Table1[[#This Row],[year]],"-",Table1[[#This Row],[Quarter]])</f>
        <v>2014-Q4</v>
      </c>
      <c r="U467" s="6" t="str">
        <f>IF(H466="","Pending",IF(Table1[[#This Row],[Days to ship]]&lt;Table1[[#This Row],[RequiredDate]],"On Time","Late"))</f>
        <v>On Time</v>
      </c>
      <c r="V467">
        <f>_xlfn.XLOOKUP(Table1[[#This Row],[orderID]],Table3[orderID],Table3[unitPrice])</f>
        <v>31</v>
      </c>
    </row>
    <row r="468" spans="1:22" x14ac:dyDescent="0.45">
      <c r="A468" s="3">
        <v>10714</v>
      </c>
      <c r="B468" s="6" t="s">
        <v>165</v>
      </c>
      <c r="C468" s="3">
        <v>5</v>
      </c>
      <c r="D468" s="6" t="str">
        <f>_xlfn.XLOOKUP(Table1[[#This Row],[EmployeeID]],Table4[employeeID],Table4[employeeName])</f>
        <v>Steven Buchanan</v>
      </c>
      <c r="E468" s="1">
        <v>41934</v>
      </c>
      <c r="F468" s="1">
        <v>41962</v>
      </c>
      <c r="G468" s="1">
        <v>41939</v>
      </c>
      <c r="H468" s="3">
        <f>IF(Table1[[#This Row],[ShippedDate]]="","",IF(Table1[[#This Row],[OrderDate]]="","",Table1[[#This Row],[ShippedDate]]-Table1[[#This Row],[OrderDate]]))</f>
        <v>5</v>
      </c>
      <c r="I468" s="3">
        <v>3</v>
      </c>
      <c r="J468" s="2">
        <v>24.49</v>
      </c>
      <c r="K468" s="2">
        <f>SUMIF(order_details!A:A,Table1[[#This Row],[orderID]],order_details!F:F)</f>
        <v>2205.75</v>
      </c>
      <c r="L468" s="9">
        <f>_xlfn.XLOOKUP(Table1[[#This Row],[orderID]],Table3[orderID],Table3[discount])</f>
        <v>0.25</v>
      </c>
      <c r="M468" s="2">
        <f>SUM(Table1[[#This Row],[Sales]],Table1[[#This Row],[freight]])</f>
        <v>2230.2399999999998</v>
      </c>
      <c r="N468" s="3">
        <f>_xlfn.XLOOKUP(Table1[[#This Row],[orderID]],Table3[orderID],Table3[quantity])</f>
        <v>30</v>
      </c>
      <c r="O468" s="6" t="str">
        <f>_xlfn.XLOOKUP(Table1[[#This Row],[CustomerID]],customers!A:A,customers!B:B)</f>
        <v>Save-a-lot Markets</v>
      </c>
      <c r="P468" s="6" t="str">
        <f>_xlfn.XLOOKUP(Table1[[#This Row],[shipperID]],Table6[shipperID],Table6[companyName])</f>
        <v>Federal Shipping</v>
      </c>
      <c r="Q468">
        <f>YEAR(Table1[[#This Row],[OrderDate]])</f>
        <v>2014</v>
      </c>
      <c r="R468">
        <f>MONTH(Table1[[#This Row],[OrderDate]])</f>
        <v>10</v>
      </c>
      <c r="S468" t="str">
        <f>"Q"&amp;ROUNDUP(Table1[[#This Row],[month]]/3,0)</f>
        <v>Q4</v>
      </c>
      <c r="T468" t="str">
        <f>CONCATENATE(Table1[[#This Row],[year]],"-",Table1[[#This Row],[Quarter]])</f>
        <v>2014-Q4</v>
      </c>
      <c r="U468" s="6" t="str">
        <f>IF(H467="","Pending",IF(Table1[[#This Row],[Days to ship]]&lt;Table1[[#This Row],[RequiredDate]],"On Time","Late"))</f>
        <v>On Time</v>
      </c>
      <c r="V468">
        <f>_xlfn.XLOOKUP(Table1[[#This Row],[orderID]],Table3[orderID],Table3[unitPrice])</f>
        <v>19</v>
      </c>
    </row>
    <row r="469" spans="1:22" x14ac:dyDescent="0.45">
      <c r="A469" s="3">
        <v>10715</v>
      </c>
      <c r="B469" s="6" t="s">
        <v>154</v>
      </c>
      <c r="C469" s="3">
        <v>3</v>
      </c>
      <c r="D469" s="6" t="str">
        <f>_xlfn.XLOOKUP(Table1[[#This Row],[EmployeeID]],Table4[employeeID],Table4[employeeName])</f>
        <v>Janet Leverling</v>
      </c>
      <c r="E469" s="1">
        <v>41935</v>
      </c>
      <c r="F469" s="1">
        <v>41949</v>
      </c>
      <c r="G469" s="1">
        <v>41941</v>
      </c>
      <c r="H469" s="3">
        <f>IF(Table1[[#This Row],[ShippedDate]]="","",IF(Table1[[#This Row],[OrderDate]]="","",Table1[[#This Row],[ShippedDate]]-Table1[[#This Row],[OrderDate]]))</f>
        <v>6</v>
      </c>
      <c r="I469" s="3">
        <v>1</v>
      </c>
      <c r="J469" s="2">
        <v>63.2</v>
      </c>
      <c r="K469" s="2">
        <f>SUMIF(order_details!A:A,Table1[[#This Row],[orderID]],order_details!F:F)</f>
        <v>1296</v>
      </c>
      <c r="L469" s="9">
        <f>_xlfn.XLOOKUP(Table1[[#This Row],[orderID]],Table3[orderID],Table3[discount])</f>
        <v>0</v>
      </c>
      <c r="M469" s="2">
        <f>SUM(Table1[[#This Row],[Sales]],Table1[[#This Row],[freight]])</f>
        <v>1359.2</v>
      </c>
      <c r="N469" s="3">
        <f>_xlfn.XLOOKUP(Table1[[#This Row],[orderID]],Table3[orderID],Table3[quantity])</f>
        <v>21</v>
      </c>
      <c r="O469" s="6" t="str">
        <f>_xlfn.XLOOKUP(Table1[[#This Row],[CustomerID]],customers!A:A,customers!B:B)</f>
        <v>Bon app'</v>
      </c>
      <c r="P469" s="6" t="str">
        <f>_xlfn.XLOOKUP(Table1[[#This Row],[shipperID]],Table6[shipperID],Table6[companyName])</f>
        <v>Speedy Express</v>
      </c>
      <c r="Q469">
        <f>YEAR(Table1[[#This Row],[OrderDate]])</f>
        <v>2014</v>
      </c>
      <c r="R469">
        <f>MONTH(Table1[[#This Row],[OrderDate]])</f>
        <v>10</v>
      </c>
      <c r="S469" t="str">
        <f>"Q"&amp;ROUNDUP(Table1[[#This Row],[month]]/3,0)</f>
        <v>Q4</v>
      </c>
      <c r="T469" t="str">
        <f>CONCATENATE(Table1[[#This Row],[year]],"-",Table1[[#This Row],[Quarter]])</f>
        <v>2014-Q4</v>
      </c>
      <c r="U469" s="6" t="str">
        <f>IF(H468="","Pending",IF(Table1[[#This Row],[Days to ship]]&lt;Table1[[#This Row],[RequiredDate]],"On Time","Late"))</f>
        <v>On Time</v>
      </c>
      <c r="V469">
        <f>_xlfn.XLOOKUP(Table1[[#This Row],[orderID]],Table3[orderID],Table3[unitPrice])</f>
        <v>31</v>
      </c>
    </row>
    <row r="470" spans="1:22" x14ac:dyDescent="0.45">
      <c r="A470" s="3">
        <v>10716</v>
      </c>
      <c r="B470" s="6" t="s">
        <v>196</v>
      </c>
      <c r="C470" s="3">
        <v>4</v>
      </c>
      <c r="D470" s="6" t="str">
        <f>_xlfn.XLOOKUP(Table1[[#This Row],[EmployeeID]],Table4[employeeID],Table4[employeeName])</f>
        <v>Margaret Peacock</v>
      </c>
      <c r="E470" s="1">
        <v>41936</v>
      </c>
      <c r="F470" s="1">
        <v>41964</v>
      </c>
      <c r="G470" s="1">
        <v>41939</v>
      </c>
      <c r="H470" s="3">
        <f>IF(Table1[[#This Row],[ShippedDate]]="","",IF(Table1[[#This Row],[OrderDate]]="","",Table1[[#This Row],[ShippedDate]]-Table1[[#This Row],[OrderDate]]))</f>
        <v>3</v>
      </c>
      <c r="I470" s="3">
        <v>2</v>
      </c>
      <c r="J470" s="2">
        <v>22.57</v>
      </c>
      <c r="K470" s="2">
        <f>SUMIF(order_details!A:A,Table1[[#This Row],[orderID]],order_details!F:F)</f>
        <v>706</v>
      </c>
      <c r="L470" s="9">
        <f>_xlfn.XLOOKUP(Table1[[#This Row],[orderID]],Table3[orderID],Table3[discount])</f>
        <v>0</v>
      </c>
      <c r="M470" s="2">
        <f>SUM(Table1[[#This Row],[Sales]],Table1[[#This Row],[freight]])</f>
        <v>728.57</v>
      </c>
      <c r="N470" s="3">
        <f>_xlfn.XLOOKUP(Table1[[#This Row],[orderID]],Table3[orderID],Table3[quantity])</f>
        <v>5</v>
      </c>
      <c r="O470" s="6" t="str">
        <f>_xlfn.XLOOKUP(Table1[[#This Row],[CustomerID]],customers!A:A,customers!B:B)</f>
        <v>Rancho grande</v>
      </c>
      <c r="P470" s="6" t="str">
        <f>_xlfn.XLOOKUP(Table1[[#This Row],[shipperID]],Table6[shipperID],Table6[companyName])</f>
        <v>United Package</v>
      </c>
      <c r="Q470">
        <f>YEAR(Table1[[#This Row],[OrderDate]])</f>
        <v>2014</v>
      </c>
      <c r="R470">
        <f>MONTH(Table1[[#This Row],[OrderDate]])</f>
        <v>10</v>
      </c>
      <c r="S470" t="str">
        <f>"Q"&amp;ROUNDUP(Table1[[#This Row],[month]]/3,0)</f>
        <v>Q4</v>
      </c>
      <c r="T470" t="str">
        <f>CONCATENATE(Table1[[#This Row],[year]],"-",Table1[[#This Row],[Quarter]])</f>
        <v>2014-Q4</v>
      </c>
      <c r="U470" s="6" t="str">
        <f>IF(H469="","Pending",IF(Table1[[#This Row],[Days to ship]]&lt;Table1[[#This Row],[RequiredDate]],"On Time","Late"))</f>
        <v>On Time</v>
      </c>
      <c r="V470">
        <f>_xlfn.XLOOKUP(Table1[[#This Row],[orderID]],Table3[orderID],Table3[unitPrice])</f>
        <v>10</v>
      </c>
    </row>
    <row r="471" spans="1:22" x14ac:dyDescent="0.45">
      <c r="A471" s="3">
        <v>10717</v>
      </c>
      <c r="B471" s="6" t="s">
        <v>201</v>
      </c>
      <c r="C471" s="3">
        <v>1</v>
      </c>
      <c r="D471" s="6" t="str">
        <f>_xlfn.XLOOKUP(Table1[[#This Row],[EmployeeID]],Table4[employeeID],Table4[employeeName])</f>
        <v>Nancy Davolio</v>
      </c>
      <c r="E471" s="1">
        <v>41936</v>
      </c>
      <c r="F471" s="1">
        <v>41964</v>
      </c>
      <c r="G471" s="1">
        <v>41941</v>
      </c>
      <c r="H471" s="3">
        <f>IF(Table1[[#This Row],[ShippedDate]]="","",IF(Table1[[#This Row],[OrderDate]]="","",Table1[[#This Row],[ShippedDate]]-Table1[[#This Row],[OrderDate]]))</f>
        <v>5</v>
      </c>
      <c r="I471" s="3">
        <v>2</v>
      </c>
      <c r="J471" s="2">
        <v>59.25</v>
      </c>
      <c r="K471" s="2">
        <f>SUMIF(order_details!A:A,Table1[[#This Row],[orderID]],order_details!F:F)</f>
        <v>1270.75</v>
      </c>
      <c r="L471" s="9">
        <f>_xlfn.XLOOKUP(Table1[[#This Row],[orderID]],Table3[orderID],Table3[discount])</f>
        <v>0.05</v>
      </c>
      <c r="M471" s="2">
        <f>SUM(Table1[[#This Row],[Sales]],Table1[[#This Row],[freight]])</f>
        <v>1330</v>
      </c>
      <c r="N471" s="3">
        <f>_xlfn.XLOOKUP(Table1[[#This Row],[orderID]],Table3[orderID],Table3[quantity])</f>
        <v>32</v>
      </c>
      <c r="O471" s="6" t="str">
        <f>_xlfn.XLOOKUP(Table1[[#This Row],[CustomerID]],customers!A:A,customers!B:B)</f>
        <v>Frankenversand</v>
      </c>
      <c r="P471" s="6" t="str">
        <f>_xlfn.XLOOKUP(Table1[[#This Row],[shipperID]],Table6[shipperID],Table6[companyName])</f>
        <v>United Package</v>
      </c>
      <c r="Q471">
        <f>YEAR(Table1[[#This Row],[OrderDate]])</f>
        <v>2014</v>
      </c>
      <c r="R471">
        <f>MONTH(Table1[[#This Row],[OrderDate]])</f>
        <v>10</v>
      </c>
      <c r="S471" t="str">
        <f>"Q"&amp;ROUNDUP(Table1[[#This Row],[month]]/3,0)</f>
        <v>Q4</v>
      </c>
      <c r="T471" t="str">
        <f>CONCATENATE(Table1[[#This Row],[year]],"-",Table1[[#This Row],[Quarter]])</f>
        <v>2014-Q4</v>
      </c>
      <c r="U471" s="6" t="str">
        <f>IF(H470="","Pending",IF(Table1[[#This Row],[Days to ship]]&lt;Table1[[#This Row],[RequiredDate]],"On Time","Late"))</f>
        <v>On Time</v>
      </c>
      <c r="V471">
        <f>_xlfn.XLOOKUP(Table1[[#This Row],[orderID]],Table3[orderID],Table3[unitPrice])</f>
        <v>10</v>
      </c>
    </row>
    <row r="472" spans="1:22" x14ac:dyDescent="0.45">
      <c r="A472" s="3">
        <v>10718</v>
      </c>
      <c r="B472" s="6" t="s">
        <v>191</v>
      </c>
      <c r="C472" s="3">
        <v>1</v>
      </c>
      <c r="D472" s="6" t="str">
        <f>_xlfn.XLOOKUP(Table1[[#This Row],[EmployeeID]],Table4[employeeID],Table4[employeeName])</f>
        <v>Nancy Davolio</v>
      </c>
      <c r="E472" s="1">
        <v>41939</v>
      </c>
      <c r="F472" s="1">
        <v>41967</v>
      </c>
      <c r="G472" s="1">
        <v>41941</v>
      </c>
      <c r="H472" s="3">
        <f>IF(Table1[[#This Row],[ShippedDate]]="","",IF(Table1[[#This Row],[OrderDate]]="","",Table1[[#This Row],[ShippedDate]]-Table1[[#This Row],[OrderDate]]))</f>
        <v>2</v>
      </c>
      <c r="I472" s="3">
        <v>3</v>
      </c>
      <c r="J472" s="2">
        <v>170.88</v>
      </c>
      <c r="K472" s="2">
        <f>SUMIF(order_details!A:A,Table1[[#This Row],[orderID]],order_details!F:F)</f>
        <v>3463</v>
      </c>
      <c r="L472" s="9">
        <f>_xlfn.XLOOKUP(Table1[[#This Row],[orderID]],Table3[orderID],Table3[discount])</f>
        <v>0</v>
      </c>
      <c r="M472" s="2">
        <f>SUM(Table1[[#This Row],[Sales]],Table1[[#This Row],[freight]])</f>
        <v>3633.88</v>
      </c>
      <c r="N472" s="3">
        <f>_xlfn.XLOOKUP(Table1[[#This Row],[orderID]],Table3[orderID],Table3[quantity])</f>
        <v>36</v>
      </c>
      <c r="O472" s="6" t="str">
        <f>_xlfn.XLOOKUP(Table1[[#This Row],[CustomerID]],customers!A:A,customers!B:B)</f>
        <v>Königlich Essen</v>
      </c>
      <c r="P472" s="6" t="str">
        <f>_xlfn.XLOOKUP(Table1[[#This Row],[shipperID]],Table6[shipperID],Table6[companyName])</f>
        <v>Federal Shipping</v>
      </c>
      <c r="Q472">
        <f>YEAR(Table1[[#This Row],[OrderDate]])</f>
        <v>2014</v>
      </c>
      <c r="R472">
        <f>MONTH(Table1[[#This Row],[OrderDate]])</f>
        <v>10</v>
      </c>
      <c r="S472" t="str">
        <f>"Q"&amp;ROUNDUP(Table1[[#This Row],[month]]/3,0)</f>
        <v>Q4</v>
      </c>
      <c r="T472" t="str">
        <f>CONCATENATE(Table1[[#This Row],[year]],"-",Table1[[#This Row],[Quarter]])</f>
        <v>2014-Q4</v>
      </c>
      <c r="U472" s="6" t="str">
        <f>IF(H471="","Pending",IF(Table1[[#This Row],[Days to ship]]&lt;Table1[[#This Row],[RequiredDate]],"On Time","Late"))</f>
        <v>On Time</v>
      </c>
      <c r="V472">
        <f>_xlfn.XLOOKUP(Table1[[#This Row],[orderID]],Table3[orderID],Table3[unitPrice])</f>
        <v>38</v>
      </c>
    </row>
    <row r="473" spans="1:22" x14ac:dyDescent="0.45">
      <c r="A473" s="3">
        <v>10719</v>
      </c>
      <c r="B473" s="6" t="s">
        <v>225</v>
      </c>
      <c r="C473" s="3">
        <v>8</v>
      </c>
      <c r="D473" s="6" t="str">
        <f>_xlfn.XLOOKUP(Table1[[#This Row],[EmployeeID]],Table4[employeeID],Table4[employeeName])</f>
        <v>Laura Callahan</v>
      </c>
      <c r="E473" s="1">
        <v>41939</v>
      </c>
      <c r="F473" s="1">
        <v>41967</v>
      </c>
      <c r="G473" s="1">
        <v>41948</v>
      </c>
      <c r="H473" s="3">
        <f>IF(Table1[[#This Row],[ShippedDate]]="","",IF(Table1[[#This Row],[OrderDate]]="","",Table1[[#This Row],[ShippedDate]]-Table1[[#This Row],[OrderDate]]))</f>
        <v>9</v>
      </c>
      <c r="I473" s="3">
        <v>2</v>
      </c>
      <c r="J473" s="2">
        <v>51.44</v>
      </c>
      <c r="K473" s="2">
        <f>SUMIF(order_details!A:A,Table1[[#This Row],[orderID]],order_details!F:F)</f>
        <v>844.25250000000005</v>
      </c>
      <c r="L473" s="9">
        <f>_xlfn.XLOOKUP(Table1[[#This Row],[orderID]],Table3[orderID],Table3[discount])</f>
        <v>0.25</v>
      </c>
      <c r="M473" s="2">
        <f>SUM(Table1[[#This Row],[Sales]],Table1[[#This Row],[freight]])</f>
        <v>895.69250000000011</v>
      </c>
      <c r="N473" s="3">
        <f>_xlfn.XLOOKUP(Table1[[#This Row],[orderID]],Table3[orderID],Table3[quantity])</f>
        <v>12</v>
      </c>
      <c r="O473" s="6" t="str">
        <f>_xlfn.XLOOKUP(Table1[[#This Row],[CustomerID]],customers!A:A,customers!B:B)</f>
        <v>Let's Stop N Shop</v>
      </c>
      <c r="P473" s="6" t="str">
        <f>_xlfn.XLOOKUP(Table1[[#This Row],[shipperID]],Table6[shipperID],Table6[companyName])</f>
        <v>United Package</v>
      </c>
      <c r="Q473">
        <f>YEAR(Table1[[#This Row],[OrderDate]])</f>
        <v>2014</v>
      </c>
      <c r="R473">
        <f>MONTH(Table1[[#This Row],[OrderDate]])</f>
        <v>10</v>
      </c>
      <c r="S473" t="str">
        <f>"Q"&amp;ROUNDUP(Table1[[#This Row],[month]]/3,0)</f>
        <v>Q4</v>
      </c>
      <c r="T473" t="str">
        <f>CONCATENATE(Table1[[#This Row],[year]],"-",Table1[[#This Row],[Quarter]])</f>
        <v>2014-Q4</v>
      </c>
      <c r="U473" s="6" t="str">
        <f>IF(H472="","Pending",IF(Table1[[#This Row],[Days to ship]]&lt;Table1[[#This Row],[RequiredDate]],"On Time","Late"))</f>
        <v>On Time</v>
      </c>
      <c r="V473">
        <f>_xlfn.XLOOKUP(Table1[[#This Row],[orderID]],Table3[orderID],Table3[unitPrice])</f>
        <v>62.5</v>
      </c>
    </row>
    <row r="474" spans="1:22" x14ac:dyDescent="0.45">
      <c r="A474" s="3">
        <v>10720</v>
      </c>
      <c r="B474" s="6" t="s">
        <v>209</v>
      </c>
      <c r="C474" s="3">
        <v>8</v>
      </c>
      <c r="D474" s="6" t="str">
        <f>_xlfn.XLOOKUP(Table1[[#This Row],[EmployeeID]],Table4[employeeID],Table4[employeeName])</f>
        <v>Laura Callahan</v>
      </c>
      <c r="E474" s="1">
        <v>41940</v>
      </c>
      <c r="F474" s="1">
        <v>41954</v>
      </c>
      <c r="G474" s="1">
        <v>41948</v>
      </c>
      <c r="H474" s="3">
        <f>IF(Table1[[#This Row],[ShippedDate]]="","",IF(Table1[[#This Row],[OrderDate]]="","",Table1[[#This Row],[ShippedDate]]-Table1[[#This Row],[OrderDate]]))</f>
        <v>8</v>
      </c>
      <c r="I474" s="3">
        <v>2</v>
      </c>
      <c r="J474" s="2">
        <v>9.5299999999999994</v>
      </c>
      <c r="K474" s="2">
        <f>SUMIF(order_details!A:A,Table1[[#This Row],[orderID]],order_details!F:F)</f>
        <v>550</v>
      </c>
      <c r="L474" s="9">
        <f>_xlfn.XLOOKUP(Table1[[#This Row],[orderID]],Table3[orderID],Table3[discount])</f>
        <v>0</v>
      </c>
      <c r="M474" s="2">
        <f>SUM(Table1[[#This Row],[Sales]],Table1[[#This Row],[freight]])</f>
        <v>559.53</v>
      </c>
      <c r="N474" s="3">
        <f>_xlfn.XLOOKUP(Table1[[#This Row],[orderID]],Table3[orderID],Table3[quantity])</f>
        <v>21</v>
      </c>
      <c r="O474" s="6" t="str">
        <f>_xlfn.XLOOKUP(Table1[[#This Row],[CustomerID]],customers!A:A,customers!B:B)</f>
        <v>Que Delícia</v>
      </c>
      <c r="P474" s="6" t="str">
        <f>_xlfn.XLOOKUP(Table1[[#This Row],[shipperID]],Table6[shipperID],Table6[companyName])</f>
        <v>United Package</v>
      </c>
      <c r="Q474">
        <f>YEAR(Table1[[#This Row],[OrderDate]])</f>
        <v>2014</v>
      </c>
      <c r="R474">
        <f>MONTH(Table1[[#This Row],[OrderDate]])</f>
        <v>10</v>
      </c>
      <c r="S474" t="str">
        <f>"Q"&amp;ROUNDUP(Table1[[#This Row],[month]]/3,0)</f>
        <v>Q4</v>
      </c>
      <c r="T474" t="str">
        <f>CONCATENATE(Table1[[#This Row],[year]],"-",Table1[[#This Row],[Quarter]])</f>
        <v>2014-Q4</v>
      </c>
      <c r="U474" s="6" t="str">
        <f>IF(H473="","Pending",IF(Table1[[#This Row],[Days to ship]]&lt;Table1[[#This Row],[RequiredDate]],"On Time","Late"))</f>
        <v>On Time</v>
      </c>
      <c r="V474">
        <f>_xlfn.XLOOKUP(Table1[[#This Row],[orderID]],Table3[orderID],Table3[unitPrice])</f>
        <v>18</v>
      </c>
    </row>
    <row r="475" spans="1:22" x14ac:dyDescent="0.45">
      <c r="A475" s="3">
        <v>10721</v>
      </c>
      <c r="B475" s="6" t="s">
        <v>194</v>
      </c>
      <c r="C475" s="3">
        <v>5</v>
      </c>
      <c r="D475" s="6" t="str">
        <f>_xlfn.XLOOKUP(Table1[[#This Row],[EmployeeID]],Table4[employeeID],Table4[employeeName])</f>
        <v>Steven Buchanan</v>
      </c>
      <c r="E475" s="1">
        <v>41941</v>
      </c>
      <c r="F475" s="1">
        <v>41969</v>
      </c>
      <c r="G475" s="1">
        <v>41943</v>
      </c>
      <c r="H475" s="3">
        <f>IF(Table1[[#This Row],[ShippedDate]]="","",IF(Table1[[#This Row],[OrderDate]]="","",Table1[[#This Row],[ShippedDate]]-Table1[[#This Row],[OrderDate]]))</f>
        <v>2</v>
      </c>
      <c r="I475" s="3">
        <v>3</v>
      </c>
      <c r="J475" s="2">
        <v>48.92</v>
      </c>
      <c r="K475" s="2">
        <f>SUMIF(order_details!A:A,Table1[[#This Row],[orderID]],order_details!F:F)</f>
        <v>923.875</v>
      </c>
      <c r="L475" s="9">
        <f>_xlfn.XLOOKUP(Table1[[#This Row],[orderID]],Table3[orderID],Table3[discount])</f>
        <v>0.05</v>
      </c>
      <c r="M475" s="2">
        <f>SUM(Table1[[#This Row],[Sales]],Table1[[#This Row],[freight]])</f>
        <v>972.79499999999996</v>
      </c>
      <c r="N475" s="3">
        <f>_xlfn.XLOOKUP(Table1[[#This Row],[orderID]],Table3[orderID],Table3[quantity])</f>
        <v>50</v>
      </c>
      <c r="O475" s="6" t="str">
        <f>_xlfn.XLOOKUP(Table1[[#This Row],[CustomerID]],customers!A:A,customers!B:B)</f>
        <v>QUICK-Stop</v>
      </c>
      <c r="P475" s="6" t="str">
        <f>_xlfn.XLOOKUP(Table1[[#This Row],[shipperID]],Table6[shipperID],Table6[companyName])</f>
        <v>Federal Shipping</v>
      </c>
      <c r="Q475">
        <f>YEAR(Table1[[#This Row],[OrderDate]])</f>
        <v>2014</v>
      </c>
      <c r="R475">
        <f>MONTH(Table1[[#This Row],[OrderDate]])</f>
        <v>10</v>
      </c>
      <c r="S475" t="str">
        <f>"Q"&amp;ROUNDUP(Table1[[#This Row],[month]]/3,0)</f>
        <v>Q4</v>
      </c>
      <c r="T475" t="str">
        <f>CONCATENATE(Table1[[#This Row],[year]],"-",Table1[[#This Row],[Quarter]])</f>
        <v>2014-Q4</v>
      </c>
      <c r="U475" s="6" t="str">
        <f>IF(H474="","Pending",IF(Table1[[#This Row],[Days to ship]]&lt;Table1[[#This Row],[RequiredDate]],"On Time","Late"))</f>
        <v>On Time</v>
      </c>
      <c r="V475">
        <f>_xlfn.XLOOKUP(Table1[[#This Row],[orderID]],Table3[orderID],Table3[unitPrice])</f>
        <v>19.45</v>
      </c>
    </row>
    <row r="476" spans="1:22" x14ac:dyDescent="0.45">
      <c r="A476" s="3">
        <v>10722</v>
      </c>
      <c r="B476" s="6" t="s">
        <v>165</v>
      </c>
      <c r="C476" s="3">
        <v>8</v>
      </c>
      <c r="D476" s="6" t="str">
        <f>_xlfn.XLOOKUP(Table1[[#This Row],[EmployeeID]],Table4[employeeID],Table4[employeeName])</f>
        <v>Laura Callahan</v>
      </c>
      <c r="E476" s="1">
        <v>41941</v>
      </c>
      <c r="F476" s="1">
        <v>41983</v>
      </c>
      <c r="G476" s="1">
        <v>41947</v>
      </c>
      <c r="H476" s="3">
        <f>IF(Table1[[#This Row],[ShippedDate]]="","",IF(Table1[[#This Row],[OrderDate]]="","",Table1[[#This Row],[ShippedDate]]-Table1[[#This Row],[OrderDate]]))</f>
        <v>6</v>
      </c>
      <c r="I476" s="3">
        <v>1</v>
      </c>
      <c r="J476" s="2">
        <v>74.58</v>
      </c>
      <c r="K476" s="2">
        <f>SUMIF(order_details!A:A,Table1[[#This Row],[orderID]],order_details!F:F)</f>
        <v>1570</v>
      </c>
      <c r="L476" s="9">
        <f>_xlfn.XLOOKUP(Table1[[#This Row],[orderID]],Table3[orderID],Table3[discount])</f>
        <v>0</v>
      </c>
      <c r="M476" s="2">
        <f>SUM(Table1[[#This Row],[Sales]],Table1[[#This Row],[freight]])</f>
        <v>1644.58</v>
      </c>
      <c r="N476" s="3">
        <f>_xlfn.XLOOKUP(Table1[[#This Row],[orderID]],Table3[orderID],Table3[quantity])</f>
        <v>3</v>
      </c>
      <c r="O476" s="6" t="str">
        <f>_xlfn.XLOOKUP(Table1[[#This Row],[CustomerID]],customers!A:A,customers!B:B)</f>
        <v>Save-a-lot Markets</v>
      </c>
      <c r="P476" s="6" t="str">
        <f>_xlfn.XLOOKUP(Table1[[#This Row],[shipperID]],Table6[shipperID],Table6[companyName])</f>
        <v>Speedy Express</v>
      </c>
      <c r="Q476">
        <f>YEAR(Table1[[#This Row],[OrderDate]])</f>
        <v>2014</v>
      </c>
      <c r="R476">
        <f>MONTH(Table1[[#This Row],[OrderDate]])</f>
        <v>10</v>
      </c>
      <c r="S476" t="str">
        <f>"Q"&amp;ROUNDUP(Table1[[#This Row],[month]]/3,0)</f>
        <v>Q4</v>
      </c>
      <c r="T476" t="str">
        <f>CONCATENATE(Table1[[#This Row],[year]],"-",Table1[[#This Row],[Quarter]])</f>
        <v>2014-Q4</v>
      </c>
      <c r="U476" s="6" t="str">
        <f>IF(H475="","Pending",IF(Table1[[#This Row],[Days to ship]]&lt;Table1[[#This Row],[RequiredDate]],"On Time","Late"))</f>
        <v>On Time</v>
      </c>
      <c r="V476">
        <f>_xlfn.XLOOKUP(Table1[[#This Row],[orderID]],Table3[orderID],Table3[unitPrice])</f>
        <v>19</v>
      </c>
    </row>
    <row r="477" spans="1:22" x14ac:dyDescent="0.45">
      <c r="A477" s="3">
        <v>10723</v>
      </c>
      <c r="B477" s="6" t="s">
        <v>164</v>
      </c>
      <c r="C477" s="3">
        <v>3</v>
      </c>
      <c r="D477" s="6" t="str">
        <f>_xlfn.XLOOKUP(Table1[[#This Row],[EmployeeID]],Table4[employeeID],Table4[employeeName])</f>
        <v>Janet Leverling</v>
      </c>
      <c r="E477" s="1">
        <v>41942</v>
      </c>
      <c r="F477" s="1">
        <v>41970</v>
      </c>
      <c r="G477" s="1">
        <v>41968</v>
      </c>
      <c r="H477" s="3">
        <f>IF(Table1[[#This Row],[ShippedDate]]="","",IF(Table1[[#This Row],[OrderDate]]="","",Table1[[#This Row],[ShippedDate]]-Table1[[#This Row],[OrderDate]]))</f>
        <v>26</v>
      </c>
      <c r="I477" s="3">
        <v>1</v>
      </c>
      <c r="J477" s="2">
        <v>21.72</v>
      </c>
      <c r="K477" s="2">
        <f>SUMIF(order_details!A:A,Table1[[#This Row],[orderID]],order_details!F:F)</f>
        <v>468.45</v>
      </c>
      <c r="L477" s="9">
        <f>_xlfn.XLOOKUP(Table1[[#This Row],[orderID]],Table3[orderID],Table3[discount])</f>
        <v>0</v>
      </c>
      <c r="M477" s="2">
        <f>SUM(Table1[[#This Row],[Sales]],Table1[[#This Row],[freight]])</f>
        <v>490.16999999999996</v>
      </c>
      <c r="N477" s="3">
        <f>_xlfn.XLOOKUP(Table1[[#This Row],[orderID]],Table3[orderID],Table3[quantity])</f>
        <v>15</v>
      </c>
      <c r="O477" s="6" t="str">
        <f>_xlfn.XLOOKUP(Table1[[#This Row],[CustomerID]],customers!A:A,customers!B:B)</f>
        <v>White Clover Markets</v>
      </c>
      <c r="P477" s="6" t="str">
        <f>_xlfn.XLOOKUP(Table1[[#This Row],[shipperID]],Table6[shipperID],Table6[companyName])</f>
        <v>Speedy Express</v>
      </c>
      <c r="Q477">
        <f>YEAR(Table1[[#This Row],[OrderDate]])</f>
        <v>2014</v>
      </c>
      <c r="R477">
        <f>MONTH(Table1[[#This Row],[OrderDate]])</f>
        <v>10</v>
      </c>
      <c r="S477" t="str">
        <f>"Q"&amp;ROUNDUP(Table1[[#This Row],[month]]/3,0)</f>
        <v>Q4</v>
      </c>
      <c r="T477" t="str">
        <f>CONCATENATE(Table1[[#This Row],[year]],"-",Table1[[#This Row],[Quarter]])</f>
        <v>2014-Q4</v>
      </c>
      <c r="U477" s="6" t="str">
        <f>IF(H476="","Pending",IF(Table1[[#This Row],[Days to ship]]&lt;Table1[[#This Row],[RequiredDate]],"On Time","Late"))</f>
        <v>On Time</v>
      </c>
      <c r="V477">
        <f>_xlfn.XLOOKUP(Table1[[#This Row],[orderID]],Table3[orderID],Table3[unitPrice])</f>
        <v>31.23</v>
      </c>
    </row>
    <row r="478" spans="1:22" x14ac:dyDescent="0.45">
      <c r="A478" s="3">
        <v>10724</v>
      </c>
      <c r="B478" s="6" t="s">
        <v>238</v>
      </c>
      <c r="C478" s="3">
        <v>8</v>
      </c>
      <c r="D478" s="6" t="str">
        <f>_xlfn.XLOOKUP(Table1[[#This Row],[EmployeeID]],Table4[employeeID],Table4[employeeName])</f>
        <v>Laura Callahan</v>
      </c>
      <c r="E478" s="1">
        <v>41942</v>
      </c>
      <c r="F478" s="1">
        <v>41984</v>
      </c>
      <c r="G478" s="1">
        <v>41948</v>
      </c>
      <c r="H478" s="3">
        <f>IF(Table1[[#This Row],[ShippedDate]]="","",IF(Table1[[#This Row],[OrderDate]]="","",Table1[[#This Row],[ShippedDate]]-Table1[[#This Row],[OrderDate]]))</f>
        <v>6</v>
      </c>
      <c r="I478" s="3">
        <v>2</v>
      </c>
      <c r="J478" s="2">
        <v>57.75</v>
      </c>
      <c r="K478" s="2">
        <f>SUMIF(order_details!A:A,Table1[[#This Row],[orderID]],order_details!F:F)</f>
        <v>638.5</v>
      </c>
      <c r="L478" s="9">
        <f>_xlfn.XLOOKUP(Table1[[#This Row],[orderID]],Table3[orderID],Table3[discount])</f>
        <v>0</v>
      </c>
      <c r="M478" s="2">
        <f>SUM(Table1[[#This Row],[Sales]],Table1[[#This Row],[freight]])</f>
        <v>696.25</v>
      </c>
      <c r="N478" s="3">
        <f>_xlfn.XLOOKUP(Table1[[#This Row],[orderID]],Table3[orderID],Table3[quantity])</f>
        <v>16</v>
      </c>
      <c r="O478" s="6" t="str">
        <f>_xlfn.XLOOKUP(Table1[[#This Row],[CustomerID]],customers!A:A,customers!B:B)</f>
        <v>Mère Paillarde</v>
      </c>
      <c r="P478" s="6" t="str">
        <f>_xlfn.XLOOKUP(Table1[[#This Row],[shipperID]],Table6[shipperID],Table6[companyName])</f>
        <v>United Package</v>
      </c>
      <c r="Q478">
        <f>YEAR(Table1[[#This Row],[OrderDate]])</f>
        <v>2014</v>
      </c>
      <c r="R478">
        <f>MONTH(Table1[[#This Row],[OrderDate]])</f>
        <v>10</v>
      </c>
      <c r="S478" t="str">
        <f>"Q"&amp;ROUNDUP(Table1[[#This Row],[month]]/3,0)</f>
        <v>Q4</v>
      </c>
      <c r="T478" t="str">
        <f>CONCATENATE(Table1[[#This Row],[year]],"-",Table1[[#This Row],[Quarter]])</f>
        <v>2014-Q4</v>
      </c>
      <c r="U478" s="6" t="str">
        <f>IF(H477="","Pending",IF(Table1[[#This Row],[Days to ship]]&lt;Table1[[#This Row],[RequiredDate]],"On Time","Late"))</f>
        <v>On Time</v>
      </c>
      <c r="V478">
        <f>_xlfn.XLOOKUP(Table1[[#This Row],[orderID]],Table3[orderID],Table3[unitPrice])</f>
        <v>31</v>
      </c>
    </row>
    <row r="479" spans="1:22" x14ac:dyDescent="0.45">
      <c r="A479" s="3">
        <v>10725</v>
      </c>
      <c r="B479" s="6" t="s">
        <v>237</v>
      </c>
      <c r="C479" s="3">
        <v>4</v>
      </c>
      <c r="D479" s="6" t="str">
        <f>_xlfn.XLOOKUP(Table1[[#This Row],[EmployeeID]],Table4[employeeID],Table4[employeeName])</f>
        <v>Margaret Peacock</v>
      </c>
      <c r="E479" s="1">
        <v>41943</v>
      </c>
      <c r="F479" s="1">
        <v>41971</v>
      </c>
      <c r="G479" s="1">
        <v>41948</v>
      </c>
      <c r="H479" s="3">
        <f>IF(Table1[[#This Row],[ShippedDate]]="","",IF(Table1[[#This Row],[OrderDate]]="","",Table1[[#This Row],[ShippedDate]]-Table1[[#This Row],[OrderDate]]))</f>
        <v>5</v>
      </c>
      <c r="I479" s="3">
        <v>3</v>
      </c>
      <c r="J479" s="2">
        <v>10.83</v>
      </c>
      <c r="K479" s="2">
        <f>SUMIF(order_details!A:A,Table1[[#This Row],[orderID]],order_details!F:F)</f>
        <v>287.8</v>
      </c>
      <c r="L479" s="9">
        <f>_xlfn.XLOOKUP(Table1[[#This Row],[orderID]],Table3[orderID],Table3[discount])</f>
        <v>0</v>
      </c>
      <c r="M479" s="2">
        <f>SUM(Table1[[#This Row],[Sales]],Table1[[#This Row],[freight]])</f>
        <v>298.63</v>
      </c>
      <c r="N479" s="3">
        <f>_xlfn.XLOOKUP(Table1[[#This Row],[orderID]],Table3[orderID],Table3[quantity])</f>
        <v>12</v>
      </c>
      <c r="O479" s="6" t="str">
        <f>_xlfn.XLOOKUP(Table1[[#This Row],[CustomerID]],customers!A:A,customers!B:B)</f>
        <v>Familia Arquibaldo</v>
      </c>
      <c r="P479" s="6" t="str">
        <f>_xlfn.XLOOKUP(Table1[[#This Row],[shipperID]],Table6[shipperID],Table6[companyName])</f>
        <v>Federal Shipping</v>
      </c>
      <c r="Q479">
        <f>YEAR(Table1[[#This Row],[OrderDate]])</f>
        <v>2014</v>
      </c>
      <c r="R479">
        <f>MONTH(Table1[[#This Row],[OrderDate]])</f>
        <v>10</v>
      </c>
      <c r="S479" t="str">
        <f>"Q"&amp;ROUNDUP(Table1[[#This Row],[month]]/3,0)</f>
        <v>Q4</v>
      </c>
      <c r="T479" t="str">
        <f>CONCATENATE(Table1[[#This Row],[year]],"-",Table1[[#This Row],[Quarter]])</f>
        <v>2014-Q4</v>
      </c>
      <c r="U479" s="6" t="str">
        <f>IF(H478="","Pending",IF(Table1[[#This Row],[Days to ship]]&lt;Table1[[#This Row],[RequiredDate]],"On Time","Late"))</f>
        <v>On Time</v>
      </c>
      <c r="V479">
        <f>_xlfn.XLOOKUP(Table1[[#This Row],[orderID]],Table3[orderID],Table3[unitPrice])</f>
        <v>9.65</v>
      </c>
    </row>
    <row r="480" spans="1:22" x14ac:dyDescent="0.45">
      <c r="A480" s="3">
        <v>10726</v>
      </c>
      <c r="B480" s="6" t="s">
        <v>173</v>
      </c>
      <c r="C480" s="3">
        <v>4</v>
      </c>
      <c r="D480" s="6" t="str">
        <f>_xlfn.XLOOKUP(Table1[[#This Row],[EmployeeID]],Table4[employeeID],Table4[employeeName])</f>
        <v>Margaret Peacock</v>
      </c>
      <c r="E480" s="1">
        <v>41946</v>
      </c>
      <c r="F480" s="1">
        <v>41960</v>
      </c>
      <c r="G480" s="1">
        <v>41978</v>
      </c>
      <c r="H480" s="3">
        <f>IF(Table1[[#This Row],[ShippedDate]]="","",IF(Table1[[#This Row],[OrderDate]]="","",Table1[[#This Row],[ShippedDate]]-Table1[[#This Row],[OrderDate]]))</f>
        <v>32</v>
      </c>
      <c r="I480" s="3">
        <v>1</v>
      </c>
      <c r="J480" s="2">
        <v>16.559999999999999</v>
      </c>
      <c r="K480" s="2">
        <f>SUMIF(order_details!A:A,Table1[[#This Row],[orderID]],order_details!F:F)</f>
        <v>655</v>
      </c>
      <c r="L480" s="9">
        <f>_xlfn.XLOOKUP(Table1[[#This Row],[orderID]],Table3[orderID],Table3[discount])</f>
        <v>0</v>
      </c>
      <c r="M480" s="2">
        <f>SUM(Table1[[#This Row],[Sales]],Table1[[#This Row],[freight]])</f>
        <v>671.56</v>
      </c>
      <c r="N480" s="3">
        <f>_xlfn.XLOOKUP(Table1[[#This Row],[orderID]],Table3[orderID],Table3[quantity])</f>
        <v>25</v>
      </c>
      <c r="O480" s="6" t="str">
        <f>_xlfn.XLOOKUP(Table1[[#This Row],[CustomerID]],customers!A:A,customers!B:B)</f>
        <v>Eastern Connection</v>
      </c>
      <c r="P480" s="6" t="str">
        <f>_xlfn.XLOOKUP(Table1[[#This Row],[shipperID]],Table6[shipperID],Table6[companyName])</f>
        <v>Speedy Express</v>
      </c>
      <c r="Q480">
        <f>YEAR(Table1[[#This Row],[OrderDate]])</f>
        <v>2014</v>
      </c>
      <c r="R480">
        <f>MONTH(Table1[[#This Row],[OrderDate]])</f>
        <v>11</v>
      </c>
      <c r="S480" t="str">
        <f>"Q"&amp;ROUNDUP(Table1[[#This Row],[month]]/3,0)</f>
        <v>Q4</v>
      </c>
      <c r="T480" t="str">
        <f>CONCATENATE(Table1[[#This Row],[year]],"-",Table1[[#This Row],[Quarter]])</f>
        <v>2014-Q4</v>
      </c>
      <c r="U480" s="6" t="str">
        <f>IF(H479="","Pending",IF(Table1[[#This Row],[Days to ship]]&lt;Table1[[#This Row],[RequiredDate]],"On Time","Late"))</f>
        <v>On Time</v>
      </c>
      <c r="V480">
        <f>_xlfn.XLOOKUP(Table1[[#This Row],[orderID]],Table3[orderID],Table3[unitPrice])</f>
        <v>22</v>
      </c>
    </row>
    <row r="481" spans="1:22" x14ac:dyDescent="0.45">
      <c r="A481" s="3">
        <v>10727</v>
      </c>
      <c r="B481" s="6" t="s">
        <v>167</v>
      </c>
      <c r="C481" s="3">
        <v>2</v>
      </c>
      <c r="D481" s="6" t="str">
        <f>_xlfn.XLOOKUP(Table1[[#This Row],[EmployeeID]],Table4[employeeID],Table4[employeeName])</f>
        <v>Andrew Fuller</v>
      </c>
      <c r="E481" s="1">
        <v>41946</v>
      </c>
      <c r="F481" s="1">
        <v>41974</v>
      </c>
      <c r="G481" s="1">
        <v>41978</v>
      </c>
      <c r="H481" s="3">
        <f>IF(Table1[[#This Row],[ShippedDate]]="","",IF(Table1[[#This Row],[OrderDate]]="","",Table1[[#This Row],[ShippedDate]]-Table1[[#This Row],[OrderDate]]))</f>
        <v>32</v>
      </c>
      <c r="I481" s="3">
        <v>1</v>
      </c>
      <c r="J481" s="2">
        <v>89.9</v>
      </c>
      <c r="K481" s="2">
        <f>SUMIF(order_details!A:A,Table1[[#This Row],[orderID]],order_details!F:F)</f>
        <v>1624.5</v>
      </c>
      <c r="L481" s="9">
        <f>_xlfn.XLOOKUP(Table1[[#This Row],[orderID]],Table3[orderID],Table3[discount])</f>
        <v>0.05</v>
      </c>
      <c r="M481" s="2">
        <f>SUM(Table1[[#This Row],[Sales]],Table1[[#This Row],[freight]])</f>
        <v>1714.4</v>
      </c>
      <c r="N481" s="3">
        <f>_xlfn.XLOOKUP(Table1[[#This Row],[orderID]],Table3[orderID],Table3[quantity])</f>
        <v>20</v>
      </c>
      <c r="O481" s="6" t="str">
        <f>_xlfn.XLOOKUP(Table1[[#This Row],[CustomerID]],customers!A:A,customers!B:B)</f>
        <v>Reggiani Caseifici</v>
      </c>
      <c r="P481" s="6" t="str">
        <f>_xlfn.XLOOKUP(Table1[[#This Row],[shipperID]],Table6[shipperID],Table6[companyName])</f>
        <v>Speedy Express</v>
      </c>
      <c r="Q481">
        <f>YEAR(Table1[[#This Row],[OrderDate]])</f>
        <v>2014</v>
      </c>
      <c r="R481">
        <f>MONTH(Table1[[#This Row],[OrderDate]])</f>
        <v>11</v>
      </c>
      <c r="S481" t="str">
        <f>"Q"&amp;ROUNDUP(Table1[[#This Row],[month]]/3,0)</f>
        <v>Q4</v>
      </c>
      <c r="T481" t="str">
        <f>CONCATENATE(Table1[[#This Row],[year]],"-",Table1[[#This Row],[Quarter]])</f>
        <v>2014-Q4</v>
      </c>
      <c r="U481" s="6" t="str">
        <f>IF(H480="","Pending",IF(Table1[[#This Row],[Days to ship]]&lt;Table1[[#This Row],[RequiredDate]],"On Time","Late"))</f>
        <v>On Time</v>
      </c>
      <c r="V481">
        <f>_xlfn.XLOOKUP(Table1[[#This Row],[orderID]],Table3[orderID],Table3[unitPrice])</f>
        <v>39</v>
      </c>
    </row>
    <row r="482" spans="1:22" x14ac:dyDescent="0.45">
      <c r="A482" s="3">
        <v>10728</v>
      </c>
      <c r="B482" s="6" t="s">
        <v>162</v>
      </c>
      <c r="C482" s="3">
        <v>4</v>
      </c>
      <c r="D482" s="6" t="str">
        <f>_xlfn.XLOOKUP(Table1[[#This Row],[EmployeeID]],Table4[employeeID],Table4[employeeName])</f>
        <v>Margaret Peacock</v>
      </c>
      <c r="E482" s="1">
        <v>41947</v>
      </c>
      <c r="F482" s="1">
        <v>41975</v>
      </c>
      <c r="G482" s="1">
        <v>41954</v>
      </c>
      <c r="H482" s="3">
        <f>IF(Table1[[#This Row],[ShippedDate]]="","",IF(Table1[[#This Row],[OrderDate]]="","",Table1[[#This Row],[ShippedDate]]-Table1[[#This Row],[OrderDate]]))</f>
        <v>7</v>
      </c>
      <c r="I482" s="3">
        <v>2</v>
      </c>
      <c r="J482" s="2">
        <v>58.33</v>
      </c>
      <c r="K482" s="2">
        <f>SUMIF(order_details!A:A,Table1[[#This Row],[orderID]],order_details!F:F)</f>
        <v>1296.75</v>
      </c>
      <c r="L482" s="9">
        <f>_xlfn.XLOOKUP(Table1[[#This Row],[orderID]],Table3[orderID],Table3[discount])</f>
        <v>0</v>
      </c>
      <c r="M482" s="2">
        <f>SUM(Table1[[#This Row],[Sales]],Table1[[#This Row],[freight]])</f>
        <v>1355.08</v>
      </c>
      <c r="N482" s="3">
        <f>_xlfn.XLOOKUP(Table1[[#This Row],[orderID]],Table3[orderID],Table3[quantity])</f>
        <v>15</v>
      </c>
      <c r="O482" s="6" t="str">
        <f>_xlfn.XLOOKUP(Table1[[#This Row],[CustomerID]],customers!A:A,customers!B:B)</f>
        <v>Queen Cozinha</v>
      </c>
      <c r="P482" s="6" t="str">
        <f>_xlfn.XLOOKUP(Table1[[#This Row],[shipperID]],Table6[shipperID],Table6[companyName])</f>
        <v>United Package</v>
      </c>
      <c r="Q482">
        <f>YEAR(Table1[[#This Row],[OrderDate]])</f>
        <v>2014</v>
      </c>
      <c r="R482">
        <f>MONTH(Table1[[#This Row],[OrderDate]])</f>
        <v>11</v>
      </c>
      <c r="S482" t="str">
        <f>"Q"&amp;ROUNDUP(Table1[[#This Row],[month]]/3,0)</f>
        <v>Q4</v>
      </c>
      <c r="T482" t="str">
        <f>CONCATENATE(Table1[[#This Row],[year]],"-",Table1[[#This Row],[Quarter]])</f>
        <v>2014-Q4</v>
      </c>
      <c r="U482" s="6" t="str">
        <f>IF(H481="","Pending",IF(Table1[[#This Row],[Days to ship]]&lt;Table1[[#This Row],[RequiredDate]],"On Time","Late"))</f>
        <v>On Time</v>
      </c>
      <c r="V482">
        <f>_xlfn.XLOOKUP(Table1[[#This Row],[orderID]],Table3[orderID],Table3[unitPrice])</f>
        <v>25.89</v>
      </c>
    </row>
    <row r="483" spans="1:22" x14ac:dyDescent="0.45">
      <c r="A483" s="3">
        <v>10729</v>
      </c>
      <c r="B483" s="6" t="s">
        <v>187</v>
      </c>
      <c r="C483" s="3">
        <v>8</v>
      </c>
      <c r="D483" s="6" t="str">
        <f>_xlfn.XLOOKUP(Table1[[#This Row],[EmployeeID]],Table4[employeeID],Table4[employeeName])</f>
        <v>Laura Callahan</v>
      </c>
      <c r="E483" s="1">
        <v>41947</v>
      </c>
      <c r="F483" s="1">
        <v>41989</v>
      </c>
      <c r="G483" s="1">
        <v>41957</v>
      </c>
      <c r="H483" s="3">
        <f>IF(Table1[[#This Row],[ShippedDate]]="","",IF(Table1[[#This Row],[OrderDate]]="","",Table1[[#This Row],[ShippedDate]]-Table1[[#This Row],[OrderDate]]))</f>
        <v>10</v>
      </c>
      <c r="I483" s="3">
        <v>3</v>
      </c>
      <c r="J483" s="2">
        <v>141.06</v>
      </c>
      <c r="K483" s="2">
        <f>SUMIF(order_details!A:A,Table1[[#This Row],[orderID]],order_details!F:F)</f>
        <v>1850</v>
      </c>
      <c r="L483" s="9">
        <f>_xlfn.XLOOKUP(Table1[[#This Row],[orderID]],Table3[orderID],Table3[discount])</f>
        <v>0</v>
      </c>
      <c r="M483" s="2">
        <f>SUM(Table1[[#This Row],[Sales]],Table1[[#This Row],[freight]])</f>
        <v>1991.06</v>
      </c>
      <c r="N483" s="3">
        <f>_xlfn.XLOOKUP(Table1[[#This Row],[orderID]],Table3[orderID],Table3[quantity])</f>
        <v>50</v>
      </c>
      <c r="O483" s="6" t="str">
        <f>_xlfn.XLOOKUP(Table1[[#This Row],[CustomerID]],customers!A:A,customers!B:B)</f>
        <v>LINO-Delicateses</v>
      </c>
      <c r="P483" s="6" t="str">
        <f>_xlfn.XLOOKUP(Table1[[#This Row],[shipperID]],Table6[shipperID],Table6[companyName])</f>
        <v>Federal Shipping</v>
      </c>
      <c r="Q483">
        <f>YEAR(Table1[[#This Row],[OrderDate]])</f>
        <v>2014</v>
      </c>
      <c r="R483">
        <f>MONTH(Table1[[#This Row],[OrderDate]])</f>
        <v>11</v>
      </c>
      <c r="S483" t="str">
        <f>"Q"&amp;ROUNDUP(Table1[[#This Row],[month]]/3,0)</f>
        <v>Q4</v>
      </c>
      <c r="T483" t="str">
        <f>CONCATENATE(Table1[[#This Row],[year]],"-",Table1[[#This Row],[Quarter]])</f>
        <v>2014-Q4</v>
      </c>
      <c r="U483" s="6" t="str">
        <f>IF(H482="","Pending",IF(Table1[[#This Row],[Days to ship]]&lt;Table1[[#This Row],[RequiredDate]],"On Time","Late"))</f>
        <v>On Time</v>
      </c>
      <c r="V483">
        <f>_xlfn.XLOOKUP(Table1[[#This Row],[orderID]],Table3[orderID],Table3[unitPrice])</f>
        <v>18</v>
      </c>
    </row>
    <row r="484" spans="1:22" x14ac:dyDescent="0.45">
      <c r="A484" s="3">
        <v>10730</v>
      </c>
      <c r="B484" s="6" t="s">
        <v>154</v>
      </c>
      <c r="C484" s="3">
        <v>5</v>
      </c>
      <c r="D484" s="6" t="str">
        <f>_xlfn.XLOOKUP(Table1[[#This Row],[EmployeeID]],Table4[employeeID],Table4[employeeName])</f>
        <v>Steven Buchanan</v>
      </c>
      <c r="E484" s="1">
        <v>41948</v>
      </c>
      <c r="F484" s="1">
        <v>41976</v>
      </c>
      <c r="G484" s="1">
        <v>41957</v>
      </c>
      <c r="H484" s="3">
        <f>IF(Table1[[#This Row],[ShippedDate]]="","",IF(Table1[[#This Row],[OrderDate]]="","",Table1[[#This Row],[ShippedDate]]-Table1[[#This Row],[OrderDate]]))</f>
        <v>9</v>
      </c>
      <c r="I484" s="3">
        <v>1</v>
      </c>
      <c r="J484" s="2">
        <v>20.12</v>
      </c>
      <c r="K484" s="2">
        <f>SUMIF(order_details!A:A,Table1[[#This Row],[orderID]],order_details!F:F)</f>
        <v>484.26250000000005</v>
      </c>
      <c r="L484" s="9">
        <f>_xlfn.XLOOKUP(Table1[[#This Row],[orderID]],Table3[orderID],Table3[discount])</f>
        <v>0.05</v>
      </c>
      <c r="M484" s="2">
        <f>SUM(Table1[[#This Row],[Sales]],Table1[[#This Row],[freight]])</f>
        <v>504.38250000000005</v>
      </c>
      <c r="N484" s="3">
        <f>_xlfn.XLOOKUP(Table1[[#This Row],[orderID]],Table3[orderID],Table3[quantity])</f>
        <v>15</v>
      </c>
      <c r="O484" s="6" t="str">
        <f>_xlfn.XLOOKUP(Table1[[#This Row],[CustomerID]],customers!A:A,customers!B:B)</f>
        <v>Bon app'</v>
      </c>
      <c r="P484" s="6" t="str">
        <f>_xlfn.XLOOKUP(Table1[[#This Row],[shipperID]],Table6[shipperID],Table6[companyName])</f>
        <v>Speedy Express</v>
      </c>
      <c r="Q484">
        <f>YEAR(Table1[[#This Row],[OrderDate]])</f>
        <v>2014</v>
      </c>
      <c r="R484">
        <f>MONTH(Table1[[#This Row],[OrderDate]])</f>
        <v>11</v>
      </c>
      <c r="S484" t="str">
        <f>"Q"&amp;ROUNDUP(Table1[[#This Row],[month]]/3,0)</f>
        <v>Q4</v>
      </c>
      <c r="T484" t="str">
        <f>CONCATENATE(Table1[[#This Row],[year]],"-",Table1[[#This Row],[Quarter]])</f>
        <v>2014-Q4</v>
      </c>
      <c r="U484" s="6" t="str">
        <f>IF(H483="","Pending",IF(Table1[[#This Row],[Days to ship]]&lt;Table1[[#This Row],[RequiredDate]],"On Time","Late"))</f>
        <v>On Time</v>
      </c>
      <c r="V484">
        <f>_xlfn.XLOOKUP(Table1[[#This Row],[orderID]],Table3[orderID],Table3[unitPrice])</f>
        <v>17.45</v>
      </c>
    </row>
    <row r="485" spans="1:22" x14ac:dyDescent="0.45">
      <c r="A485" s="3">
        <v>10731</v>
      </c>
      <c r="B485" s="6" t="s">
        <v>186</v>
      </c>
      <c r="C485" s="3">
        <v>7</v>
      </c>
      <c r="D485" s="6" t="str">
        <f>_xlfn.XLOOKUP(Table1[[#This Row],[EmployeeID]],Table4[employeeID],Table4[employeeName])</f>
        <v>Robert King</v>
      </c>
      <c r="E485" s="1">
        <v>41949</v>
      </c>
      <c r="F485" s="1">
        <v>41977</v>
      </c>
      <c r="G485" s="1">
        <v>41957</v>
      </c>
      <c r="H485" s="3">
        <f>IF(Table1[[#This Row],[ShippedDate]]="","",IF(Table1[[#This Row],[OrderDate]]="","",Table1[[#This Row],[ShippedDate]]-Table1[[#This Row],[OrderDate]]))</f>
        <v>8</v>
      </c>
      <c r="I485" s="3">
        <v>1</v>
      </c>
      <c r="J485" s="2">
        <v>96.65</v>
      </c>
      <c r="K485" s="2">
        <f>SUMIF(order_details!A:A,Table1[[#This Row],[orderID]],order_details!F:F)</f>
        <v>1890.5</v>
      </c>
      <c r="L485" s="9">
        <f>_xlfn.XLOOKUP(Table1[[#This Row],[orderID]],Table3[orderID],Table3[discount])</f>
        <v>0.05</v>
      </c>
      <c r="M485" s="2">
        <f>SUM(Table1[[#This Row],[Sales]],Table1[[#This Row],[freight]])</f>
        <v>1987.15</v>
      </c>
      <c r="N485" s="3">
        <f>_xlfn.XLOOKUP(Table1[[#This Row],[orderID]],Table3[orderID],Table3[quantity])</f>
        <v>40</v>
      </c>
      <c r="O485" s="6" t="str">
        <f>_xlfn.XLOOKUP(Table1[[#This Row],[CustomerID]],customers!A:A,customers!B:B)</f>
        <v>Chop-suey Chinese</v>
      </c>
      <c r="P485" s="6" t="str">
        <f>_xlfn.XLOOKUP(Table1[[#This Row],[shipperID]],Table6[shipperID],Table6[companyName])</f>
        <v>Speedy Express</v>
      </c>
      <c r="Q485">
        <f>YEAR(Table1[[#This Row],[OrderDate]])</f>
        <v>2014</v>
      </c>
      <c r="R485">
        <f>MONTH(Table1[[#This Row],[OrderDate]])</f>
        <v>11</v>
      </c>
      <c r="S485" t="str">
        <f>"Q"&amp;ROUNDUP(Table1[[#This Row],[month]]/3,0)</f>
        <v>Q4</v>
      </c>
      <c r="T485" t="str">
        <f>CONCATENATE(Table1[[#This Row],[year]],"-",Table1[[#This Row],[Quarter]])</f>
        <v>2014-Q4</v>
      </c>
      <c r="U485" s="6" t="str">
        <f>IF(H484="","Pending",IF(Table1[[#This Row],[Days to ship]]&lt;Table1[[#This Row],[RequiredDate]],"On Time","Late"))</f>
        <v>On Time</v>
      </c>
      <c r="V485">
        <f>_xlfn.XLOOKUP(Table1[[#This Row],[orderID]],Table3[orderID],Table3[unitPrice])</f>
        <v>10</v>
      </c>
    </row>
    <row r="486" spans="1:22" x14ac:dyDescent="0.45">
      <c r="A486" s="3">
        <v>10732</v>
      </c>
      <c r="B486" s="6" t="s">
        <v>154</v>
      </c>
      <c r="C486" s="3">
        <v>3</v>
      </c>
      <c r="D486" s="6" t="str">
        <f>_xlfn.XLOOKUP(Table1[[#This Row],[EmployeeID]],Table4[employeeID],Table4[employeeName])</f>
        <v>Janet Leverling</v>
      </c>
      <c r="E486" s="1">
        <v>41949</v>
      </c>
      <c r="F486" s="1">
        <v>41977</v>
      </c>
      <c r="G486" s="1">
        <v>41950</v>
      </c>
      <c r="H486" s="3">
        <f>IF(Table1[[#This Row],[ShippedDate]]="","",IF(Table1[[#This Row],[OrderDate]]="","",Table1[[#This Row],[ShippedDate]]-Table1[[#This Row],[OrderDate]]))</f>
        <v>1</v>
      </c>
      <c r="I486" s="3">
        <v>1</v>
      </c>
      <c r="J486" s="2">
        <v>16.97</v>
      </c>
      <c r="K486" s="2">
        <f>SUMIF(order_details!A:A,Table1[[#This Row],[orderID]],order_details!F:F)</f>
        <v>360</v>
      </c>
      <c r="L486" s="9">
        <f>_xlfn.XLOOKUP(Table1[[#This Row],[orderID]],Table3[orderID],Table3[discount])</f>
        <v>0</v>
      </c>
      <c r="M486" s="2">
        <f>SUM(Table1[[#This Row],[Sales]],Table1[[#This Row],[freight]])</f>
        <v>376.97</v>
      </c>
      <c r="N486" s="3">
        <f>_xlfn.XLOOKUP(Table1[[#This Row],[orderID]],Table3[orderID],Table3[quantity])</f>
        <v>20</v>
      </c>
      <c r="O486" s="6" t="str">
        <f>_xlfn.XLOOKUP(Table1[[#This Row],[CustomerID]],customers!A:A,customers!B:B)</f>
        <v>Bon app'</v>
      </c>
      <c r="P486" s="6" t="str">
        <f>_xlfn.XLOOKUP(Table1[[#This Row],[shipperID]],Table6[shipperID],Table6[companyName])</f>
        <v>Speedy Express</v>
      </c>
      <c r="Q486">
        <f>YEAR(Table1[[#This Row],[OrderDate]])</f>
        <v>2014</v>
      </c>
      <c r="R486">
        <f>MONTH(Table1[[#This Row],[OrderDate]])</f>
        <v>11</v>
      </c>
      <c r="S486" t="str">
        <f>"Q"&amp;ROUNDUP(Table1[[#This Row],[month]]/3,0)</f>
        <v>Q4</v>
      </c>
      <c r="T486" t="str">
        <f>CONCATENATE(Table1[[#This Row],[year]],"-",Table1[[#This Row],[Quarter]])</f>
        <v>2014-Q4</v>
      </c>
      <c r="U486" s="6" t="str">
        <f>IF(H485="","Pending",IF(Table1[[#This Row],[Days to ship]]&lt;Table1[[#This Row],[RequiredDate]],"On Time","Late"))</f>
        <v>On Time</v>
      </c>
      <c r="V486">
        <f>_xlfn.XLOOKUP(Table1[[#This Row],[orderID]],Table3[orderID],Table3[unitPrice])</f>
        <v>18</v>
      </c>
    </row>
    <row r="487" spans="1:22" x14ac:dyDescent="0.45">
      <c r="A487" s="3">
        <v>10733</v>
      </c>
      <c r="B487" s="6" t="s">
        <v>223</v>
      </c>
      <c r="C487" s="3">
        <v>1</v>
      </c>
      <c r="D487" s="6" t="str">
        <f>_xlfn.XLOOKUP(Table1[[#This Row],[EmployeeID]],Table4[employeeID],Table4[employeeName])</f>
        <v>Nancy Davolio</v>
      </c>
      <c r="E487" s="1">
        <v>41950</v>
      </c>
      <c r="F487" s="1">
        <v>41978</v>
      </c>
      <c r="G487" s="1">
        <v>41953</v>
      </c>
      <c r="H487" s="3">
        <f>IF(Table1[[#This Row],[ShippedDate]]="","",IF(Table1[[#This Row],[OrderDate]]="","",Table1[[#This Row],[ShippedDate]]-Table1[[#This Row],[OrderDate]]))</f>
        <v>3</v>
      </c>
      <c r="I487" s="3">
        <v>3</v>
      </c>
      <c r="J487" s="2">
        <v>110.11</v>
      </c>
      <c r="K487" s="2">
        <f>SUMIF(order_details!A:A,Table1[[#This Row],[orderID]],order_details!F:F)</f>
        <v>1459</v>
      </c>
      <c r="L487" s="9">
        <f>_xlfn.XLOOKUP(Table1[[#This Row],[orderID]],Table3[orderID],Table3[discount])</f>
        <v>0</v>
      </c>
      <c r="M487" s="2">
        <f>SUM(Table1[[#This Row],[Sales]],Table1[[#This Row],[freight]])</f>
        <v>1569.11</v>
      </c>
      <c r="N487" s="3">
        <f>_xlfn.XLOOKUP(Table1[[#This Row],[orderID]],Table3[orderID],Table3[quantity])</f>
        <v>16</v>
      </c>
      <c r="O487" s="6" t="str">
        <f>_xlfn.XLOOKUP(Table1[[#This Row],[CustomerID]],customers!A:A,customers!B:B)</f>
        <v>Berglunds snabbköp</v>
      </c>
      <c r="P487" s="6" t="str">
        <f>_xlfn.XLOOKUP(Table1[[#This Row],[shipperID]],Table6[shipperID],Table6[companyName])</f>
        <v>Federal Shipping</v>
      </c>
      <c r="Q487">
        <f>YEAR(Table1[[#This Row],[OrderDate]])</f>
        <v>2014</v>
      </c>
      <c r="R487">
        <f>MONTH(Table1[[#This Row],[OrderDate]])</f>
        <v>11</v>
      </c>
      <c r="S487" t="str">
        <f>"Q"&amp;ROUNDUP(Table1[[#This Row],[month]]/3,0)</f>
        <v>Q4</v>
      </c>
      <c r="T487" t="str">
        <f>CONCATENATE(Table1[[#This Row],[year]],"-",Table1[[#This Row],[Quarter]])</f>
        <v>2014-Q4</v>
      </c>
      <c r="U487" s="6" t="str">
        <f>IF(H486="","Pending",IF(Table1[[#This Row],[Days to ship]]&lt;Table1[[#This Row],[RequiredDate]],"On Time","Late"))</f>
        <v>On Time</v>
      </c>
      <c r="V487">
        <f>_xlfn.XLOOKUP(Table1[[#This Row],[orderID]],Table3[orderID],Table3[unitPrice])</f>
        <v>23.25</v>
      </c>
    </row>
    <row r="488" spans="1:22" x14ac:dyDescent="0.45">
      <c r="A488" s="3">
        <v>10734</v>
      </c>
      <c r="B488" s="6" t="s">
        <v>180</v>
      </c>
      <c r="C488" s="3">
        <v>2</v>
      </c>
      <c r="D488" s="6" t="str">
        <f>_xlfn.XLOOKUP(Table1[[#This Row],[EmployeeID]],Table4[employeeID],Table4[employeeName])</f>
        <v>Andrew Fuller</v>
      </c>
      <c r="E488" s="1">
        <v>41950</v>
      </c>
      <c r="F488" s="1">
        <v>41978</v>
      </c>
      <c r="G488" s="1">
        <v>41955</v>
      </c>
      <c r="H488" s="3">
        <f>IF(Table1[[#This Row],[ShippedDate]]="","",IF(Table1[[#This Row],[OrderDate]]="","",Table1[[#This Row],[ShippedDate]]-Table1[[#This Row],[OrderDate]]))</f>
        <v>5</v>
      </c>
      <c r="I488" s="3">
        <v>3</v>
      </c>
      <c r="J488" s="2">
        <v>1.63</v>
      </c>
      <c r="K488" s="2">
        <f>SUMIF(order_details!A:A,Table1[[#This Row],[orderID]],order_details!F:F)</f>
        <v>1498.35</v>
      </c>
      <c r="L488" s="9">
        <f>_xlfn.XLOOKUP(Table1[[#This Row],[orderID]],Table3[orderID],Table3[discount])</f>
        <v>0</v>
      </c>
      <c r="M488" s="2">
        <f>SUM(Table1[[#This Row],[Sales]],Table1[[#This Row],[freight]])</f>
        <v>1499.98</v>
      </c>
      <c r="N488" s="3">
        <f>_xlfn.XLOOKUP(Table1[[#This Row],[orderID]],Table3[orderID],Table3[quantity])</f>
        <v>30</v>
      </c>
      <c r="O488" s="6" t="str">
        <f>_xlfn.XLOOKUP(Table1[[#This Row],[CustomerID]],customers!A:A,customers!B:B)</f>
        <v>Gourmet Lanchonetes</v>
      </c>
      <c r="P488" s="6" t="str">
        <f>_xlfn.XLOOKUP(Table1[[#This Row],[shipperID]],Table6[shipperID],Table6[companyName])</f>
        <v>Federal Shipping</v>
      </c>
      <c r="Q488">
        <f>YEAR(Table1[[#This Row],[OrderDate]])</f>
        <v>2014</v>
      </c>
      <c r="R488">
        <f>MONTH(Table1[[#This Row],[OrderDate]])</f>
        <v>11</v>
      </c>
      <c r="S488" t="str">
        <f>"Q"&amp;ROUNDUP(Table1[[#This Row],[month]]/3,0)</f>
        <v>Q4</v>
      </c>
      <c r="T488" t="str">
        <f>CONCATENATE(Table1[[#This Row],[year]],"-",Table1[[#This Row],[Quarter]])</f>
        <v>2014-Q4</v>
      </c>
      <c r="U488" s="6" t="str">
        <f>IF(H487="","Pending",IF(Table1[[#This Row],[Days to ship]]&lt;Table1[[#This Row],[RequiredDate]],"On Time","Late"))</f>
        <v>On Time</v>
      </c>
      <c r="V488">
        <f>_xlfn.XLOOKUP(Table1[[#This Row],[orderID]],Table3[orderID],Table3[unitPrice])</f>
        <v>25</v>
      </c>
    </row>
    <row r="489" spans="1:22" x14ac:dyDescent="0.45">
      <c r="A489" s="3">
        <v>10735</v>
      </c>
      <c r="B489" s="6" t="s">
        <v>225</v>
      </c>
      <c r="C489" s="3">
        <v>6</v>
      </c>
      <c r="D489" s="6" t="str">
        <f>_xlfn.XLOOKUP(Table1[[#This Row],[EmployeeID]],Table4[employeeID],Table4[employeeName])</f>
        <v>Michael Suyama</v>
      </c>
      <c r="E489" s="1">
        <v>41953</v>
      </c>
      <c r="F489" s="1">
        <v>41981</v>
      </c>
      <c r="G489" s="1">
        <v>41964</v>
      </c>
      <c r="H489" s="3">
        <f>IF(Table1[[#This Row],[ShippedDate]]="","",IF(Table1[[#This Row],[OrderDate]]="","",Table1[[#This Row],[ShippedDate]]-Table1[[#This Row],[OrderDate]]))</f>
        <v>11</v>
      </c>
      <c r="I489" s="3">
        <v>2</v>
      </c>
      <c r="J489" s="2">
        <v>45.97</v>
      </c>
      <c r="K489" s="2">
        <f>SUMIF(order_details!A:A,Table1[[#This Row],[orderID]],order_details!F:F)</f>
        <v>536.4</v>
      </c>
      <c r="L489" s="9">
        <f>_xlfn.XLOOKUP(Table1[[#This Row],[orderID]],Table3[orderID],Table3[discount])</f>
        <v>0.1</v>
      </c>
      <c r="M489" s="2">
        <f>SUM(Table1[[#This Row],[Sales]],Table1[[#This Row],[freight]])</f>
        <v>582.37</v>
      </c>
      <c r="N489" s="3">
        <f>_xlfn.XLOOKUP(Table1[[#This Row],[orderID]],Table3[orderID],Table3[quantity])</f>
        <v>20</v>
      </c>
      <c r="O489" s="6" t="str">
        <f>_xlfn.XLOOKUP(Table1[[#This Row],[CustomerID]],customers!A:A,customers!B:B)</f>
        <v>Let's Stop N Shop</v>
      </c>
      <c r="P489" s="6" t="str">
        <f>_xlfn.XLOOKUP(Table1[[#This Row],[shipperID]],Table6[shipperID],Table6[companyName])</f>
        <v>United Package</v>
      </c>
      <c r="Q489">
        <f>YEAR(Table1[[#This Row],[OrderDate]])</f>
        <v>2014</v>
      </c>
      <c r="R489">
        <f>MONTH(Table1[[#This Row],[OrderDate]])</f>
        <v>11</v>
      </c>
      <c r="S489" t="str">
        <f>"Q"&amp;ROUNDUP(Table1[[#This Row],[month]]/3,0)</f>
        <v>Q4</v>
      </c>
      <c r="T489" t="str">
        <f>CONCATENATE(Table1[[#This Row],[year]],"-",Table1[[#This Row],[Quarter]])</f>
        <v>2014-Q4</v>
      </c>
      <c r="U489" s="6" t="str">
        <f>IF(H488="","Pending",IF(Table1[[#This Row],[Days to ship]]&lt;Table1[[#This Row],[RequiredDate]],"On Time","Late"))</f>
        <v>On Time</v>
      </c>
      <c r="V489">
        <f>_xlfn.XLOOKUP(Table1[[#This Row],[orderID]],Table3[orderID],Table3[unitPrice])</f>
        <v>28.5</v>
      </c>
    </row>
    <row r="490" spans="1:22" x14ac:dyDescent="0.45">
      <c r="A490" s="3">
        <v>10736</v>
      </c>
      <c r="B490" s="6" t="s">
        <v>166</v>
      </c>
      <c r="C490" s="3">
        <v>9</v>
      </c>
      <c r="D490" s="6" t="str">
        <f>_xlfn.XLOOKUP(Table1[[#This Row],[EmployeeID]],Table4[employeeID],Table4[employeeName])</f>
        <v>Anne Dodsworth</v>
      </c>
      <c r="E490" s="1">
        <v>41954</v>
      </c>
      <c r="F490" s="1">
        <v>41982</v>
      </c>
      <c r="G490" s="1">
        <v>41964</v>
      </c>
      <c r="H490" s="3">
        <f>IF(Table1[[#This Row],[ShippedDate]]="","",IF(Table1[[#This Row],[OrderDate]]="","",Table1[[#This Row],[ShippedDate]]-Table1[[#This Row],[OrderDate]]))</f>
        <v>10</v>
      </c>
      <c r="I490" s="3">
        <v>2</v>
      </c>
      <c r="J490" s="2">
        <v>44.1</v>
      </c>
      <c r="K490" s="2">
        <f>SUMIF(order_details!A:A,Table1[[#This Row],[orderID]],order_details!F:F)</f>
        <v>997</v>
      </c>
      <c r="L490" s="9">
        <f>_xlfn.XLOOKUP(Table1[[#This Row],[orderID]],Table3[orderID],Table3[discount])</f>
        <v>0</v>
      </c>
      <c r="M490" s="2">
        <f>SUM(Table1[[#This Row],[Sales]],Table1[[#This Row],[freight]])</f>
        <v>1041.0999999999999</v>
      </c>
      <c r="N490" s="3">
        <f>_xlfn.XLOOKUP(Table1[[#This Row],[orderID]],Table3[orderID],Table3[quantity])</f>
        <v>40</v>
      </c>
      <c r="O490" s="6" t="str">
        <f>_xlfn.XLOOKUP(Table1[[#This Row],[CustomerID]],customers!A:A,customers!B:B)</f>
        <v>Hungry Owl All-Night Grocers</v>
      </c>
      <c r="P490" s="6" t="str">
        <f>_xlfn.XLOOKUP(Table1[[#This Row],[shipperID]],Table6[shipperID],Table6[companyName])</f>
        <v>United Package</v>
      </c>
      <c r="Q490">
        <f>YEAR(Table1[[#This Row],[OrderDate]])</f>
        <v>2014</v>
      </c>
      <c r="R490">
        <f>MONTH(Table1[[#This Row],[OrderDate]])</f>
        <v>11</v>
      </c>
      <c r="S490" t="str">
        <f>"Q"&amp;ROUNDUP(Table1[[#This Row],[month]]/3,0)</f>
        <v>Q4</v>
      </c>
      <c r="T490" t="str">
        <f>CONCATENATE(Table1[[#This Row],[year]],"-",Table1[[#This Row],[Quarter]])</f>
        <v>2014-Q4</v>
      </c>
      <c r="U490" s="6" t="str">
        <f>IF(H489="","Pending",IF(Table1[[#This Row],[Days to ship]]&lt;Table1[[#This Row],[RequiredDate]],"On Time","Late"))</f>
        <v>On Time</v>
      </c>
      <c r="V490">
        <f>_xlfn.XLOOKUP(Table1[[#This Row],[orderID]],Table3[orderID],Table3[unitPrice])</f>
        <v>21.05</v>
      </c>
    </row>
    <row r="491" spans="1:22" x14ac:dyDescent="0.45">
      <c r="A491" s="3">
        <v>10737</v>
      </c>
      <c r="B491" s="6" t="s">
        <v>236</v>
      </c>
      <c r="C491" s="3">
        <v>2</v>
      </c>
      <c r="D491" s="6" t="str">
        <f>_xlfn.XLOOKUP(Table1[[#This Row],[EmployeeID]],Table4[employeeID],Table4[employeeName])</f>
        <v>Andrew Fuller</v>
      </c>
      <c r="E491" s="1">
        <v>41954</v>
      </c>
      <c r="F491" s="1">
        <v>41982</v>
      </c>
      <c r="G491" s="1">
        <v>41961</v>
      </c>
      <c r="H491" s="3">
        <f>IF(Table1[[#This Row],[ShippedDate]]="","",IF(Table1[[#This Row],[OrderDate]]="","",Table1[[#This Row],[ShippedDate]]-Table1[[#This Row],[OrderDate]]))</f>
        <v>7</v>
      </c>
      <c r="I491" s="3">
        <v>2</v>
      </c>
      <c r="J491" s="2">
        <v>7.79</v>
      </c>
      <c r="K491" s="2">
        <f>SUMIF(order_details!A:A,Table1[[#This Row],[orderID]],order_details!F:F)</f>
        <v>139.80000000000001</v>
      </c>
      <c r="L491" s="9">
        <f>_xlfn.XLOOKUP(Table1[[#This Row],[orderID]],Table3[orderID],Table3[discount])</f>
        <v>0</v>
      </c>
      <c r="M491" s="2">
        <f>SUM(Table1[[#This Row],[Sales]],Table1[[#This Row],[freight]])</f>
        <v>147.59</v>
      </c>
      <c r="N491" s="3">
        <f>_xlfn.XLOOKUP(Table1[[#This Row],[orderID]],Table3[orderID],Table3[quantity])</f>
        <v>4</v>
      </c>
      <c r="O491" s="6" t="str">
        <f>_xlfn.XLOOKUP(Table1[[#This Row],[CustomerID]],customers!A:A,customers!B:B)</f>
        <v>Vins et alcools Chevalier</v>
      </c>
      <c r="P491" s="6" t="str">
        <f>_xlfn.XLOOKUP(Table1[[#This Row],[shipperID]],Table6[shipperID],Table6[companyName])</f>
        <v>United Package</v>
      </c>
      <c r="Q491">
        <f>YEAR(Table1[[#This Row],[OrderDate]])</f>
        <v>2014</v>
      </c>
      <c r="R491">
        <f>MONTH(Table1[[#This Row],[OrderDate]])</f>
        <v>11</v>
      </c>
      <c r="S491" t="str">
        <f>"Q"&amp;ROUNDUP(Table1[[#This Row],[month]]/3,0)</f>
        <v>Q4</v>
      </c>
      <c r="T491" t="str">
        <f>CONCATENATE(Table1[[#This Row],[year]],"-",Table1[[#This Row],[Quarter]])</f>
        <v>2014-Q4</v>
      </c>
      <c r="U491" s="6" t="str">
        <f>IF(H490="","Pending",IF(Table1[[#This Row],[Days to ship]]&lt;Table1[[#This Row],[RequiredDate]],"On Time","Late"))</f>
        <v>On Time</v>
      </c>
      <c r="V491">
        <f>_xlfn.XLOOKUP(Table1[[#This Row],[orderID]],Table3[orderID],Table3[unitPrice])</f>
        <v>6</v>
      </c>
    </row>
    <row r="492" spans="1:22" x14ac:dyDescent="0.45">
      <c r="A492" s="3">
        <v>10738</v>
      </c>
      <c r="B492" s="6" t="s">
        <v>184</v>
      </c>
      <c r="C492" s="3">
        <v>2</v>
      </c>
      <c r="D492" s="6" t="str">
        <f>_xlfn.XLOOKUP(Table1[[#This Row],[EmployeeID]],Table4[employeeID],Table4[employeeName])</f>
        <v>Andrew Fuller</v>
      </c>
      <c r="E492" s="1">
        <v>41955</v>
      </c>
      <c r="F492" s="1">
        <v>41983</v>
      </c>
      <c r="G492" s="1">
        <v>41961</v>
      </c>
      <c r="H492" s="3">
        <f>IF(Table1[[#This Row],[ShippedDate]]="","",IF(Table1[[#This Row],[OrderDate]]="","",Table1[[#This Row],[ShippedDate]]-Table1[[#This Row],[OrderDate]]))</f>
        <v>6</v>
      </c>
      <c r="I492" s="3">
        <v>1</v>
      </c>
      <c r="J492" s="2">
        <v>2.91</v>
      </c>
      <c r="K492" s="2">
        <f>SUMIF(order_details!A:A,Table1[[#This Row],[orderID]],order_details!F:F)</f>
        <v>52.349999999999994</v>
      </c>
      <c r="L492" s="9">
        <f>_xlfn.XLOOKUP(Table1[[#This Row],[orderID]],Table3[orderID],Table3[discount])</f>
        <v>0</v>
      </c>
      <c r="M492" s="2">
        <f>SUM(Table1[[#This Row],[Sales]],Table1[[#This Row],[freight]])</f>
        <v>55.259999999999991</v>
      </c>
      <c r="N492" s="3">
        <f>_xlfn.XLOOKUP(Table1[[#This Row],[orderID]],Table3[orderID],Table3[quantity])</f>
        <v>3</v>
      </c>
      <c r="O492" s="6" t="str">
        <f>_xlfn.XLOOKUP(Table1[[#This Row],[CustomerID]],customers!A:A,customers!B:B)</f>
        <v>Spécialités du monde</v>
      </c>
      <c r="P492" s="6" t="str">
        <f>_xlfn.XLOOKUP(Table1[[#This Row],[shipperID]],Table6[shipperID],Table6[companyName])</f>
        <v>Speedy Express</v>
      </c>
      <c r="Q492">
        <f>YEAR(Table1[[#This Row],[OrderDate]])</f>
        <v>2014</v>
      </c>
      <c r="R492">
        <f>MONTH(Table1[[#This Row],[OrderDate]])</f>
        <v>11</v>
      </c>
      <c r="S492" t="str">
        <f>"Q"&amp;ROUNDUP(Table1[[#This Row],[month]]/3,0)</f>
        <v>Q4</v>
      </c>
      <c r="T492" t="str">
        <f>CONCATENATE(Table1[[#This Row],[year]],"-",Table1[[#This Row],[Quarter]])</f>
        <v>2014-Q4</v>
      </c>
      <c r="U492" s="6" t="str">
        <f>IF(H491="","Pending",IF(Table1[[#This Row],[Days to ship]]&lt;Table1[[#This Row],[RequiredDate]],"On Time","Late"))</f>
        <v>On Time</v>
      </c>
      <c r="V492">
        <f>_xlfn.XLOOKUP(Table1[[#This Row],[orderID]],Table3[orderID],Table3[unitPrice])</f>
        <v>17.45</v>
      </c>
    </row>
    <row r="493" spans="1:22" x14ac:dyDescent="0.45">
      <c r="A493" s="3">
        <v>10739</v>
      </c>
      <c r="B493" s="6" t="s">
        <v>236</v>
      </c>
      <c r="C493" s="3">
        <v>3</v>
      </c>
      <c r="D493" s="6" t="str">
        <f>_xlfn.XLOOKUP(Table1[[#This Row],[EmployeeID]],Table4[employeeID],Table4[employeeName])</f>
        <v>Janet Leverling</v>
      </c>
      <c r="E493" s="1">
        <v>41955</v>
      </c>
      <c r="F493" s="1">
        <v>41983</v>
      </c>
      <c r="G493" s="1">
        <v>41960</v>
      </c>
      <c r="H493" s="3">
        <f>IF(Table1[[#This Row],[ShippedDate]]="","",IF(Table1[[#This Row],[OrderDate]]="","",Table1[[#This Row],[ShippedDate]]-Table1[[#This Row],[OrderDate]]))</f>
        <v>5</v>
      </c>
      <c r="I493" s="3">
        <v>3</v>
      </c>
      <c r="J493" s="2">
        <v>11.08</v>
      </c>
      <c r="K493" s="2">
        <f>SUMIF(order_details!A:A,Table1[[#This Row],[orderID]],order_details!F:F)</f>
        <v>240</v>
      </c>
      <c r="L493" s="9">
        <f>_xlfn.XLOOKUP(Table1[[#This Row],[orderID]],Table3[orderID],Table3[discount])</f>
        <v>0</v>
      </c>
      <c r="M493" s="2">
        <f>SUM(Table1[[#This Row],[Sales]],Table1[[#This Row],[freight]])</f>
        <v>251.08</v>
      </c>
      <c r="N493" s="3">
        <f>_xlfn.XLOOKUP(Table1[[#This Row],[orderID]],Table3[orderID],Table3[quantity])</f>
        <v>6</v>
      </c>
      <c r="O493" s="6" t="str">
        <f>_xlfn.XLOOKUP(Table1[[#This Row],[CustomerID]],customers!A:A,customers!B:B)</f>
        <v>Vins et alcools Chevalier</v>
      </c>
      <c r="P493" s="6" t="str">
        <f>_xlfn.XLOOKUP(Table1[[#This Row],[shipperID]],Table6[shipperID],Table6[companyName])</f>
        <v>Federal Shipping</v>
      </c>
      <c r="Q493">
        <f>YEAR(Table1[[#This Row],[OrderDate]])</f>
        <v>2014</v>
      </c>
      <c r="R493">
        <f>MONTH(Table1[[#This Row],[OrderDate]])</f>
        <v>11</v>
      </c>
      <c r="S493" t="str">
        <f>"Q"&amp;ROUNDUP(Table1[[#This Row],[month]]/3,0)</f>
        <v>Q4</v>
      </c>
      <c r="T493" t="str">
        <f>CONCATENATE(Table1[[#This Row],[year]],"-",Table1[[#This Row],[Quarter]])</f>
        <v>2014-Q4</v>
      </c>
      <c r="U493" s="6" t="str">
        <f>IF(H492="","Pending",IF(Table1[[#This Row],[Days to ship]]&lt;Table1[[#This Row],[RequiredDate]],"On Time","Late"))</f>
        <v>On Time</v>
      </c>
      <c r="V493">
        <f>_xlfn.XLOOKUP(Table1[[#This Row],[orderID]],Table3[orderID],Table3[unitPrice])</f>
        <v>19</v>
      </c>
    </row>
    <row r="494" spans="1:22" x14ac:dyDescent="0.45">
      <c r="A494" s="3">
        <v>10740</v>
      </c>
      <c r="B494" s="6" t="s">
        <v>164</v>
      </c>
      <c r="C494" s="3">
        <v>4</v>
      </c>
      <c r="D494" s="6" t="str">
        <f>_xlfn.XLOOKUP(Table1[[#This Row],[EmployeeID]],Table4[employeeID],Table4[employeeName])</f>
        <v>Margaret Peacock</v>
      </c>
      <c r="E494" s="1">
        <v>41956</v>
      </c>
      <c r="F494" s="1">
        <v>41984</v>
      </c>
      <c r="G494" s="1">
        <v>41968</v>
      </c>
      <c r="H494" s="3">
        <f>IF(Table1[[#This Row],[ShippedDate]]="","",IF(Table1[[#This Row],[OrderDate]]="","",Table1[[#This Row],[ShippedDate]]-Table1[[#This Row],[OrderDate]]))</f>
        <v>12</v>
      </c>
      <c r="I494" s="3">
        <v>2</v>
      </c>
      <c r="J494" s="2">
        <v>81.88</v>
      </c>
      <c r="K494" s="2">
        <f>SUMIF(order_details!A:A,Table1[[#This Row],[orderID]],order_details!F:F)</f>
        <v>1416</v>
      </c>
      <c r="L494" s="9">
        <f>_xlfn.XLOOKUP(Table1[[#This Row],[orderID]],Table3[orderID],Table3[discount])</f>
        <v>0.2</v>
      </c>
      <c r="M494" s="2">
        <f>SUM(Table1[[#This Row],[Sales]],Table1[[#This Row],[freight]])</f>
        <v>1497.88</v>
      </c>
      <c r="N494" s="3">
        <f>_xlfn.XLOOKUP(Table1[[#This Row],[orderID]],Table3[orderID],Table3[quantity])</f>
        <v>5</v>
      </c>
      <c r="O494" s="6" t="str">
        <f>_xlfn.XLOOKUP(Table1[[#This Row],[CustomerID]],customers!A:A,customers!B:B)</f>
        <v>White Clover Markets</v>
      </c>
      <c r="P494" s="6" t="str">
        <f>_xlfn.XLOOKUP(Table1[[#This Row],[shipperID]],Table6[shipperID],Table6[companyName])</f>
        <v>United Package</v>
      </c>
      <c r="Q494">
        <f>YEAR(Table1[[#This Row],[OrderDate]])</f>
        <v>2014</v>
      </c>
      <c r="R494">
        <f>MONTH(Table1[[#This Row],[OrderDate]])</f>
        <v>11</v>
      </c>
      <c r="S494" t="str">
        <f>"Q"&amp;ROUNDUP(Table1[[#This Row],[month]]/3,0)</f>
        <v>Q4</v>
      </c>
      <c r="T494" t="str">
        <f>CONCATENATE(Table1[[#This Row],[year]],"-",Table1[[#This Row],[Quarter]])</f>
        <v>2014-Q4</v>
      </c>
      <c r="U494" s="6" t="str">
        <f>IF(H493="","Pending",IF(Table1[[#This Row],[Days to ship]]&lt;Table1[[#This Row],[RequiredDate]],"On Time","Late"))</f>
        <v>On Time</v>
      </c>
      <c r="V494">
        <f>_xlfn.XLOOKUP(Table1[[#This Row],[orderID]],Table3[orderID],Table3[unitPrice])</f>
        <v>45.6</v>
      </c>
    </row>
    <row r="495" spans="1:22" x14ac:dyDescent="0.45">
      <c r="A495" s="3">
        <v>10741</v>
      </c>
      <c r="B495" s="6" t="s">
        <v>198</v>
      </c>
      <c r="C495" s="3">
        <v>4</v>
      </c>
      <c r="D495" s="6" t="str">
        <f>_xlfn.XLOOKUP(Table1[[#This Row],[EmployeeID]],Table4[employeeID],Table4[employeeName])</f>
        <v>Margaret Peacock</v>
      </c>
      <c r="E495" s="1">
        <v>41957</v>
      </c>
      <c r="F495" s="1">
        <v>41971</v>
      </c>
      <c r="G495" s="1">
        <v>41961</v>
      </c>
      <c r="H495" s="3">
        <f>IF(Table1[[#This Row],[ShippedDate]]="","",IF(Table1[[#This Row],[OrderDate]]="","",Table1[[#This Row],[ShippedDate]]-Table1[[#This Row],[OrderDate]]))</f>
        <v>4</v>
      </c>
      <c r="I495" s="3">
        <v>3</v>
      </c>
      <c r="J495" s="2">
        <v>10.96</v>
      </c>
      <c r="K495" s="2">
        <f>SUMIF(order_details!A:A,Table1[[#This Row],[orderID]],order_details!F:F)</f>
        <v>228</v>
      </c>
      <c r="L495" s="9">
        <f>_xlfn.XLOOKUP(Table1[[#This Row],[orderID]],Table3[orderID],Table3[discount])</f>
        <v>0.2</v>
      </c>
      <c r="M495" s="2">
        <f>SUM(Table1[[#This Row],[Sales]],Table1[[#This Row],[freight]])</f>
        <v>238.96</v>
      </c>
      <c r="N495" s="3">
        <f>_xlfn.XLOOKUP(Table1[[#This Row],[orderID]],Table3[orderID],Table3[quantity])</f>
        <v>15</v>
      </c>
      <c r="O495" s="6" t="str">
        <f>_xlfn.XLOOKUP(Table1[[#This Row],[CustomerID]],customers!A:A,customers!B:B)</f>
        <v>Around the Horn</v>
      </c>
      <c r="P495" s="6" t="str">
        <f>_xlfn.XLOOKUP(Table1[[#This Row],[shipperID]],Table6[shipperID],Table6[companyName])</f>
        <v>Federal Shipping</v>
      </c>
      <c r="Q495">
        <f>YEAR(Table1[[#This Row],[OrderDate]])</f>
        <v>2014</v>
      </c>
      <c r="R495">
        <f>MONTH(Table1[[#This Row],[OrderDate]])</f>
        <v>11</v>
      </c>
      <c r="S495" t="str">
        <f>"Q"&amp;ROUNDUP(Table1[[#This Row],[month]]/3,0)</f>
        <v>Q4</v>
      </c>
      <c r="T495" t="str">
        <f>CONCATENATE(Table1[[#This Row],[year]],"-",Table1[[#This Row],[Quarter]])</f>
        <v>2014-Q4</v>
      </c>
      <c r="U495" s="6" t="str">
        <f>IF(H494="","Pending",IF(Table1[[#This Row],[Days to ship]]&lt;Table1[[#This Row],[RequiredDate]],"On Time","Late"))</f>
        <v>On Time</v>
      </c>
      <c r="V495">
        <f>_xlfn.XLOOKUP(Table1[[#This Row],[orderID]],Table3[orderID],Table3[unitPrice])</f>
        <v>19</v>
      </c>
    </row>
    <row r="496" spans="1:22" x14ac:dyDescent="0.45">
      <c r="A496" s="3">
        <v>10742</v>
      </c>
      <c r="B496" s="6" t="s">
        <v>181</v>
      </c>
      <c r="C496" s="3">
        <v>3</v>
      </c>
      <c r="D496" s="6" t="str">
        <f>_xlfn.XLOOKUP(Table1[[#This Row],[EmployeeID]],Table4[employeeID],Table4[employeeName])</f>
        <v>Janet Leverling</v>
      </c>
      <c r="E496" s="1">
        <v>41957</v>
      </c>
      <c r="F496" s="1">
        <v>41985</v>
      </c>
      <c r="G496" s="1">
        <v>41961</v>
      </c>
      <c r="H496" s="3">
        <f>IF(Table1[[#This Row],[ShippedDate]]="","",IF(Table1[[#This Row],[OrderDate]]="","",Table1[[#This Row],[ShippedDate]]-Table1[[#This Row],[OrderDate]]))</f>
        <v>4</v>
      </c>
      <c r="I496" s="3">
        <v>3</v>
      </c>
      <c r="J496" s="2">
        <v>243.73</v>
      </c>
      <c r="K496" s="2">
        <f>SUMIF(order_details!A:A,Table1[[#This Row],[orderID]],order_details!F:F)</f>
        <v>3118</v>
      </c>
      <c r="L496" s="9">
        <f>_xlfn.XLOOKUP(Table1[[#This Row],[orderID]],Table3[orderID],Table3[discount])</f>
        <v>0</v>
      </c>
      <c r="M496" s="2">
        <f>SUM(Table1[[#This Row],[Sales]],Table1[[#This Row],[freight]])</f>
        <v>3361.73</v>
      </c>
      <c r="N496" s="3">
        <f>_xlfn.XLOOKUP(Table1[[#This Row],[orderID]],Table3[orderID],Table3[quantity])</f>
        <v>20</v>
      </c>
      <c r="O496" s="6" t="str">
        <f>_xlfn.XLOOKUP(Table1[[#This Row],[CustomerID]],customers!A:A,customers!B:B)</f>
        <v>Bottom-Dollar Markets</v>
      </c>
      <c r="P496" s="6" t="str">
        <f>_xlfn.XLOOKUP(Table1[[#This Row],[shipperID]],Table6[shipperID],Table6[companyName])</f>
        <v>Federal Shipping</v>
      </c>
      <c r="Q496">
        <f>YEAR(Table1[[#This Row],[OrderDate]])</f>
        <v>2014</v>
      </c>
      <c r="R496">
        <f>MONTH(Table1[[#This Row],[OrderDate]])</f>
        <v>11</v>
      </c>
      <c r="S496" t="str">
        <f>"Q"&amp;ROUNDUP(Table1[[#This Row],[month]]/3,0)</f>
        <v>Q4</v>
      </c>
      <c r="T496" t="str">
        <f>CONCATENATE(Table1[[#This Row],[year]],"-",Table1[[#This Row],[Quarter]])</f>
        <v>2014-Q4</v>
      </c>
      <c r="U496" s="6" t="str">
        <f>IF(H495="","Pending",IF(Table1[[#This Row],[Days to ship]]&lt;Table1[[#This Row],[RequiredDate]],"On Time","Late"))</f>
        <v>On Time</v>
      </c>
      <c r="V496">
        <f>_xlfn.XLOOKUP(Table1[[#This Row],[orderID]],Table3[orderID],Table3[unitPrice])</f>
        <v>10</v>
      </c>
    </row>
    <row r="497" spans="1:22" x14ac:dyDescent="0.45">
      <c r="A497" s="3">
        <v>10743</v>
      </c>
      <c r="B497" s="6" t="s">
        <v>198</v>
      </c>
      <c r="C497" s="3">
        <v>1</v>
      </c>
      <c r="D497" s="6" t="str">
        <f>_xlfn.XLOOKUP(Table1[[#This Row],[EmployeeID]],Table4[employeeID],Table4[employeeName])</f>
        <v>Nancy Davolio</v>
      </c>
      <c r="E497" s="1">
        <v>41960</v>
      </c>
      <c r="F497" s="1">
        <v>41988</v>
      </c>
      <c r="G497" s="1">
        <v>41964</v>
      </c>
      <c r="H497" s="3">
        <f>IF(Table1[[#This Row],[ShippedDate]]="","",IF(Table1[[#This Row],[OrderDate]]="","",Table1[[#This Row],[ShippedDate]]-Table1[[#This Row],[OrderDate]]))</f>
        <v>4</v>
      </c>
      <c r="I497" s="3">
        <v>2</v>
      </c>
      <c r="J497" s="2">
        <v>23.72</v>
      </c>
      <c r="K497" s="2">
        <f>SUMIF(order_details!A:A,Table1[[#This Row],[orderID]],order_details!F:F)</f>
        <v>319.2</v>
      </c>
      <c r="L497" s="9">
        <f>_xlfn.XLOOKUP(Table1[[#This Row],[orderID]],Table3[orderID],Table3[discount])</f>
        <v>0.05</v>
      </c>
      <c r="M497" s="2">
        <f>SUM(Table1[[#This Row],[Sales]],Table1[[#This Row],[freight]])</f>
        <v>342.91999999999996</v>
      </c>
      <c r="N497" s="3">
        <f>_xlfn.XLOOKUP(Table1[[#This Row],[orderID]],Table3[orderID],Table3[quantity])</f>
        <v>28</v>
      </c>
      <c r="O497" s="6" t="str">
        <f>_xlfn.XLOOKUP(Table1[[#This Row],[CustomerID]],customers!A:A,customers!B:B)</f>
        <v>Around the Horn</v>
      </c>
      <c r="P497" s="6" t="str">
        <f>_xlfn.XLOOKUP(Table1[[#This Row],[shipperID]],Table6[shipperID],Table6[companyName])</f>
        <v>United Package</v>
      </c>
      <c r="Q497">
        <f>YEAR(Table1[[#This Row],[OrderDate]])</f>
        <v>2014</v>
      </c>
      <c r="R497">
        <f>MONTH(Table1[[#This Row],[OrderDate]])</f>
        <v>11</v>
      </c>
      <c r="S497" t="str">
        <f>"Q"&amp;ROUNDUP(Table1[[#This Row],[month]]/3,0)</f>
        <v>Q4</v>
      </c>
      <c r="T497" t="str">
        <f>CONCATENATE(Table1[[#This Row],[year]],"-",Table1[[#This Row],[Quarter]])</f>
        <v>2014-Q4</v>
      </c>
      <c r="U497" s="6" t="str">
        <f>IF(H496="","Pending",IF(Table1[[#This Row],[Days to ship]]&lt;Table1[[#This Row],[RequiredDate]],"On Time","Late"))</f>
        <v>On Time</v>
      </c>
      <c r="V497">
        <f>_xlfn.XLOOKUP(Table1[[#This Row],[orderID]],Table3[orderID],Table3[unitPrice])</f>
        <v>12</v>
      </c>
    </row>
    <row r="498" spans="1:22" x14ac:dyDescent="0.45">
      <c r="A498" s="3">
        <v>10744</v>
      </c>
      <c r="B498" s="6" t="s">
        <v>207</v>
      </c>
      <c r="C498" s="3">
        <v>6</v>
      </c>
      <c r="D498" s="6" t="str">
        <f>_xlfn.XLOOKUP(Table1[[#This Row],[EmployeeID]],Table4[employeeID],Table4[employeeName])</f>
        <v>Michael Suyama</v>
      </c>
      <c r="E498" s="1">
        <v>41960</v>
      </c>
      <c r="F498" s="1">
        <v>41988</v>
      </c>
      <c r="G498" s="1">
        <v>41967</v>
      </c>
      <c r="H498" s="3">
        <f>IF(Table1[[#This Row],[ShippedDate]]="","",IF(Table1[[#This Row],[OrderDate]]="","",Table1[[#This Row],[ShippedDate]]-Table1[[#This Row],[OrderDate]]))</f>
        <v>7</v>
      </c>
      <c r="I498" s="3">
        <v>1</v>
      </c>
      <c r="J498" s="2">
        <v>69.19</v>
      </c>
      <c r="K498" s="2">
        <f>SUMIF(order_details!A:A,Table1[[#This Row],[orderID]],order_details!F:F)</f>
        <v>736</v>
      </c>
      <c r="L498" s="9">
        <f>_xlfn.XLOOKUP(Table1[[#This Row],[orderID]],Table3[orderID],Table3[discount])</f>
        <v>0.2</v>
      </c>
      <c r="M498" s="2">
        <f>SUM(Table1[[#This Row],[Sales]],Table1[[#This Row],[freight]])</f>
        <v>805.19</v>
      </c>
      <c r="N498" s="3">
        <f>_xlfn.XLOOKUP(Table1[[#This Row],[orderID]],Table3[orderID],Table3[quantity])</f>
        <v>50</v>
      </c>
      <c r="O498" s="6" t="str">
        <f>_xlfn.XLOOKUP(Table1[[#This Row],[CustomerID]],customers!A:A,customers!B:B)</f>
        <v>Vaffeljernet</v>
      </c>
      <c r="P498" s="6" t="str">
        <f>_xlfn.XLOOKUP(Table1[[#This Row],[shipperID]],Table6[shipperID],Table6[companyName])</f>
        <v>Speedy Express</v>
      </c>
      <c r="Q498">
        <f>YEAR(Table1[[#This Row],[OrderDate]])</f>
        <v>2014</v>
      </c>
      <c r="R498">
        <f>MONTH(Table1[[#This Row],[OrderDate]])</f>
        <v>11</v>
      </c>
      <c r="S498" t="str">
        <f>"Q"&amp;ROUNDUP(Table1[[#This Row],[month]]/3,0)</f>
        <v>Q4</v>
      </c>
      <c r="T498" t="str">
        <f>CONCATENATE(Table1[[#This Row],[year]],"-",Table1[[#This Row],[Quarter]])</f>
        <v>2014-Q4</v>
      </c>
      <c r="U498" s="6" t="str">
        <f>IF(H497="","Pending",IF(Table1[[#This Row],[Days to ship]]&lt;Table1[[#This Row],[RequiredDate]],"On Time","Late"))</f>
        <v>On Time</v>
      </c>
      <c r="V498">
        <f>_xlfn.XLOOKUP(Table1[[#This Row],[orderID]],Table3[orderID],Table3[unitPrice])</f>
        <v>18.399999999999999</v>
      </c>
    </row>
    <row r="499" spans="1:22" x14ac:dyDescent="0.45">
      <c r="A499" s="3">
        <v>10745</v>
      </c>
      <c r="B499" s="6" t="s">
        <v>194</v>
      </c>
      <c r="C499" s="3">
        <v>9</v>
      </c>
      <c r="D499" s="6" t="str">
        <f>_xlfn.XLOOKUP(Table1[[#This Row],[EmployeeID]],Table4[employeeID],Table4[employeeName])</f>
        <v>Anne Dodsworth</v>
      </c>
      <c r="E499" s="1">
        <v>41961</v>
      </c>
      <c r="F499" s="1">
        <v>41989</v>
      </c>
      <c r="G499" s="1">
        <v>41970</v>
      </c>
      <c r="H499" s="3">
        <f>IF(Table1[[#This Row],[ShippedDate]]="","",IF(Table1[[#This Row],[OrderDate]]="","",Table1[[#This Row],[ShippedDate]]-Table1[[#This Row],[OrderDate]]))</f>
        <v>9</v>
      </c>
      <c r="I499" s="3">
        <v>1</v>
      </c>
      <c r="J499" s="2">
        <v>3.52</v>
      </c>
      <c r="K499" s="2">
        <f>SUMIF(order_details!A:A,Table1[[#This Row],[orderID]],order_details!F:F)</f>
        <v>4529.8</v>
      </c>
      <c r="L499" s="9">
        <f>_xlfn.XLOOKUP(Table1[[#This Row],[orderID]],Table3[orderID],Table3[discount])</f>
        <v>0</v>
      </c>
      <c r="M499" s="2">
        <f>SUM(Table1[[#This Row],[Sales]],Table1[[#This Row],[freight]])</f>
        <v>4533.3200000000006</v>
      </c>
      <c r="N499" s="3">
        <f>_xlfn.XLOOKUP(Table1[[#This Row],[orderID]],Table3[orderID],Table3[quantity])</f>
        <v>24</v>
      </c>
      <c r="O499" s="6" t="str">
        <f>_xlfn.XLOOKUP(Table1[[#This Row],[CustomerID]],customers!A:A,customers!B:B)</f>
        <v>QUICK-Stop</v>
      </c>
      <c r="P499" s="6" t="str">
        <f>_xlfn.XLOOKUP(Table1[[#This Row],[shipperID]],Table6[shipperID],Table6[companyName])</f>
        <v>Speedy Express</v>
      </c>
      <c r="Q499">
        <f>YEAR(Table1[[#This Row],[OrderDate]])</f>
        <v>2014</v>
      </c>
      <c r="R499">
        <f>MONTH(Table1[[#This Row],[OrderDate]])</f>
        <v>11</v>
      </c>
      <c r="S499" t="str">
        <f>"Q"&amp;ROUNDUP(Table1[[#This Row],[month]]/3,0)</f>
        <v>Q4</v>
      </c>
      <c r="T499" t="str">
        <f>CONCATENATE(Table1[[#This Row],[year]],"-",Table1[[#This Row],[Quarter]])</f>
        <v>2014-Q4</v>
      </c>
      <c r="U499" s="6" t="str">
        <f>IF(H498="","Pending",IF(Table1[[#This Row],[Days to ship]]&lt;Table1[[#This Row],[RequiredDate]],"On Time","Late"))</f>
        <v>On Time</v>
      </c>
      <c r="V499">
        <f>_xlfn.XLOOKUP(Table1[[#This Row],[orderID]],Table3[orderID],Table3[unitPrice])</f>
        <v>62.5</v>
      </c>
    </row>
    <row r="500" spans="1:22" x14ac:dyDescent="0.45">
      <c r="A500" s="3">
        <v>10746</v>
      </c>
      <c r="B500" s="6" t="s">
        <v>186</v>
      </c>
      <c r="C500" s="3">
        <v>1</v>
      </c>
      <c r="D500" s="6" t="str">
        <f>_xlfn.XLOOKUP(Table1[[#This Row],[EmployeeID]],Table4[employeeID],Table4[employeeName])</f>
        <v>Nancy Davolio</v>
      </c>
      <c r="E500" s="1">
        <v>41962</v>
      </c>
      <c r="F500" s="1">
        <v>41990</v>
      </c>
      <c r="G500" s="1">
        <v>41964</v>
      </c>
      <c r="H500" s="3">
        <f>IF(Table1[[#This Row],[ShippedDate]]="","",IF(Table1[[#This Row],[OrderDate]]="","",Table1[[#This Row],[ShippedDate]]-Table1[[#This Row],[OrderDate]]))</f>
        <v>2</v>
      </c>
      <c r="I500" s="3">
        <v>3</v>
      </c>
      <c r="J500" s="2">
        <v>31.43</v>
      </c>
      <c r="K500" s="2">
        <f>SUMIF(order_details!A:A,Table1[[#This Row],[orderID]],order_details!F:F)</f>
        <v>2311.6999999999998</v>
      </c>
      <c r="L500" s="9">
        <f>_xlfn.XLOOKUP(Table1[[#This Row],[orderID]],Table3[orderID],Table3[discount])</f>
        <v>0</v>
      </c>
      <c r="M500" s="2">
        <f>SUM(Table1[[#This Row],[Sales]],Table1[[#This Row],[freight]])</f>
        <v>2343.1299999999997</v>
      </c>
      <c r="N500" s="3">
        <f>_xlfn.XLOOKUP(Table1[[#This Row],[orderID]],Table3[orderID],Table3[quantity])</f>
        <v>6</v>
      </c>
      <c r="O500" s="6" t="str">
        <f>_xlfn.XLOOKUP(Table1[[#This Row],[CustomerID]],customers!A:A,customers!B:B)</f>
        <v>Chop-suey Chinese</v>
      </c>
      <c r="P500" s="6" t="str">
        <f>_xlfn.XLOOKUP(Table1[[#This Row],[shipperID]],Table6[shipperID],Table6[companyName])</f>
        <v>Federal Shipping</v>
      </c>
      <c r="Q500">
        <f>YEAR(Table1[[#This Row],[OrderDate]])</f>
        <v>2014</v>
      </c>
      <c r="R500">
        <f>MONTH(Table1[[#This Row],[OrderDate]])</f>
        <v>11</v>
      </c>
      <c r="S500" t="str">
        <f>"Q"&amp;ROUNDUP(Table1[[#This Row],[month]]/3,0)</f>
        <v>Q4</v>
      </c>
      <c r="T500" t="str">
        <f>CONCATENATE(Table1[[#This Row],[year]],"-",Table1[[#This Row],[Quarter]])</f>
        <v>2014-Q4</v>
      </c>
      <c r="U500" s="6" t="str">
        <f>IF(H499="","Pending",IF(Table1[[#This Row],[Days to ship]]&lt;Table1[[#This Row],[RequiredDate]],"On Time","Late"))</f>
        <v>On Time</v>
      </c>
      <c r="V500">
        <f>_xlfn.XLOOKUP(Table1[[#This Row],[orderID]],Table3[orderID],Table3[unitPrice])</f>
        <v>6</v>
      </c>
    </row>
    <row r="501" spans="1:22" x14ac:dyDescent="0.45">
      <c r="A501" s="3">
        <v>10747</v>
      </c>
      <c r="B501" s="6" t="s">
        <v>176</v>
      </c>
      <c r="C501" s="3">
        <v>6</v>
      </c>
      <c r="D501" s="6" t="str">
        <f>_xlfn.XLOOKUP(Table1[[#This Row],[EmployeeID]],Table4[employeeID],Table4[employeeName])</f>
        <v>Michael Suyama</v>
      </c>
      <c r="E501" s="1">
        <v>41962</v>
      </c>
      <c r="F501" s="1">
        <v>41990</v>
      </c>
      <c r="G501" s="1">
        <v>41969</v>
      </c>
      <c r="H501" s="3">
        <f>IF(Table1[[#This Row],[ShippedDate]]="","",IF(Table1[[#This Row],[OrderDate]]="","",Table1[[#This Row],[ShippedDate]]-Table1[[#This Row],[OrderDate]]))</f>
        <v>7</v>
      </c>
      <c r="I501" s="3">
        <v>1</v>
      </c>
      <c r="J501" s="2">
        <v>117.33</v>
      </c>
      <c r="K501" s="2">
        <f>SUMIF(order_details!A:A,Table1[[#This Row],[orderID]],order_details!F:F)</f>
        <v>1912.85</v>
      </c>
      <c r="L501" s="9">
        <f>_xlfn.XLOOKUP(Table1[[#This Row],[orderID]],Table3[orderID],Table3[discount])</f>
        <v>0</v>
      </c>
      <c r="M501" s="2">
        <f>SUM(Table1[[#This Row],[Sales]],Table1[[#This Row],[freight]])</f>
        <v>2030.1799999999998</v>
      </c>
      <c r="N501" s="3">
        <f>_xlfn.XLOOKUP(Table1[[#This Row],[orderID]],Table3[orderID],Table3[quantity])</f>
        <v>8</v>
      </c>
      <c r="O501" s="6" t="str">
        <f>_xlfn.XLOOKUP(Table1[[#This Row],[CustomerID]],customers!A:A,customers!B:B)</f>
        <v>Piccolo und mehr</v>
      </c>
      <c r="P501" s="6" t="str">
        <f>_xlfn.XLOOKUP(Table1[[#This Row],[shipperID]],Table6[shipperID],Table6[companyName])</f>
        <v>Speedy Express</v>
      </c>
      <c r="Q501">
        <f>YEAR(Table1[[#This Row],[OrderDate]])</f>
        <v>2014</v>
      </c>
      <c r="R501">
        <f>MONTH(Table1[[#This Row],[OrderDate]])</f>
        <v>11</v>
      </c>
      <c r="S501" t="str">
        <f>"Q"&amp;ROUNDUP(Table1[[#This Row],[month]]/3,0)</f>
        <v>Q4</v>
      </c>
      <c r="T501" t="str">
        <f>CONCATENATE(Table1[[#This Row],[year]],"-",Table1[[#This Row],[Quarter]])</f>
        <v>2014-Q4</v>
      </c>
      <c r="U501" s="6" t="str">
        <f>IF(H500="","Pending",IF(Table1[[#This Row],[Days to ship]]&lt;Table1[[#This Row],[RequiredDate]],"On Time","Late"))</f>
        <v>On Time</v>
      </c>
      <c r="V501">
        <f>_xlfn.XLOOKUP(Table1[[#This Row],[orderID]],Table3[orderID],Table3[unitPrice])</f>
        <v>12.5</v>
      </c>
    </row>
    <row r="502" spans="1:22" x14ac:dyDescent="0.45">
      <c r="A502" s="3">
        <v>10748</v>
      </c>
      <c r="B502" s="6" t="s">
        <v>165</v>
      </c>
      <c r="C502" s="3">
        <v>3</v>
      </c>
      <c r="D502" s="6" t="str">
        <f>_xlfn.XLOOKUP(Table1[[#This Row],[EmployeeID]],Table4[employeeID],Table4[employeeName])</f>
        <v>Janet Leverling</v>
      </c>
      <c r="E502" s="1">
        <v>41963</v>
      </c>
      <c r="F502" s="1">
        <v>41991</v>
      </c>
      <c r="G502" s="1">
        <v>41971</v>
      </c>
      <c r="H502" s="3">
        <f>IF(Table1[[#This Row],[ShippedDate]]="","",IF(Table1[[#This Row],[OrderDate]]="","",Table1[[#This Row],[ShippedDate]]-Table1[[#This Row],[OrderDate]]))</f>
        <v>8</v>
      </c>
      <c r="I502" s="3">
        <v>1</v>
      </c>
      <c r="J502" s="2">
        <v>232.55</v>
      </c>
      <c r="K502" s="2">
        <f>SUMIF(order_details!A:A,Table1[[#This Row],[orderID]],order_details!F:F)</f>
        <v>2196</v>
      </c>
      <c r="L502" s="9">
        <f>_xlfn.XLOOKUP(Table1[[#This Row],[orderID]],Table3[orderID],Table3[discount])</f>
        <v>0</v>
      </c>
      <c r="M502" s="2">
        <f>SUM(Table1[[#This Row],[Sales]],Table1[[#This Row],[freight]])</f>
        <v>2428.5500000000002</v>
      </c>
      <c r="N502" s="3">
        <f>_xlfn.XLOOKUP(Table1[[#This Row],[orderID]],Table3[orderID],Table3[quantity])</f>
        <v>44</v>
      </c>
      <c r="O502" s="6" t="str">
        <f>_xlfn.XLOOKUP(Table1[[#This Row],[CustomerID]],customers!A:A,customers!B:B)</f>
        <v>Save-a-lot Markets</v>
      </c>
      <c r="P502" s="6" t="str">
        <f>_xlfn.XLOOKUP(Table1[[#This Row],[shipperID]],Table6[shipperID],Table6[companyName])</f>
        <v>Speedy Express</v>
      </c>
      <c r="Q502">
        <f>YEAR(Table1[[#This Row],[OrderDate]])</f>
        <v>2014</v>
      </c>
      <c r="R502">
        <f>MONTH(Table1[[#This Row],[OrderDate]])</f>
        <v>11</v>
      </c>
      <c r="S502" t="str">
        <f>"Q"&amp;ROUNDUP(Table1[[#This Row],[month]]/3,0)</f>
        <v>Q4</v>
      </c>
      <c r="T502" t="str">
        <f>CONCATENATE(Table1[[#This Row],[year]],"-",Table1[[#This Row],[Quarter]])</f>
        <v>2014-Q4</v>
      </c>
      <c r="U502" s="6" t="str">
        <f>IF(H501="","Pending",IF(Table1[[#This Row],[Days to ship]]&lt;Table1[[#This Row],[RequiredDate]],"On Time","Late"))</f>
        <v>On Time</v>
      </c>
      <c r="V502">
        <f>_xlfn.XLOOKUP(Table1[[#This Row],[orderID]],Table3[orderID],Table3[unitPrice])</f>
        <v>9</v>
      </c>
    </row>
    <row r="503" spans="1:22" x14ac:dyDescent="0.45">
      <c r="A503" s="3">
        <v>10749</v>
      </c>
      <c r="B503" s="6" t="s">
        <v>220</v>
      </c>
      <c r="C503" s="3">
        <v>4</v>
      </c>
      <c r="D503" s="6" t="str">
        <f>_xlfn.XLOOKUP(Table1[[#This Row],[EmployeeID]],Table4[employeeID],Table4[employeeName])</f>
        <v>Margaret Peacock</v>
      </c>
      <c r="E503" s="1">
        <v>41963</v>
      </c>
      <c r="F503" s="1">
        <v>41991</v>
      </c>
      <c r="G503" s="1">
        <v>41992</v>
      </c>
      <c r="H503" s="3">
        <f>IF(Table1[[#This Row],[ShippedDate]]="","",IF(Table1[[#This Row],[OrderDate]]="","",Table1[[#This Row],[ShippedDate]]-Table1[[#This Row],[OrderDate]]))</f>
        <v>29</v>
      </c>
      <c r="I503" s="3">
        <v>2</v>
      </c>
      <c r="J503" s="2">
        <v>61.53</v>
      </c>
      <c r="K503" s="2">
        <f>SUMIF(order_details!A:A,Table1[[#This Row],[orderID]],order_details!F:F)</f>
        <v>1080</v>
      </c>
      <c r="L503" s="9">
        <f>_xlfn.XLOOKUP(Table1[[#This Row],[orderID]],Table3[orderID],Table3[discount])</f>
        <v>0</v>
      </c>
      <c r="M503" s="2">
        <f>SUM(Table1[[#This Row],[Sales]],Table1[[#This Row],[freight]])</f>
        <v>1141.53</v>
      </c>
      <c r="N503" s="3">
        <f>_xlfn.XLOOKUP(Table1[[#This Row],[orderID]],Table3[orderID],Table3[quantity])</f>
        <v>15</v>
      </c>
      <c r="O503" s="6" t="str">
        <f>_xlfn.XLOOKUP(Table1[[#This Row],[CustomerID]],customers!A:A,customers!B:B)</f>
        <v>Island Trading</v>
      </c>
      <c r="P503" s="6" t="str">
        <f>_xlfn.XLOOKUP(Table1[[#This Row],[shipperID]],Table6[shipperID],Table6[companyName])</f>
        <v>United Package</v>
      </c>
      <c r="Q503">
        <f>YEAR(Table1[[#This Row],[OrderDate]])</f>
        <v>2014</v>
      </c>
      <c r="R503">
        <f>MONTH(Table1[[#This Row],[OrderDate]])</f>
        <v>11</v>
      </c>
      <c r="S503" t="str">
        <f>"Q"&amp;ROUNDUP(Table1[[#This Row],[month]]/3,0)</f>
        <v>Q4</v>
      </c>
      <c r="T503" t="str">
        <f>CONCATENATE(Table1[[#This Row],[year]],"-",Table1[[#This Row],[Quarter]])</f>
        <v>2014-Q4</v>
      </c>
      <c r="U503" s="6" t="str">
        <f>IF(H502="","Pending",IF(Table1[[#This Row],[Days to ship]]&lt;Table1[[#This Row],[RequiredDate]],"On Time","Late"))</f>
        <v>On Time</v>
      </c>
      <c r="V503">
        <f>_xlfn.XLOOKUP(Table1[[#This Row],[orderID]],Table3[orderID],Table3[unitPrice])</f>
        <v>38</v>
      </c>
    </row>
    <row r="504" spans="1:22" x14ac:dyDescent="0.45">
      <c r="A504" s="3">
        <v>10750</v>
      </c>
      <c r="B504" s="6" t="s">
        <v>192</v>
      </c>
      <c r="C504" s="3">
        <v>9</v>
      </c>
      <c r="D504" s="6" t="str">
        <f>_xlfn.XLOOKUP(Table1[[#This Row],[EmployeeID]],Table4[employeeID],Table4[employeeName])</f>
        <v>Anne Dodsworth</v>
      </c>
      <c r="E504" s="1">
        <v>41964</v>
      </c>
      <c r="F504" s="1">
        <v>41992</v>
      </c>
      <c r="G504" s="1">
        <v>41967</v>
      </c>
      <c r="H504" s="3">
        <f>IF(Table1[[#This Row],[ShippedDate]]="","",IF(Table1[[#This Row],[OrderDate]]="","",Table1[[#This Row],[ShippedDate]]-Table1[[#This Row],[OrderDate]]))</f>
        <v>3</v>
      </c>
      <c r="I504" s="3">
        <v>1</v>
      </c>
      <c r="J504" s="2">
        <v>79.3</v>
      </c>
      <c r="K504" s="2">
        <f>SUMIF(order_details!A:A,Table1[[#This Row],[orderID]],order_details!F:F)</f>
        <v>1590.5625</v>
      </c>
      <c r="L504" s="9">
        <f>_xlfn.XLOOKUP(Table1[[#This Row],[orderID]],Table3[orderID],Table3[discount])</f>
        <v>0.15</v>
      </c>
      <c r="M504" s="2">
        <f>SUM(Table1[[#This Row],[Sales]],Table1[[#This Row],[freight]])</f>
        <v>1669.8625</v>
      </c>
      <c r="N504" s="3">
        <f>_xlfn.XLOOKUP(Table1[[#This Row],[orderID]],Table3[orderID],Table3[quantity])</f>
        <v>5</v>
      </c>
      <c r="O504" s="6" t="str">
        <f>_xlfn.XLOOKUP(Table1[[#This Row],[CustomerID]],customers!A:A,customers!B:B)</f>
        <v>Wartian Herkku</v>
      </c>
      <c r="P504" s="6" t="str">
        <f>_xlfn.XLOOKUP(Table1[[#This Row],[shipperID]],Table6[shipperID],Table6[companyName])</f>
        <v>Speedy Express</v>
      </c>
      <c r="Q504">
        <f>YEAR(Table1[[#This Row],[OrderDate]])</f>
        <v>2014</v>
      </c>
      <c r="R504">
        <f>MONTH(Table1[[#This Row],[OrderDate]])</f>
        <v>11</v>
      </c>
      <c r="S504" t="str">
        <f>"Q"&amp;ROUNDUP(Table1[[#This Row],[month]]/3,0)</f>
        <v>Q4</v>
      </c>
      <c r="T504" t="str">
        <f>CONCATENATE(Table1[[#This Row],[year]],"-",Table1[[#This Row],[Quarter]])</f>
        <v>2014-Q4</v>
      </c>
      <c r="U504" s="6" t="str">
        <f>IF(H503="","Pending",IF(Table1[[#This Row],[Days to ship]]&lt;Table1[[#This Row],[RequiredDate]],"On Time","Late"))</f>
        <v>On Time</v>
      </c>
      <c r="V504">
        <f>_xlfn.XLOOKUP(Table1[[#This Row],[orderID]],Table3[orderID],Table3[unitPrice])</f>
        <v>23.25</v>
      </c>
    </row>
    <row r="505" spans="1:22" x14ac:dyDescent="0.45">
      <c r="A505" s="3">
        <v>10751</v>
      </c>
      <c r="B505" s="6" t="s">
        <v>155</v>
      </c>
      <c r="C505" s="3">
        <v>3</v>
      </c>
      <c r="D505" s="6" t="str">
        <f>_xlfn.XLOOKUP(Table1[[#This Row],[EmployeeID]],Table4[employeeID],Table4[employeeName])</f>
        <v>Janet Leverling</v>
      </c>
      <c r="E505" s="1">
        <v>41967</v>
      </c>
      <c r="F505" s="1">
        <v>41995</v>
      </c>
      <c r="G505" s="1">
        <v>41976</v>
      </c>
      <c r="H505" s="3">
        <f>IF(Table1[[#This Row],[ShippedDate]]="","",IF(Table1[[#This Row],[OrderDate]]="","",Table1[[#This Row],[ShippedDate]]-Table1[[#This Row],[OrderDate]]))</f>
        <v>9</v>
      </c>
      <c r="I505" s="3">
        <v>3</v>
      </c>
      <c r="J505" s="2">
        <v>130.79</v>
      </c>
      <c r="K505" s="2">
        <f>SUMIF(order_details!A:A,Table1[[#This Row],[orderID]],order_details!F:F)</f>
        <v>1631.4839999999999</v>
      </c>
      <c r="L505" s="9">
        <f>_xlfn.XLOOKUP(Table1[[#This Row],[orderID]],Table3[orderID],Table3[discount])</f>
        <v>0.1</v>
      </c>
      <c r="M505" s="2">
        <f>SUM(Table1[[#This Row],[Sales]],Table1[[#This Row],[freight]])</f>
        <v>1762.2739999999999</v>
      </c>
      <c r="N505" s="3">
        <f>_xlfn.XLOOKUP(Table1[[#This Row],[orderID]],Table3[orderID],Table3[quantity])</f>
        <v>12</v>
      </c>
      <c r="O505" s="6" t="str">
        <f>_xlfn.XLOOKUP(Table1[[#This Row],[CustomerID]],customers!A:A,customers!B:B)</f>
        <v>Richter Supermarkt</v>
      </c>
      <c r="P505" s="6" t="str">
        <f>_xlfn.XLOOKUP(Table1[[#This Row],[shipperID]],Table6[shipperID],Table6[companyName])</f>
        <v>Federal Shipping</v>
      </c>
      <c r="Q505">
        <f>YEAR(Table1[[#This Row],[OrderDate]])</f>
        <v>2014</v>
      </c>
      <c r="R505">
        <f>MONTH(Table1[[#This Row],[OrderDate]])</f>
        <v>11</v>
      </c>
      <c r="S505" t="str">
        <f>"Q"&amp;ROUNDUP(Table1[[#This Row],[month]]/3,0)</f>
        <v>Q4</v>
      </c>
      <c r="T505" t="str">
        <f>CONCATENATE(Table1[[#This Row],[year]],"-",Table1[[#This Row],[Quarter]])</f>
        <v>2014-Q4</v>
      </c>
      <c r="U505" s="6" t="str">
        <f>IF(H504="","Pending",IF(Table1[[#This Row],[Days to ship]]&lt;Table1[[#This Row],[RequiredDate]],"On Time","Late"))</f>
        <v>On Time</v>
      </c>
      <c r="V505">
        <f>_xlfn.XLOOKUP(Table1[[#This Row],[orderID]],Table3[orderID],Table3[unitPrice])</f>
        <v>31.23</v>
      </c>
    </row>
    <row r="506" spans="1:22" x14ac:dyDescent="0.45">
      <c r="A506" s="3">
        <v>10752</v>
      </c>
      <c r="B506" s="6" t="s">
        <v>172</v>
      </c>
      <c r="C506" s="3">
        <v>2</v>
      </c>
      <c r="D506" s="6" t="str">
        <f>_xlfn.XLOOKUP(Table1[[#This Row],[EmployeeID]],Table4[employeeID],Table4[employeeName])</f>
        <v>Andrew Fuller</v>
      </c>
      <c r="E506" s="1">
        <v>41967</v>
      </c>
      <c r="F506" s="1">
        <v>41995</v>
      </c>
      <c r="G506" s="1">
        <v>41971</v>
      </c>
      <c r="H506" s="3">
        <f>IF(Table1[[#This Row],[ShippedDate]]="","",IF(Table1[[#This Row],[OrderDate]]="","",Table1[[#This Row],[ShippedDate]]-Table1[[#This Row],[OrderDate]]))</f>
        <v>4</v>
      </c>
      <c r="I506" s="3">
        <v>3</v>
      </c>
      <c r="J506" s="2">
        <v>1.39</v>
      </c>
      <c r="K506" s="2">
        <f>SUMIF(order_details!A:A,Table1[[#This Row],[orderID]],order_details!F:F)</f>
        <v>252</v>
      </c>
      <c r="L506" s="9">
        <f>_xlfn.XLOOKUP(Table1[[#This Row],[orderID]],Table3[orderID],Table3[discount])</f>
        <v>0</v>
      </c>
      <c r="M506" s="2">
        <f>SUM(Table1[[#This Row],[Sales]],Table1[[#This Row],[freight]])</f>
        <v>253.39</v>
      </c>
      <c r="N506" s="3">
        <f>_xlfn.XLOOKUP(Table1[[#This Row],[orderID]],Table3[orderID],Table3[quantity])</f>
        <v>8</v>
      </c>
      <c r="O506" s="6" t="str">
        <f>_xlfn.XLOOKUP(Table1[[#This Row],[CustomerID]],customers!A:A,customers!B:B)</f>
        <v>North/South</v>
      </c>
      <c r="P506" s="6" t="str">
        <f>_xlfn.XLOOKUP(Table1[[#This Row],[shipperID]],Table6[shipperID],Table6[companyName])</f>
        <v>Federal Shipping</v>
      </c>
      <c r="Q506">
        <f>YEAR(Table1[[#This Row],[OrderDate]])</f>
        <v>2014</v>
      </c>
      <c r="R506">
        <f>MONTH(Table1[[#This Row],[OrderDate]])</f>
        <v>11</v>
      </c>
      <c r="S506" t="str">
        <f>"Q"&amp;ROUNDUP(Table1[[#This Row],[month]]/3,0)</f>
        <v>Q4</v>
      </c>
      <c r="T506" t="str">
        <f>CONCATENATE(Table1[[#This Row],[year]],"-",Table1[[#This Row],[Quarter]])</f>
        <v>2014-Q4</v>
      </c>
      <c r="U506" s="6" t="str">
        <f>IF(H505="","Pending",IF(Table1[[#This Row],[Days to ship]]&lt;Table1[[#This Row],[RequiredDate]],"On Time","Late"))</f>
        <v>On Time</v>
      </c>
      <c r="V506">
        <f>_xlfn.XLOOKUP(Table1[[#This Row],[orderID]],Table3[orderID],Table3[unitPrice])</f>
        <v>18</v>
      </c>
    </row>
    <row r="507" spans="1:22" x14ac:dyDescent="0.45">
      <c r="A507" s="3">
        <v>10753</v>
      </c>
      <c r="B507" s="6" t="s">
        <v>169</v>
      </c>
      <c r="C507" s="3">
        <v>3</v>
      </c>
      <c r="D507" s="6" t="str">
        <f>_xlfn.XLOOKUP(Table1[[#This Row],[EmployeeID]],Table4[employeeID],Table4[employeeName])</f>
        <v>Janet Leverling</v>
      </c>
      <c r="E507" s="1">
        <v>41968</v>
      </c>
      <c r="F507" s="1">
        <v>41996</v>
      </c>
      <c r="G507" s="1">
        <v>41970</v>
      </c>
      <c r="H507" s="3">
        <f>IF(Table1[[#This Row],[ShippedDate]]="","",IF(Table1[[#This Row],[OrderDate]]="","",Table1[[#This Row],[ShippedDate]]-Table1[[#This Row],[OrderDate]]))</f>
        <v>2</v>
      </c>
      <c r="I507" s="3">
        <v>1</v>
      </c>
      <c r="J507" s="2">
        <v>7.7</v>
      </c>
      <c r="K507" s="2">
        <f>SUMIF(order_details!A:A,Table1[[#This Row],[orderID]],order_details!F:F)</f>
        <v>88</v>
      </c>
      <c r="L507" s="9">
        <f>_xlfn.XLOOKUP(Table1[[#This Row],[orderID]],Table3[orderID],Table3[discount])</f>
        <v>0</v>
      </c>
      <c r="M507" s="2">
        <f>SUM(Table1[[#This Row],[Sales]],Table1[[#This Row],[freight]])</f>
        <v>95.7</v>
      </c>
      <c r="N507" s="3">
        <f>_xlfn.XLOOKUP(Table1[[#This Row],[orderID]],Table3[orderID],Table3[quantity])</f>
        <v>4</v>
      </c>
      <c r="O507" s="6" t="str">
        <f>_xlfn.XLOOKUP(Table1[[#This Row],[CustomerID]],customers!A:A,customers!B:B)</f>
        <v>Franchi S.p.A.</v>
      </c>
      <c r="P507" s="6" t="str">
        <f>_xlfn.XLOOKUP(Table1[[#This Row],[shipperID]],Table6[shipperID],Table6[companyName])</f>
        <v>Speedy Express</v>
      </c>
      <c r="Q507">
        <f>YEAR(Table1[[#This Row],[OrderDate]])</f>
        <v>2014</v>
      </c>
      <c r="R507">
        <f>MONTH(Table1[[#This Row],[OrderDate]])</f>
        <v>11</v>
      </c>
      <c r="S507" t="str">
        <f>"Q"&amp;ROUNDUP(Table1[[#This Row],[month]]/3,0)</f>
        <v>Q4</v>
      </c>
      <c r="T507" t="str">
        <f>CONCATENATE(Table1[[#This Row],[year]],"-",Table1[[#This Row],[Quarter]])</f>
        <v>2014-Q4</v>
      </c>
      <c r="U507" s="6" t="str">
        <f>IF(H506="","Pending",IF(Table1[[#This Row],[Days to ship]]&lt;Table1[[#This Row],[RequiredDate]],"On Time","Late"))</f>
        <v>On Time</v>
      </c>
      <c r="V507">
        <f>_xlfn.XLOOKUP(Table1[[#This Row],[orderID]],Table3[orderID],Table3[unitPrice])</f>
        <v>9.5</v>
      </c>
    </row>
    <row r="508" spans="1:22" x14ac:dyDescent="0.45">
      <c r="A508" s="3">
        <v>10754</v>
      </c>
      <c r="B508" s="6" t="s">
        <v>217</v>
      </c>
      <c r="C508" s="3">
        <v>6</v>
      </c>
      <c r="D508" s="6" t="str">
        <f>_xlfn.XLOOKUP(Table1[[#This Row],[EmployeeID]],Table4[employeeID],Table4[employeeName])</f>
        <v>Michael Suyama</v>
      </c>
      <c r="E508" s="1">
        <v>41968</v>
      </c>
      <c r="F508" s="1">
        <v>41996</v>
      </c>
      <c r="G508" s="1">
        <v>41970</v>
      </c>
      <c r="H508" s="3">
        <f>IF(Table1[[#This Row],[ShippedDate]]="","",IF(Table1[[#This Row],[OrderDate]]="","",Table1[[#This Row],[ShippedDate]]-Table1[[#This Row],[OrderDate]]))</f>
        <v>2</v>
      </c>
      <c r="I508" s="3">
        <v>3</v>
      </c>
      <c r="J508" s="2">
        <v>2.38</v>
      </c>
      <c r="K508" s="2">
        <f>SUMIF(order_details!A:A,Table1[[#This Row],[orderID]],order_details!F:F)</f>
        <v>55.199999999999996</v>
      </c>
      <c r="L508" s="9">
        <f>_xlfn.XLOOKUP(Table1[[#This Row],[orderID]],Table3[orderID],Table3[discount])</f>
        <v>0</v>
      </c>
      <c r="M508" s="2">
        <f>SUM(Table1[[#This Row],[Sales]],Table1[[#This Row],[freight]])</f>
        <v>57.58</v>
      </c>
      <c r="N508" s="3">
        <f>_xlfn.XLOOKUP(Table1[[#This Row],[orderID]],Table3[orderID],Table3[quantity])</f>
        <v>3</v>
      </c>
      <c r="O508" s="6" t="str">
        <f>_xlfn.XLOOKUP(Table1[[#This Row],[CustomerID]],customers!A:A,customers!B:B)</f>
        <v>Magazzini Alimentari Riuniti</v>
      </c>
      <c r="P508" s="6" t="str">
        <f>_xlfn.XLOOKUP(Table1[[#This Row],[shipperID]],Table6[shipperID],Table6[companyName])</f>
        <v>Federal Shipping</v>
      </c>
      <c r="Q508">
        <f>YEAR(Table1[[#This Row],[OrderDate]])</f>
        <v>2014</v>
      </c>
      <c r="R508">
        <f>MONTH(Table1[[#This Row],[OrderDate]])</f>
        <v>11</v>
      </c>
      <c r="S508" t="str">
        <f>"Q"&amp;ROUNDUP(Table1[[#This Row],[month]]/3,0)</f>
        <v>Q4</v>
      </c>
      <c r="T508" t="str">
        <f>CONCATENATE(Table1[[#This Row],[year]],"-",Table1[[#This Row],[Quarter]])</f>
        <v>2014-Q4</v>
      </c>
      <c r="U508" s="6" t="str">
        <f>IF(H507="","Pending",IF(Table1[[#This Row],[Days to ship]]&lt;Table1[[#This Row],[RequiredDate]],"On Time","Late"))</f>
        <v>On Time</v>
      </c>
      <c r="V508">
        <f>_xlfn.XLOOKUP(Table1[[#This Row],[orderID]],Table3[orderID],Table3[unitPrice])</f>
        <v>18.399999999999999</v>
      </c>
    </row>
    <row r="509" spans="1:22" x14ac:dyDescent="0.45">
      <c r="A509" s="3">
        <v>10755</v>
      </c>
      <c r="B509" s="6" t="s">
        <v>154</v>
      </c>
      <c r="C509" s="3">
        <v>4</v>
      </c>
      <c r="D509" s="6" t="str">
        <f>_xlfn.XLOOKUP(Table1[[#This Row],[EmployeeID]],Table4[employeeID],Table4[employeeName])</f>
        <v>Margaret Peacock</v>
      </c>
      <c r="E509" s="1">
        <v>41969</v>
      </c>
      <c r="F509" s="1">
        <v>41997</v>
      </c>
      <c r="G509" s="1">
        <v>41971</v>
      </c>
      <c r="H509" s="3">
        <f>IF(Table1[[#This Row],[ShippedDate]]="","",IF(Table1[[#This Row],[OrderDate]]="","",Table1[[#This Row],[ShippedDate]]-Table1[[#This Row],[OrderDate]]))</f>
        <v>2</v>
      </c>
      <c r="I509" s="3">
        <v>2</v>
      </c>
      <c r="J509" s="2">
        <v>16.71</v>
      </c>
      <c r="K509" s="2">
        <f>SUMIF(order_details!A:A,Table1[[#This Row],[orderID]],order_details!F:F)</f>
        <v>1948.5</v>
      </c>
      <c r="L509" s="9">
        <f>_xlfn.XLOOKUP(Table1[[#This Row],[orderID]],Table3[orderID],Table3[discount])</f>
        <v>0.25</v>
      </c>
      <c r="M509" s="2">
        <f>SUM(Table1[[#This Row],[Sales]],Table1[[#This Row],[freight]])</f>
        <v>1965.21</v>
      </c>
      <c r="N509" s="3">
        <f>_xlfn.XLOOKUP(Table1[[#This Row],[orderID]],Table3[orderID],Table3[quantity])</f>
        <v>30</v>
      </c>
      <c r="O509" s="6" t="str">
        <f>_xlfn.XLOOKUP(Table1[[#This Row],[CustomerID]],customers!A:A,customers!B:B)</f>
        <v>Bon app'</v>
      </c>
      <c r="P509" s="6" t="str">
        <f>_xlfn.XLOOKUP(Table1[[#This Row],[shipperID]],Table6[shipperID],Table6[companyName])</f>
        <v>United Package</v>
      </c>
      <c r="Q509">
        <f>YEAR(Table1[[#This Row],[OrderDate]])</f>
        <v>2014</v>
      </c>
      <c r="R509">
        <f>MONTH(Table1[[#This Row],[OrderDate]])</f>
        <v>11</v>
      </c>
      <c r="S509" t="str">
        <f>"Q"&amp;ROUNDUP(Table1[[#This Row],[month]]/3,0)</f>
        <v>Q4</v>
      </c>
      <c r="T509" t="str">
        <f>CONCATENATE(Table1[[#This Row],[year]],"-",Table1[[#This Row],[Quarter]])</f>
        <v>2014-Q4</v>
      </c>
      <c r="U509" s="6" t="str">
        <f>IF(H508="","Pending",IF(Table1[[#This Row],[Days to ship]]&lt;Table1[[#This Row],[RequiredDate]],"On Time","Late"))</f>
        <v>On Time</v>
      </c>
      <c r="V509">
        <f>_xlfn.XLOOKUP(Table1[[#This Row],[orderID]],Table3[orderID],Table3[unitPrice])</f>
        <v>9.5</v>
      </c>
    </row>
    <row r="510" spans="1:22" x14ac:dyDescent="0.45">
      <c r="A510" s="3">
        <v>10756</v>
      </c>
      <c r="B510" s="6" t="s">
        <v>211</v>
      </c>
      <c r="C510" s="3">
        <v>8</v>
      </c>
      <c r="D510" s="6" t="str">
        <f>_xlfn.XLOOKUP(Table1[[#This Row],[EmployeeID]],Table4[employeeID],Table4[employeeName])</f>
        <v>Laura Callahan</v>
      </c>
      <c r="E510" s="1">
        <v>41970</v>
      </c>
      <c r="F510" s="1">
        <v>41998</v>
      </c>
      <c r="G510" s="1">
        <v>41975</v>
      </c>
      <c r="H510" s="3">
        <f>IF(Table1[[#This Row],[ShippedDate]]="","",IF(Table1[[#This Row],[OrderDate]]="","",Table1[[#This Row],[ShippedDate]]-Table1[[#This Row],[OrderDate]]))</f>
        <v>5</v>
      </c>
      <c r="I510" s="3">
        <v>2</v>
      </c>
      <c r="J510" s="2">
        <v>73.209999999999994</v>
      </c>
      <c r="K510" s="2">
        <f>SUMIF(order_details!A:A,Table1[[#This Row],[orderID]],order_details!F:F)</f>
        <v>1990</v>
      </c>
      <c r="L510" s="9">
        <f>_xlfn.XLOOKUP(Table1[[#This Row],[orderID]],Table3[orderID],Table3[discount])</f>
        <v>0.2</v>
      </c>
      <c r="M510" s="2">
        <f>SUM(Table1[[#This Row],[Sales]],Table1[[#This Row],[freight]])</f>
        <v>2063.21</v>
      </c>
      <c r="N510" s="3">
        <f>_xlfn.XLOOKUP(Table1[[#This Row],[orderID]],Table3[orderID],Table3[quantity])</f>
        <v>21</v>
      </c>
      <c r="O510" s="6" t="str">
        <f>_xlfn.XLOOKUP(Table1[[#This Row],[CustomerID]],customers!A:A,customers!B:B)</f>
        <v>Split Rail Beer &amp; Ale</v>
      </c>
      <c r="P510" s="6" t="str">
        <f>_xlfn.XLOOKUP(Table1[[#This Row],[shipperID]],Table6[shipperID],Table6[companyName])</f>
        <v>United Package</v>
      </c>
      <c r="Q510">
        <f>YEAR(Table1[[#This Row],[OrderDate]])</f>
        <v>2014</v>
      </c>
      <c r="R510">
        <f>MONTH(Table1[[#This Row],[OrderDate]])</f>
        <v>11</v>
      </c>
      <c r="S510" t="str">
        <f>"Q"&amp;ROUNDUP(Table1[[#This Row],[month]]/3,0)</f>
        <v>Q4</v>
      </c>
      <c r="T510" t="str">
        <f>CONCATENATE(Table1[[#This Row],[year]],"-",Table1[[#This Row],[Quarter]])</f>
        <v>2014-Q4</v>
      </c>
      <c r="U510" s="6" t="str">
        <f>IF(H509="","Pending",IF(Table1[[#This Row],[Days to ship]]&lt;Table1[[#This Row],[RequiredDate]],"On Time","Late"))</f>
        <v>On Time</v>
      </c>
      <c r="V510">
        <f>_xlfn.XLOOKUP(Table1[[#This Row],[orderID]],Table3[orderID],Table3[unitPrice])</f>
        <v>62.5</v>
      </c>
    </row>
    <row r="511" spans="1:22" x14ac:dyDescent="0.45">
      <c r="A511" s="3">
        <v>10757</v>
      </c>
      <c r="B511" s="6" t="s">
        <v>165</v>
      </c>
      <c r="C511" s="3">
        <v>6</v>
      </c>
      <c r="D511" s="6" t="str">
        <f>_xlfn.XLOOKUP(Table1[[#This Row],[EmployeeID]],Table4[employeeID],Table4[employeeName])</f>
        <v>Michael Suyama</v>
      </c>
      <c r="E511" s="1">
        <v>41970</v>
      </c>
      <c r="F511" s="1">
        <v>41998</v>
      </c>
      <c r="G511" s="1">
        <v>41988</v>
      </c>
      <c r="H511" s="3">
        <f>IF(Table1[[#This Row],[ShippedDate]]="","",IF(Table1[[#This Row],[OrderDate]]="","",Table1[[#This Row],[ShippedDate]]-Table1[[#This Row],[OrderDate]]))</f>
        <v>18</v>
      </c>
      <c r="I511" s="3">
        <v>1</v>
      </c>
      <c r="J511" s="2">
        <v>8.19</v>
      </c>
      <c r="K511" s="2">
        <f>SUMIF(order_details!A:A,Table1[[#This Row],[orderID]],order_details!F:F)</f>
        <v>3082</v>
      </c>
      <c r="L511" s="9">
        <f>_xlfn.XLOOKUP(Table1[[#This Row],[orderID]],Table3[orderID],Table3[discount])</f>
        <v>0</v>
      </c>
      <c r="M511" s="2">
        <f>SUM(Table1[[#This Row],[Sales]],Table1[[#This Row],[freight]])</f>
        <v>3090.19</v>
      </c>
      <c r="N511" s="3">
        <f>_xlfn.XLOOKUP(Table1[[#This Row],[orderID]],Table3[orderID],Table3[quantity])</f>
        <v>30</v>
      </c>
      <c r="O511" s="6" t="str">
        <f>_xlfn.XLOOKUP(Table1[[#This Row],[CustomerID]],customers!A:A,customers!B:B)</f>
        <v>Save-a-lot Markets</v>
      </c>
      <c r="P511" s="6" t="str">
        <f>_xlfn.XLOOKUP(Table1[[#This Row],[shipperID]],Table6[shipperID],Table6[companyName])</f>
        <v>Speedy Express</v>
      </c>
      <c r="Q511">
        <f>YEAR(Table1[[#This Row],[OrderDate]])</f>
        <v>2014</v>
      </c>
      <c r="R511">
        <f>MONTH(Table1[[#This Row],[OrderDate]])</f>
        <v>11</v>
      </c>
      <c r="S511" t="str">
        <f>"Q"&amp;ROUNDUP(Table1[[#This Row],[month]]/3,0)</f>
        <v>Q4</v>
      </c>
      <c r="T511" t="str">
        <f>CONCATENATE(Table1[[#This Row],[year]],"-",Table1[[#This Row],[Quarter]])</f>
        <v>2014-Q4</v>
      </c>
      <c r="U511" s="6" t="str">
        <f>IF(H510="","Pending",IF(Table1[[#This Row],[Days to ship]]&lt;Table1[[#This Row],[RequiredDate]],"On Time","Late"))</f>
        <v>On Time</v>
      </c>
      <c r="V511">
        <f>_xlfn.XLOOKUP(Table1[[#This Row],[orderID]],Table3[orderID],Table3[unitPrice])</f>
        <v>14</v>
      </c>
    </row>
    <row r="512" spans="1:22" x14ac:dyDescent="0.45">
      <c r="A512" s="3">
        <v>10758</v>
      </c>
      <c r="B512" s="6" t="s">
        <v>155</v>
      </c>
      <c r="C512" s="3">
        <v>3</v>
      </c>
      <c r="D512" s="6" t="str">
        <f>_xlfn.XLOOKUP(Table1[[#This Row],[EmployeeID]],Table4[employeeID],Table4[employeeName])</f>
        <v>Janet Leverling</v>
      </c>
      <c r="E512" s="1">
        <v>41971</v>
      </c>
      <c r="F512" s="1">
        <v>41999</v>
      </c>
      <c r="G512" s="1">
        <v>41977</v>
      </c>
      <c r="H512" s="3">
        <f>IF(Table1[[#This Row],[ShippedDate]]="","",IF(Table1[[#This Row],[OrderDate]]="","",Table1[[#This Row],[ShippedDate]]-Table1[[#This Row],[OrderDate]]))</f>
        <v>6</v>
      </c>
      <c r="I512" s="3">
        <v>3</v>
      </c>
      <c r="J512" s="2">
        <v>138.16999999999999</v>
      </c>
      <c r="K512" s="2">
        <f>SUMIF(order_details!A:A,Table1[[#This Row],[orderID]],order_details!F:F)</f>
        <v>1644.6</v>
      </c>
      <c r="L512" s="9">
        <f>_xlfn.XLOOKUP(Table1[[#This Row],[orderID]],Table3[orderID],Table3[discount])</f>
        <v>0</v>
      </c>
      <c r="M512" s="2">
        <f>SUM(Table1[[#This Row],[Sales]],Table1[[#This Row],[freight]])</f>
        <v>1782.77</v>
      </c>
      <c r="N512" s="3">
        <f>_xlfn.XLOOKUP(Table1[[#This Row],[orderID]],Table3[orderID],Table3[quantity])</f>
        <v>20</v>
      </c>
      <c r="O512" s="6" t="str">
        <f>_xlfn.XLOOKUP(Table1[[#This Row],[CustomerID]],customers!A:A,customers!B:B)</f>
        <v>Richter Supermarkt</v>
      </c>
      <c r="P512" s="6" t="str">
        <f>_xlfn.XLOOKUP(Table1[[#This Row],[shipperID]],Table6[shipperID],Table6[companyName])</f>
        <v>Federal Shipping</v>
      </c>
      <c r="Q512">
        <f>YEAR(Table1[[#This Row],[OrderDate]])</f>
        <v>2014</v>
      </c>
      <c r="R512">
        <f>MONTH(Table1[[#This Row],[OrderDate]])</f>
        <v>11</v>
      </c>
      <c r="S512" t="str">
        <f>"Q"&amp;ROUNDUP(Table1[[#This Row],[month]]/3,0)</f>
        <v>Q4</v>
      </c>
      <c r="T512" t="str">
        <f>CONCATENATE(Table1[[#This Row],[year]],"-",Table1[[#This Row],[Quarter]])</f>
        <v>2014-Q4</v>
      </c>
      <c r="U512" s="6" t="str">
        <f>IF(H511="","Pending",IF(Table1[[#This Row],[Days to ship]]&lt;Table1[[#This Row],[RequiredDate]],"On Time","Late"))</f>
        <v>On Time</v>
      </c>
      <c r="V512">
        <f>_xlfn.XLOOKUP(Table1[[#This Row],[orderID]],Table3[orderID],Table3[unitPrice])</f>
        <v>31.23</v>
      </c>
    </row>
    <row r="513" spans="1:22" x14ac:dyDescent="0.45">
      <c r="A513" s="3">
        <v>10759</v>
      </c>
      <c r="B513" s="6" t="s">
        <v>222</v>
      </c>
      <c r="C513" s="3">
        <v>3</v>
      </c>
      <c r="D513" s="6" t="str">
        <f>_xlfn.XLOOKUP(Table1[[#This Row],[EmployeeID]],Table4[employeeID],Table4[employeeName])</f>
        <v>Janet Leverling</v>
      </c>
      <c r="E513" s="1">
        <v>41971</v>
      </c>
      <c r="F513" s="1">
        <v>41999</v>
      </c>
      <c r="G513" s="1">
        <v>41985</v>
      </c>
      <c r="H513" s="3">
        <f>IF(Table1[[#This Row],[ShippedDate]]="","",IF(Table1[[#This Row],[OrderDate]]="","",Table1[[#This Row],[ShippedDate]]-Table1[[#This Row],[OrderDate]]))</f>
        <v>14</v>
      </c>
      <c r="I513" s="3">
        <v>3</v>
      </c>
      <c r="J513" s="2">
        <v>11.99</v>
      </c>
      <c r="K513" s="2">
        <f>SUMIF(order_details!A:A,Table1[[#This Row],[orderID]],order_details!F:F)</f>
        <v>320</v>
      </c>
      <c r="L513" s="9">
        <f>_xlfn.XLOOKUP(Table1[[#This Row],[orderID]],Table3[orderID],Table3[discount])</f>
        <v>0</v>
      </c>
      <c r="M513" s="2">
        <f>SUM(Table1[[#This Row],[Sales]],Table1[[#This Row],[freight]])</f>
        <v>331.99</v>
      </c>
      <c r="N513" s="3">
        <f>_xlfn.XLOOKUP(Table1[[#This Row],[orderID]],Table3[orderID],Table3[quantity])</f>
        <v>10</v>
      </c>
      <c r="O513" s="6" t="str">
        <f>_xlfn.XLOOKUP(Table1[[#This Row],[CustomerID]],customers!A:A,customers!B:B)</f>
        <v>Ana Trujillo Emparedados y helados</v>
      </c>
      <c r="P513" s="6" t="str">
        <f>_xlfn.XLOOKUP(Table1[[#This Row],[shipperID]],Table6[shipperID],Table6[companyName])</f>
        <v>Federal Shipping</v>
      </c>
      <c r="Q513">
        <f>YEAR(Table1[[#This Row],[OrderDate]])</f>
        <v>2014</v>
      </c>
      <c r="R513">
        <f>MONTH(Table1[[#This Row],[OrderDate]])</f>
        <v>11</v>
      </c>
      <c r="S513" t="str">
        <f>"Q"&amp;ROUNDUP(Table1[[#This Row],[month]]/3,0)</f>
        <v>Q4</v>
      </c>
      <c r="T513" t="str">
        <f>CONCATENATE(Table1[[#This Row],[year]],"-",Table1[[#This Row],[Quarter]])</f>
        <v>2014-Q4</v>
      </c>
      <c r="U513" s="6" t="str">
        <f>IF(H512="","Pending",IF(Table1[[#This Row],[Days to ship]]&lt;Table1[[#This Row],[RequiredDate]],"On Time","Late"))</f>
        <v>On Time</v>
      </c>
      <c r="V513">
        <f>_xlfn.XLOOKUP(Table1[[#This Row],[orderID]],Table3[orderID],Table3[unitPrice])</f>
        <v>32</v>
      </c>
    </row>
    <row r="514" spans="1:22" x14ac:dyDescent="0.45">
      <c r="A514" s="3">
        <v>10760</v>
      </c>
      <c r="B514" s="6" t="s">
        <v>205</v>
      </c>
      <c r="C514" s="3">
        <v>4</v>
      </c>
      <c r="D514" s="6" t="str">
        <f>_xlfn.XLOOKUP(Table1[[#This Row],[EmployeeID]],Table4[employeeID],Table4[employeeName])</f>
        <v>Margaret Peacock</v>
      </c>
      <c r="E514" s="1">
        <v>41974</v>
      </c>
      <c r="F514" s="1">
        <v>42002</v>
      </c>
      <c r="G514" s="1">
        <v>41983</v>
      </c>
      <c r="H514" s="3">
        <f>IF(Table1[[#This Row],[ShippedDate]]="","",IF(Table1[[#This Row],[OrderDate]]="","",Table1[[#This Row],[ShippedDate]]-Table1[[#This Row],[OrderDate]]))</f>
        <v>9</v>
      </c>
      <c r="I514" s="3">
        <v>1</v>
      </c>
      <c r="J514" s="2">
        <v>155.63999999999999</v>
      </c>
      <c r="K514" s="2">
        <f>SUMIF(order_details!A:A,Table1[[#This Row],[orderID]],order_details!F:F)</f>
        <v>2917</v>
      </c>
      <c r="L514" s="9">
        <f>_xlfn.XLOOKUP(Table1[[#This Row],[orderID]],Table3[orderID],Table3[discount])</f>
        <v>0.25</v>
      </c>
      <c r="M514" s="2">
        <f>SUM(Table1[[#This Row],[Sales]],Table1[[#This Row],[freight]])</f>
        <v>3072.64</v>
      </c>
      <c r="N514" s="3">
        <f>_xlfn.XLOOKUP(Table1[[#This Row],[orderID]],Table3[orderID],Table3[quantity])</f>
        <v>12</v>
      </c>
      <c r="O514" s="6" t="str">
        <f>_xlfn.XLOOKUP(Table1[[#This Row],[CustomerID]],customers!A:A,customers!B:B)</f>
        <v>Maison Dewey</v>
      </c>
      <c r="P514" s="6" t="str">
        <f>_xlfn.XLOOKUP(Table1[[#This Row],[shipperID]],Table6[shipperID],Table6[companyName])</f>
        <v>Speedy Express</v>
      </c>
      <c r="Q514">
        <f>YEAR(Table1[[#This Row],[OrderDate]])</f>
        <v>2014</v>
      </c>
      <c r="R514">
        <f>MONTH(Table1[[#This Row],[OrderDate]])</f>
        <v>12</v>
      </c>
      <c r="S514" t="str">
        <f>"Q"&amp;ROUNDUP(Table1[[#This Row],[month]]/3,0)</f>
        <v>Q4</v>
      </c>
      <c r="T514" t="str">
        <f>CONCATENATE(Table1[[#This Row],[year]],"-",Table1[[#This Row],[Quarter]])</f>
        <v>2014-Q4</v>
      </c>
      <c r="U514" s="6" t="str">
        <f>IF(H513="","Pending",IF(Table1[[#This Row],[Days to ship]]&lt;Table1[[#This Row],[RequiredDate]],"On Time","Late"))</f>
        <v>On Time</v>
      </c>
      <c r="V514">
        <f>_xlfn.XLOOKUP(Table1[[#This Row],[orderID]],Table3[orderID],Table3[unitPrice])</f>
        <v>14</v>
      </c>
    </row>
    <row r="515" spans="1:22" x14ac:dyDescent="0.45">
      <c r="A515" s="3">
        <v>10761</v>
      </c>
      <c r="B515" s="6" t="s">
        <v>153</v>
      </c>
      <c r="C515" s="3">
        <v>5</v>
      </c>
      <c r="D515" s="6" t="str">
        <f>_xlfn.XLOOKUP(Table1[[#This Row],[EmployeeID]],Table4[employeeID],Table4[employeeName])</f>
        <v>Steven Buchanan</v>
      </c>
      <c r="E515" s="1">
        <v>41975</v>
      </c>
      <c r="F515" s="1">
        <v>42003</v>
      </c>
      <c r="G515" s="1">
        <v>41981</v>
      </c>
      <c r="H515" s="3">
        <f>IF(Table1[[#This Row],[ShippedDate]]="","",IF(Table1[[#This Row],[OrderDate]]="","",Table1[[#This Row],[ShippedDate]]-Table1[[#This Row],[OrderDate]]))</f>
        <v>6</v>
      </c>
      <c r="I515" s="3">
        <v>2</v>
      </c>
      <c r="J515" s="2">
        <v>18.66</v>
      </c>
      <c r="K515" s="2">
        <f>SUMIF(order_details!A:A,Table1[[#This Row],[orderID]],order_details!F:F)</f>
        <v>507</v>
      </c>
      <c r="L515" s="9">
        <f>_xlfn.XLOOKUP(Table1[[#This Row],[orderID]],Table3[orderID],Table3[discount])</f>
        <v>0.25</v>
      </c>
      <c r="M515" s="2">
        <f>SUM(Table1[[#This Row],[Sales]],Table1[[#This Row],[freight]])</f>
        <v>525.66</v>
      </c>
      <c r="N515" s="3">
        <f>_xlfn.XLOOKUP(Table1[[#This Row],[orderID]],Table3[orderID],Table3[quantity])</f>
        <v>35</v>
      </c>
      <c r="O515" s="6" t="str">
        <f>_xlfn.XLOOKUP(Table1[[#This Row],[CustomerID]],customers!A:A,customers!B:B)</f>
        <v>Rattlesnake Canyon Grocery</v>
      </c>
      <c r="P515" s="6" t="str">
        <f>_xlfn.XLOOKUP(Table1[[#This Row],[shipperID]],Table6[shipperID],Table6[companyName])</f>
        <v>United Package</v>
      </c>
      <c r="Q515">
        <f>YEAR(Table1[[#This Row],[OrderDate]])</f>
        <v>2014</v>
      </c>
      <c r="R515">
        <f>MONTH(Table1[[#This Row],[OrderDate]])</f>
        <v>12</v>
      </c>
      <c r="S515" t="str">
        <f>"Q"&amp;ROUNDUP(Table1[[#This Row],[month]]/3,0)</f>
        <v>Q4</v>
      </c>
      <c r="T515" t="str">
        <f>CONCATENATE(Table1[[#This Row],[year]],"-",Table1[[#This Row],[Quarter]])</f>
        <v>2014-Q4</v>
      </c>
      <c r="U515" s="6" t="str">
        <f>IF(H514="","Pending",IF(Table1[[#This Row],[Days to ship]]&lt;Table1[[#This Row],[RequiredDate]],"On Time","Late"))</f>
        <v>On Time</v>
      </c>
      <c r="V515">
        <f>_xlfn.XLOOKUP(Table1[[#This Row],[orderID]],Table3[orderID],Table3[unitPrice])</f>
        <v>14</v>
      </c>
    </row>
    <row r="516" spans="1:22" x14ac:dyDescent="0.45">
      <c r="A516" s="3">
        <v>10762</v>
      </c>
      <c r="B516" s="6" t="s">
        <v>179</v>
      </c>
      <c r="C516" s="3">
        <v>3</v>
      </c>
      <c r="D516" s="6" t="str">
        <f>_xlfn.XLOOKUP(Table1[[#This Row],[EmployeeID]],Table4[employeeID],Table4[employeeName])</f>
        <v>Janet Leverling</v>
      </c>
      <c r="E516" s="1">
        <v>41975</v>
      </c>
      <c r="F516" s="1">
        <v>42003</v>
      </c>
      <c r="G516" s="1">
        <v>41982</v>
      </c>
      <c r="H516" s="3">
        <f>IF(Table1[[#This Row],[ShippedDate]]="","",IF(Table1[[#This Row],[OrderDate]]="","",Table1[[#This Row],[ShippedDate]]-Table1[[#This Row],[OrderDate]]))</f>
        <v>7</v>
      </c>
      <c r="I516" s="3">
        <v>1</v>
      </c>
      <c r="J516" s="2">
        <v>328.74</v>
      </c>
      <c r="K516" s="2">
        <f>SUMIF(order_details!A:A,Table1[[#This Row],[orderID]],order_details!F:F)</f>
        <v>4337</v>
      </c>
      <c r="L516" s="9">
        <f>_xlfn.XLOOKUP(Table1[[#This Row],[orderID]],Table3[orderID],Table3[discount])</f>
        <v>0</v>
      </c>
      <c r="M516" s="2">
        <f>SUM(Table1[[#This Row],[Sales]],Table1[[#This Row],[freight]])</f>
        <v>4665.74</v>
      </c>
      <c r="N516" s="3">
        <f>_xlfn.XLOOKUP(Table1[[#This Row],[orderID]],Table3[orderID],Table3[quantity])</f>
        <v>16</v>
      </c>
      <c r="O516" s="6" t="str">
        <f>_xlfn.XLOOKUP(Table1[[#This Row],[CustomerID]],customers!A:A,customers!B:B)</f>
        <v>Folk och fä HB</v>
      </c>
      <c r="P516" s="6" t="str">
        <f>_xlfn.XLOOKUP(Table1[[#This Row],[shipperID]],Table6[shipperID],Table6[companyName])</f>
        <v>Speedy Express</v>
      </c>
      <c r="Q516">
        <f>YEAR(Table1[[#This Row],[OrderDate]])</f>
        <v>2014</v>
      </c>
      <c r="R516">
        <f>MONTH(Table1[[#This Row],[OrderDate]])</f>
        <v>12</v>
      </c>
      <c r="S516" t="str">
        <f>"Q"&amp;ROUNDUP(Table1[[#This Row],[month]]/3,0)</f>
        <v>Q4</v>
      </c>
      <c r="T516" t="str">
        <f>CONCATENATE(Table1[[#This Row],[year]],"-",Table1[[#This Row],[Quarter]])</f>
        <v>2014-Q4</v>
      </c>
      <c r="U516" s="6" t="str">
        <f>IF(H515="","Pending",IF(Table1[[#This Row],[Days to ship]]&lt;Table1[[#This Row],[RequiredDate]],"On Time","Late"))</f>
        <v>On Time</v>
      </c>
      <c r="V516">
        <f>_xlfn.XLOOKUP(Table1[[#This Row],[orderID]],Table3[orderID],Table3[unitPrice])</f>
        <v>18</v>
      </c>
    </row>
    <row r="517" spans="1:22" x14ac:dyDescent="0.45">
      <c r="A517" s="3">
        <v>10763</v>
      </c>
      <c r="B517" s="6" t="s">
        <v>234</v>
      </c>
      <c r="C517" s="3">
        <v>3</v>
      </c>
      <c r="D517" s="6" t="str">
        <f>_xlfn.XLOOKUP(Table1[[#This Row],[EmployeeID]],Table4[employeeID],Table4[employeeName])</f>
        <v>Janet Leverling</v>
      </c>
      <c r="E517" s="1">
        <v>41976</v>
      </c>
      <c r="F517" s="1">
        <v>42004</v>
      </c>
      <c r="G517" s="1">
        <v>41981</v>
      </c>
      <c r="H517" s="3">
        <f>IF(Table1[[#This Row],[ShippedDate]]="","",IF(Table1[[#This Row],[OrderDate]]="","",Table1[[#This Row],[ShippedDate]]-Table1[[#This Row],[OrderDate]]))</f>
        <v>5</v>
      </c>
      <c r="I517" s="3">
        <v>3</v>
      </c>
      <c r="J517" s="2">
        <v>37.35</v>
      </c>
      <c r="K517" s="2">
        <f>SUMIF(order_details!A:A,Table1[[#This Row],[orderID]],order_details!F:F)</f>
        <v>616</v>
      </c>
      <c r="L517" s="9">
        <f>_xlfn.XLOOKUP(Table1[[#This Row],[orderID]],Table3[orderID],Table3[discount])</f>
        <v>0</v>
      </c>
      <c r="M517" s="2">
        <f>SUM(Table1[[#This Row],[Sales]],Table1[[#This Row],[freight]])</f>
        <v>653.35</v>
      </c>
      <c r="N517" s="3">
        <f>_xlfn.XLOOKUP(Table1[[#This Row],[orderID]],Table3[orderID],Table3[quantity])</f>
        <v>40</v>
      </c>
      <c r="O517" s="6" t="str">
        <f>_xlfn.XLOOKUP(Table1[[#This Row],[CustomerID]],customers!A:A,customers!B:B)</f>
        <v>Folies gourmandes</v>
      </c>
      <c r="P517" s="6" t="str">
        <f>_xlfn.XLOOKUP(Table1[[#This Row],[shipperID]],Table6[shipperID],Table6[companyName])</f>
        <v>Federal Shipping</v>
      </c>
      <c r="Q517">
        <f>YEAR(Table1[[#This Row],[OrderDate]])</f>
        <v>2014</v>
      </c>
      <c r="R517">
        <f>MONTH(Table1[[#This Row],[OrderDate]])</f>
        <v>12</v>
      </c>
      <c r="S517" t="str">
        <f>"Q"&amp;ROUNDUP(Table1[[#This Row],[month]]/3,0)</f>
        <v>Q4</v>
      </c>
      <c r="T517" t="str">
        <f>CONCATENATE(Table1[[#This Row],[year]],"-",Table1[[#This Row],[Quarter]])</f>
        <v>2014-Q4</v>
      </c>
      <c r="U517" s="6" t="str">
        <f>IF(H516="","Pending",IF(Table1[[#This Row],[Days to ship]]&lt;Table1[[#This Row],[RequiredDate]],"On Time","Late"))</f>
        <v>On Time</v>
      </c>
      <c r="V517">
        <f>_xlfn.XLOOKUP(Table1[[#This Row],[orderID]],Table3[orderID],Table3[unitPrice])</f>
        <v>10</v>
      </c>
    </row>
    <row r="518" spans="1:22" x14ac:dyDescent="0.45">
      <c r="A518" s="3">
        <v>10764</v>
      </c>
      <c r="B518" s="6" t="s">
        <v>158</v>
      </c>
      <c r="C518" s="3">
        <v>6</v>
      </c>
      <c r="D518" s="6" t="str">
        <f>_xlfn.XLOOKUP(Table1[[#This Row],[EmployeeID]],Table4[employeeID],Table4[employeeName])</f>
        <v>Michael Suyama</v>
      </c>
      <c r="E518" s="1">
        <v>41976</v>
      </c>
      <c r="F518" s="1">
        <v>42004</v>
      </c>
      <c r="G518" s="1">
        <v>41981</v>
      </c>
      <c r="H518" s="3">
        <f>IF(Table1[[#This Row],[ShippedDate]]="","",IF(Table1[[#This Row],[OrderDate]]="","",Table1[[#This Row],[ShippedDate]]-Table1[[#This Row],[OrderDate]]))</f>
        <v>5</v>
      </c>
      <c r="I518" s="3">
        <v>3</v>
      </c>
      <c r="J518" s="2">
        <v>145.44999999999999</v>
      </c>
      <c r="K518" s="2">
        <f>SUMIF(order_details!A:A,Table1[[#This Row],[orderID]],order_details!F:F)</f>
        <v>2286</v>
      </c>
      <c r="L518" s="9">
        <f>_xlfn.XLOOKUP(Table1[[#This Row],[orderID]],Table3[orderID],Table3[discount])</f>
        <v>0.1</v>
      </c>
      <c r="M518" s="2">
        <f>SUM(Table1[[#This Row],[Sales]],Table1[[#This Row],[freight]])</f>
        <v>2431.4499999999998</v>
      </c>
      <c r="N518" s="3">
        <f>_xlfn.XLOOKUP(Table1[[#This Row],[orderID]],Table3[orderID],Table3[quantity])</f>
        <v>20</v>
      </c>
      <c r="O518" s="6" t="str">
        <f>_xlfn.XLOOKUP(Table1[[#This Row],[CustomerID]],customers!A:A,customers!B:B)</f>
        <v>Ernst Handel</v>
      </c>
      <c r="P518" s="6" t="str">
        <f>_xlfn.XLOOKUP(Table1[[#This Row],[shipperID]],Table6[shipperID],Table6[companyName])</f>
        <v>Federal Shipping</v>
      </c>
      <c r="Q518">
        <f>YEAR(Table1[[#This Row],[OrderDate]])</f>
        <v>2014</v>
      </c>
      <c r="R518">
        <f>MONTH(Table1[[#This Row],[OrderDate]])</f>
        <v>12</v>
      </c>
      <c r="S518" t="str">
        <f>"Q"&amp;ROUNDUP(Table1[[#This Row],[month]]/3,0)</f>
        <v>Q4</v>
      </c>
      <c r="T518" t="str">
        <f>CONCATENATE(Table1[[#This Row],[year]],"-",Table1[[#This Row],[Quarter]])</f>
        <v>2014-Q4</v>
      </c>
      <c r="U518" s="6" t="str">
        <f>IF(H517="","Pending",IF(Table1[[#This Row],[Days to ship]]&lt;Table1[[#This Row],[RequiredDate]],"On Time","Late"))</f>
        <v>On Time</v>
      </c>
      <c r="V518">
        <f>_xlfn.XLOOKUP(Table1[[#This Row],[orderID]],Table3[orderID],Table3[unitPrice])</f>
        <v>10</v>
      </c>
    </row>
    <row r="519" spans="1:22" x14ac:dyDescent="0.45">
      <c r="A519" s="3">
        <v>10765</v>
      </c>
      <c r="B519" s="6" t="s">
        <v>194</v>
      </c>
      <c r="C519" s="3">
        <v>3</v>
      </c>
      <c r="D519" s="6" t="str">
        <f>_xlfn.XLOOKUP(Table1[[#This Row],[EmployeeID]],Table4[employeeID],Table4[employeeName])</f>
        <v>Janet Leverling</v>
      </c>
      <c r="E519" s="1">
        <v>41977</v>
      </c>
      <c r="F519" s="1">
        <v>42005</v>
      </c>
      <c r="G519" s="1">
        <v>41982</v>
      </c>
      <c r="H519" s="3">
        <f>IF(Table1[[#This Row],[ShippedDate]]="","",IF(Table1[[#This Row],[OrderDate]]="","",Table1[[#This Row],[ShippedDate]]-Table1[[#This Row],[OrderDate]]))</f>
        <v>5</v>
      </c>
      <c r="I519" s="3">
        <v>3</v>
      </c>
      <c r="J519" s="2">
        <v>42.74</v>
      </c>
      <c r="K519" s="2">
        <f>SUMIF(order_details!A:A,Table1[[#This Row],[orderID]],order_details!F:F)</f>
        <v>1515.6000000000001</v>
      </c>
      <c r="L519" s="9">
        <f>_xlfn.XLOOKUP(Table1[[#This Row],[orderID]],Table3[orderID],Table3[discount])</f>
        <v>0.1</v>
      </c>
      <c r="M519" s="2">
        <f>SUM(Table1[[#This Row],[Sales]],Table1[[#This Row],[freight]])</f>
        <v>1558.3400000000001</v>
      </c>
      <c r="N519" s="3">
        <f>_xlfn.XLOOKUP(Table1[[#This Row],[orderID]],Table3[orderID],Table3[quantity])</f>
        <v>80</v>
      </c>
      <c r="O519" s="6" t="str">
        <f>_xlfn.XLOOKUP(Table1[[#This Row],[CustomerID]],customers!A:A,customers!B:B)</f>
        <v>QUICK-Stop</v>
      </c>
      <c r="P519" s="6" t="str">
        <f>_xlfn.XLOOKUP(Table1[[#This Row],[shipperID]],Table6[shipperID],Table6[companyName])</f>
        <v>Federal Shipping</v>
      </c>
      <c r="Q519">
        <f>YEAR(Table1[[#This Row],[OrderDate]])</f>
        <v>2014</v>
      </c>
      <c r="R519">
        <f>MONTH(Table1[[#This Row],[OrderDate]])</f>
        <v>12</v>
      </c>
      <c r="S519" t="str">
        <f>"Q"&amp;ROUNDUP(Table1[[#This Row],[month]]/3,0)</f>
        <v>Q4</v>
      </c>
      <c r="T519" t="str">
        <f>CONCATENATE(Table1[[#This Row],[year]],"-",Table1[[#This Row],[Quarter]])</f>
        <v>2014-Q4</v>
      </c>
      <c r="U519" s="6" t="str">
        <f>IF(H518="","Pending",IF(Table1[[#This Row],[Days to ship]]&lt;Table1[[#This Row],[RequiredDate]],"On Time","Late"))</f>
        <v>On Time</v>
      </c>
      <c r="V519">
        <f>_xlfn.XLOOKUP(Table1[[#This Row],[orderID]],Table3[orderID],Table3[unitPrice])</f>
        <v>21.05</v>
      </c>
    </row>
    <row r="520" spans="1:22" x14ac:dyDescent="0.45">
      <c r="A520" s="3">
        <v>10766</v>
      </c>
      <c r="B520" s="6" t="s">
        <v>195</v>
      </c>
      <c r="C520" s="3">
        <v>4</v>
      </c>
      <c r="D520" s="6" t="str">
        <f>_xlfn.XLOOKUP(Table1[[#This Row],[EmployeeID]],Table4[employeeID],Table4[employeeName])</f>
        <v>Margaret Peacock</v>
      </c>
      <c r="E520" s="1">
        <v>41978</v>
      </c>
      <c r="F520" s="1">
        <v>42006</v>
      </c>
      <c r="G520" s="1">
        <v>41982</v>
      </c>
      <c r="H520" s="3">
        <f>IF(Table1[[#This Row],[ShippedDate]]="","",IF(Table1[[#This Row],[OrderDate]]="","",Table1[[#This Row],[ShippedDate]]-Table1[[#This Row],[OrderDate]]))</f>
        <v>4</v>
      </c>
      <c r="I520" s="3">
        <v>1</v>
      </c>
      <c r="J520" s="2">
        <v>157.55000000000001</v>
      </c>
      <c r="K520" s="2">
        <f>SUMIF(order_details!A:A,Table1[[#This Row],[orderID]],order_details!F:F)</f>
        <v>2310</v>
      </c>
      <c r="L520" s="9">
        <f>_xlfn.XLOOKUP(Table1[[#This Row],[orderID]],Table3[orderID],Table3[discount])</f>
        <v>0</v>
      </c>
      <c r="M520" s="2">
        <f>SUM(Table1[[#This Row],[Sales]],Table1[[#This Row],[freight]])</f>
        <v>2467.5500000000002</v>
      </c>
      <c r="N520" s="3">
        <f>_xlfn.XLOOKUP(Table1[[#This Row],[orderID]],Table3[orderID],Table3[quantity])</f>
        <v>40</v>
      </c>
      <c r="O520" s="6" t="str">
        <f>_xlfn.XLOOKUP(Table1[[#This Row],[CustomerID]],customers!A:A,customers!B:B)</f>
        <v>Ottilies Käseladen</v>
      </c>
      <c r="P520" s="6" t="str">
        <f>_xlfn.XLOOKUP(Table1[[#This Row],[shipperID]],Table6[shipperID],Table6[companyName])</f>
        <v>Speedy Express</v>
      </c>
      <c r="Q520">
        <f>YEAR(Table1[[#This Row],[OrderDate]])</f>
        <v>2014</v>
      </c>
      <c r="R520">
        <f>MONTH(Table1[[#This Row],[OrderDate]])</f>
        <v>12</v>
      </c>
      <c r="S520" t="str">
        <f>"Q"&amp;ROUNDUP(Table1[[#This Row],[month]]/3,0)</f>
        <v>Q4</v>
      </c>
      <c r="T520" t="str">
        <f>CONCATENATE(Table1[[#This Row],[year]],"-",Table1[[#This Row],[Quarter]])</f>
        <v>2014-Q4</v>
      </c>
      <c r="U520" s="6" t="str">
        <f>IF(H519="","Pending",IF(Table1[[#This Row],[Days to ship]]&lt;Table1[[#This Row],[RequiredDate]],"On Time","Late"))</f>
        <v>On Time</v>
      </c>
      <c r="V520">
        <f>_xlfn.XLOOKUP(Table1[[#This Row],[orderID]],Table3[orderID],Table3[unitPrice])</f>
        <v>19</v>
      </c>
    </row>
    <row r="521" spans="1:22" x14ac:dyDescent="0.45">
      <c r="A521" s="3">
        <v>10767</v>
      </c>
      <c r="B521" s="6" t="s">
        <v>188</v>
      </c>
      <c r="C521" s="3">
        <v>4</v>
      </c>
      <c r="D521" s="6" t="str">
        <f>_xlfn.XLOOKUP(Table1[[#This Row],[EmployeeID]],Table4[employeeID],Table4[employeeName])</f>
        <v>Margaret Peacock</v>
      </c>
      <c r="E521" s="1">
        <v>41978</v>
      </c>
      <c r="F521" s="1">
        <v>42006</v>
      </c>
      <c r="G521" s="1">
        <v>41988</v>
      </c>
      <c r="H521" s="3">
        <f>IF(Table1[[#This Row],[ShippedDate]]="","",IF(Table1[[#This Row],[OrderDate]]="","",Table1[[#This Row],[ShippedDate]]-Table1[[#This Row],[OrderDate]]))</f>
        <v>10</v>
      </c>
      <c r="I521" s="3">
        <v>3</v>
      </c>
      <c r="J521" s="2">
        <v>1.59</v>
      </c>
      <c r="K521" s="2">
        <f>SUMIF(order_details!A:A,Table1[[#This Row],[orderID]],order_details!F:F)</f>
        <v>28</v>
      </c>
      <c r="L521" s="9">
        <f>_xlfn.XLOOKUP(Table1[[#This Row],[orderID]],Table3[orderID],Table3[discount])</f>
        <v>0</v>
      </c>
      <c r="M521" s="2">
        <f>SUM(Table1[[#This Row],[Sales]],Table1[[#This Row],[freight]])</f>
        <v>29.59</v>
      </c>
      <c r="N521" s="3">
        <f>_xlfn.XLOOKUP(Table1[[#This Row],[orderID]],Table3[orderID],Table3[quantity])</f>
        <v>2</v>
      </c>
      <c r="O521" s="6" t="str">
        <f>_xlfn.XLOOKUP(Table1[[#This Row],[CustomerID]],customers!A:A,customers!B:B)</f>
        <v>Suprêmes délices</v>
      </c>
      <c r="P521" s="6" t="str">
        <f>_xlfn.XLOOKUP(Table1[[#This Row],[shipperID]],Table6[shipperID],Table6[companyName])</f>
        <v>Federal Shipping</v>
      </c>
      <c r="Q521">
        <f>YEAR(Table1[[#This Row],[OrderDate]])</f>
        <v>2014</v>
      </c>
      <c r="R521">
        <f>MONTH(Table1[[#This Row],[OrderDate]])</f>
        <v>12</v>
      </c>
      <c r="S521" t="str">
        <f>"Q"&amp;ROUNDUP(Table1[[#This Row],[month]]/3,0)</f>
        <v>Q4</v>
      </c>
      <c r="T521" t="str">
        <f>CONCATENATE(Table1[[#This Row],[year]],"-",Table1[[#This Row],[Quarter]])</f>
        <v>2014-Q4</v>
      </c>
      <c r="U521" s="6" t="str">
        <f>IF(H520="","Pending",IF(Table1[[#This Row],[Days to ship]]&lt;Table1[[#This Row],[RequiredDate]],"On Time","Late"))</f>
        <v>On Time</v>
      </c>
      <c r="V521">
        <f>_xlfn.XLOOKUP(Table1[[#This Row],[orderID]],Table3[orderID],Table3[unitPrice])</f>
        <v>14</v>
      </c>
    </row>
    <row r="522" spans="1:22" x14ac:dyDescent="0.45">
      <c r="A522" s="3">
        <v>10768</v>
      </c>
      <c r="B522" s="6" t="s">
        <v>198</v>
      </c>
      <c r="C522" s="3">
        <v>3</v>
      </c>
      <c r="D522" s="6" t="str">
        <f>_xlfn.XLOOKUP(Table1[[#This Row],[EmployeeID]],Table4[employeeID],Table4[employeeName])</f>
        <v>Janet Leverling</v>
      </c>
      <c r="E522" s="1">
        <v>41981</v>
      </c>
      <c r="F522" s="1">
        <v>42009</v>
      </c>
      <c r="G522" s="1">
        <v>41988</v>
      </c>
      <c r="H522" s="3">
        <f>IF(Table1[[#This Row],[ShippedDate]]="","",IF(Table1[[#This Row],[OrderDate]]="","",Table1[[#This Row],[ShippedDate]]-Table1[[#This Row],[OrderDate]]))</f>
        <v>7</v>
      </c>
      <c r="I522" s="3">
        <v>2</v>
      </c>
      <c r="J522" s="2">
        <v>146.32</v>
      </c>
      <c r="K522" s="2">
        <f>SUMIF(order_details!A:A,Table1[[#This Row],[orderID]],order_details!F:F)</f>
        <v>1477</v>
      </c>
      <c r="L522" s="9">
        <f>_xlfn.XLOOKUP(Table1[[#This Row],[orderID]],Table3[orderID],Table3[discount])</f>
        <v>0</v>
      </c>
      <c r="M522" s="2">
        <f>SUM(Table1[[#This Row],[Sales]],Table1[[#This Row],[freight]])</f>
        <v>1623.32</v>
      </c>
      <c r="N522" s="3">
        <f>_xlfn.XLOOKUP(Table1[[#This Row],[orderID]],Table3[orderID],Table3[quantity])</f>
        <v>4</v>
      </c>
      <c r="O522" s="6" t="str">
        <f>_xlfn.XLOOKUP(Table1[[#This Row],[CustomerID]],customers!A:A,customers!B:B)</f>
        <v>Around the Horn</v>
      </c>
      <c r="P522" s="6" t="str">
        <f>_xlfn.XLOOKUP(Table1[[#This Row],[shipperID]],Table6[shipperID],Table6[companyName])</f>
        <v>United Package</v>
      </c>
      <c r="Q522">
        <f>YEAR(Table1[[#This Row],[OrderDate]])</f>
        <v>2014</v>
      </c>
      <c r="R522">
        <f>MONTH(Table1[[#This Row],[OrderDate]])</f>
        <v>12</v>
      </c>
      <c r="S522" t="str">
        <f>"Q"&amp;ROUNDUP(Table1[[#This Row],[month]]/3,0)</f>
        <v>Q4</v>
      </c>
      <c r="T522" t="str">
        <f>CONCATENATE(Table1[[#This Row],[year]],"-",Table1[[#This Row],[Quarter]])</f>
        <v>2014-Q4</v>
      </c>
      <c r="U522" s="6" t="str">
        <f>IF(H521="","Pending",IF(Table1[[#This Row],[Days to ship]]&lt;Table1[[#This Row],[RequiredDate]],"On Time","Late"))</f>
        <v>On Time</v>
      </c>
      <c r="V522">
        <f>_xlfn.XLOOKUP(Table1[[#This Row],[orderID]],Table3[orderID],Table3[unitPrice])</f>
        <v>21</v>
      </c>
    </row>
    <row r="523" spans="1:22" x14ac:dyDescent="0.45">
      <c r="A523" s="3">
        <v>10769</v>
      </c>
      <c r="B523" s="6" t="s">
        <v>207</v>
      </c>
      <c r="C523" s="3">
        <v>3</v>
      </c>
      <c r="D523" s="6" t="str">
        <f>_xlfn.XLOOKUP(Table1[[#This Row],[EmployeeID]],Table4[employeeID],Table4[employeeName])</f>
        <v>Janet Leverling</v>
      </c>
      <c r="E523" s="1">
        <v>41981</v>
      </c>
      <c r="F523" s="1">
        <v>42009</v>
      </c>
      <c r="G523" s="1">
        <v>41985</v>
      </c>
      <c r="H523" s="3">
        <f>IF(Table1[[#This Row],[ShippedDate]]="","",IF(Table1[[#This Row],[OrderDate]]="","",Table1[[#This Row],[ShippedDate]]-Table1[[#This Row],[OrderDate]]))</f>
        <v>4</v>
      </c>
      <c r="I523" s="3">
        <v>1</v>
      </c>
      <c r="J523" s="2">
        <v>65.06</v>
      </c>
      <c r="K523" s="2">
        <f>SUMIF(order_details!A:A,Table1[[#This Row],[orderID]],order_details!F:F)</f>
        <v>1684.2750000000001</v>
      </c>
      <c r="L523" s="9">
        <f>_xlfn.XLOOKUP(Table1[[#This Row],[orderID]],Table3[orderID],Table3[discount])</f>
        <v>0.05</v>
      </c>
      <c r="M523" s="2">
        <f>SUM(Table1[[#This Row],[Sales]],Table1[[#This Row],[freight]])</f>
        <v>1749.335</v>
      </c>
      <c r="N523" s="3">
        <f>_xlfn.XLOOKUP(Table1[[#This Row],[orderID]],Table3[orderID],Table3[quantity])</f>
        <v>30</v>
      </c>
      <c r="O523" s="6" t="str">
        <f>_xlfn.XLOOKUP(Table1[[#This Row],[CustomerID]],customers!A:A,customers!B:B)</f>
        <v>Vaffeljernet</v>
      </c>
      <c r="P523" s="6" t="str">
        <f>_xlfn.XLOOKUP(Table1[[#This Row],[shipperID]],Table6[shipperID],Table6[companyName])</f>
        <v>Speedy Express</v>
      </c>
      <c r="Q523">
        <f>YEAR(Table1[[#This Row],[OrderDate]])</f>
        <v>2014</v>
      </c>
      <c r="R523">
        <f>MONTH(Table1[[#This Row],[OrderDate]])</f>
        <v>12</v>
      </c>
      <c r="S523" t="str">
        <f>"Q"&amp;ROUNDUP(Table1[[#This Row],[month]]/3,0)</f>
        <v>Q4</v>
      </c>
      <c r="T523" t="str">
        <f>CONCATENATE(Table1[[#This Row],[year]],"-",Table1[[#This Row],[Quarter]])</f>
        <v>2014-Q4</v>
      </c>
      <c r="U523" s="6" t="str">
        <f>IF(H522="","Pending",IF(Table1[[#This Row],[Days to ship]]&lt;Table1[[#This Row],[RequiredDate]],"On Time","Late"))</f>
        <v>On Time</v>
      </c>
      <c r="V523">
        <f>_xlfn.XLOOKUP(Table1[[#This Row],[orderID]],Table3[orderID],Table3[unitPrice])</f>
        <v>9.65</v>
      </c>
    </row>
    <row r="524" spans="1:22" x14ac:dyDescent="0.45">
      <c r="A524" s="3">
        <v>10770</v>
      </c>
      <c r="B524" s="6" t="s">
        <v>177</v>
      </c>
      <c r="C524" s="3">
        <v>8</v>
      </c>
      <c r="D524" s="6" t="str">
        <f>_xlfn.XLOOKUP(Table1[[#This Row],[EmployeeID]],Table4[employeeID],Table4[employeeName])</f>
        <v>Laura Callahan</v>
      </c>
      <c r="E524" s="1">
        <v>41982</v>
      </c>
      <c r="F524" s="1">
        <v>42010</v>
      </c>
      <c r="G524" s="1">
        <v>41990</v>
      </c>
      <c r="H524" s="3">
        <f>IF(Table1[[#This Row],[ShippedDate]]="","",IF(Table1[[#This Row],[OrderDate]]="","",Table1[[#This Row],[ShippedDate]]-Table1[[#This Row],[OrderDate]]))</f>
        <v>8</v>
      </c>
      <c r="I524" s="3">
        <v>3</v>
      </c>
      <c r="J524" s="2">
        <v>5.32</v>
      </c>
      <c r="K524" s="2">
        <f>SUMIF(order_details!A:A,Table1[[#This Row],[orderID]],order_details!F:F)</f>
        <v>236.25</v>
      </c>
      <c r="L524" s="9">
        <f>_xlfn.XLOOKUP(Table1[[#This Row],[orderID]],Table3[orderID],Table3[discount])</f>
        <v>0.25</v>
      </c>
      <c r="M524" s="2">
        <f>SUM(Table1[[#This Row],[Sales]],Table1[[#This Row],[freight]])</f>
        <v>241.57</v>
      </c>
      <c r="N524" s="3">
        <f>_xlfn.XLOOKUP(Table1[[#This Row],[orderID]],Table3[orderID],Table3[quantity])</f>
        <v>15</v>
      </c>
      <c r="O524" s="6" t="str">
        <f>_xlfn.XLOOKUP(Table1[[#This Row],[CustomerID]],customers!A:A,customers!B:B)</f>
        <v>Hanari Carnes</v>
      </c>
      <c r="P524" s="6" t="str">
        <f>_xlfn.XLOOKUP(Table1[[#This Row],[shipperID]],Table6[shipperID],Table6[companyName])</f>
        <v>Federal Shipping</v>
      </c>
      <c r="Q524">
        <f>YEAR(Table1[[#This Row],[OrderDate]])</f>
        <v>2014</v>
      </c>
      <c r="R524">
        <f>MONTH(Table1[[#This Row],[OrderDate]])</f>
        <v>12</v>
      </c>
      <c r="S524" t="str">
        <f>"Q"&amp;ROUNDUP(Table1[[#This Row],[month]]/3,0)</f>
        <v>Q4</v>
      </c>
      <c r="T524" t="str">
        <f>CONCATENATE(Table1[[#This Row],[year]],"-",Table1[[#This Row],[Quarter]])</f>
        <v>2014-Q4</v>
      </c>
      <c r="U524" s="6" t="str">
        <f>IF(H523="","Pending",IF(Table1[[#This Row],[Days to ship]]&lt;Table1[[#This Row],[RequiredDate]],"On Time","Late"))</f>
        <v>On Time</v>
      </c>
      <c r="V524">
        <f>_xlfn.XLOOKUP(Table1[[#This Row],[orderID]],Table3[orderID],Table3[unitPrice])</f>
        <v>21</v>
      </c>
    </row>
    <row r="525" spans="1:22" x14ac:dyDescent="0.45">
      <c r="A525" s="3">
        <v>10771</v>
      </c>
      <c r="B525" s="6" t="s">
        <v>158</v>
      </c>
      <c r="C525" s="3">
        <v>9</v>
      </c>
      <c r="D525" s="6" t="str">
        <f>_xlfn.XLOOKUP(Table1[[#This Row],[EmployeeID]],Table4[employeeID],Table4[employeeName])</f>
        <v>Anne Dodsworth</v>
      </c>
      <c r="E525" s="1">
        <v>41983</v>
      </c>
      <c r="F525" s="1">
        <v>42011</v>
      </c>
      <c r="G525" s="1">
        <v>42006</v>
      </c>
      <c r="H525" s="3">
        <f>IF(Table1[[#This Row],[ShippedDate]]="","",IF(Table1[[#This Row],[OrderDate]]="","",Table1[[#This Row],[ShippedDate]]-Table1[[#This Row],[OrderDate]]))</f>
        <v>23</v>
      </c>
      <c r="I525" s="3">
        <v>2</v>
      </c>
      <c r="J525" s="2">
        <v>11.19</v>
      </c>
      <c r="K525" s="2">
        <f>SUMIF(order_details!A:A,Table1[[#This Row],[orderID]],order_details!F:F)</f>
        <v>344</v>
      </c>
      <c r="L525" s="9">
        <f>_xlfn.XLOOKUP(Table1[[#This Row],[orderID]],Table3[orderID],Table3[discount])</f>
        <v>0</v>
      </c>
      <c r="M525" s="2">
        <f>SUM(Table1[[#This Row],[Sales]],Table1[[#This Row],[freight]])</f>
        <v>355.19</v>
      </c>
      <c r="N525" s="3">
        <f>_xlfn.XLOOKUP(Table1[[#This Row],[orderID]],Table3[orderID],Table3[quantity])</f>
        <v>16</v>
      </c>
      <c r="O525" s="6" t="str">
        <f>_xlfn.XLOOKUP(Table1[[#This Row],[CustomerID]],customers!A:A,customers!B:B)</f>
        <v>Ernst Handel</v>
      </c>
      <c r="P525" s="6" t="str">
        <f>_xlfn.XLOOKUP(Table1[[#This Row],[shipperID]],Table6[shipperID],Table6[companyName])</f>
        <v>United Package</v>
      </c>
      <c r="Q525">
        <f>YEAR(Table1[[#This Row],[OrderDate]])</f>
        <v>2014</v>
      </c>
      <c r="R525">
        <f>MONTH(Table1[[#This Row],[OrderDate]])</f>
        <v>12</v>
      </c>
      <c r="S525" t="str">
        <f>"Q"&amp;ROUNDUP(Table1[[#This Row],[month]]/3,0)</f>
        <v>Q4</v>
      </c>
      <c r="T525" t="str">
        <f>CONCATENATE(Table1[[#This Row],[year]],"-",Table1[[#This Row],[Quarter]])</f>
        <v>2014-Q4</v>
      </c>
      <c r="U525" s="6" t="str">
        <f>IF(H524="","Pending",IF(Table1[[#This Row],[Days to ship]]&lt;Table1[[#This Row],[RequiredDate]],"On Time","Late"))</f>
        <v>On Time</v>
      </c>
      <c r="V525">
        <f>_xlfn.XLOOKUP(Table1[[#This Row],[orderID]],Table3[orderID],Table3[unitPrice])</f>
        <v>21.5</v>
      </c>
    </row>
    <row r="526" spans="1:22" x14ac:dyDescent="0.45">
      <c r="A526" s="3">
        <v>10772</v>
      </c>
      <c r="B526" s="6" t="s">
        <v>160</v>
      </c>
      <c r="C526" s="3">
        <v>3</v>
      </c>
      <c r="D526" s="6" t="str">
        <f>_xlfn.XLOOKUP(Table1[[#This Row],[EmployeeID]],Table4[employeeID],Table4[employeeName])</f>
        <v>Janet Leverling</v>
      </c>
      <c r="E526" s="1">
        <v>41983</v>
      </c>
      <c r="F526" s="1">
        <v>42011</v>
      </c>
      <c r="G526" s="1">
        <v>41992</v>
      </c>
      <c r="H526" s="3">
        <f>IF(Table1[[#This Row],[ShippedDate]]="","",IF(Table1[[#This Row],[OrderDate]]="","",Table1[[#This Row],[ShippedDate]]-Table1[[#This Row],[OrderDate]]))</f>
        <v>9</v>
      </c>
      <c r="I526" s="3">
        <v>2</v>
      </c>
      <c r="J526" s="2">
        <v>91.28</v>
      </c>
      <c r="K526" s="2">
        <f>SUMIF(order_details!A:A,Table1[[#This Row],[orderID]],order_details!F:F)</f>
        <v>3603.2200000000003</v>
      </c>
      <c r="L526" s="9">
        <f>_xlfn.XLOOKUP(Table1[[#This Row],[orderID]],Table3[orderID],Table3[discount])</f>
        <v>0</v>
      </c>
      <c r="M526" s="2">
        <f>SUM(Table1[[#This Row],[Sales]],Table1[[#This Row],[freight]])</f>
        <v>3694.5000000000005</v>
      </c>
      <c r="N526" s="3">
        <f>_xlfn.XLOOKUP(Table1[[#This Row],[orderID]],Table3[orderID],Table3[quantity])</f>
        <v>18</v>
      </c>
      <c r="O526" s="6" t="str">
        <f>_xlfn.XLOOKUP(Table1[[#This Row],[CustomerID]],customers!A:A,customers!B:B)</f>
        <v>Lehmanns Marktstand</v>
      </c>
      <c r="P526" s="6" t="str">
        <f>_xlfn.XLOOKUP(Table1[[#This Row],[shipperID]],Table6[shipperID],Table6[companyName])</f>
        <v>United Package</v>
      </c>
      <c r="Q526">
        <f>YEAR(Table1[[#This Row],[OrderDate]])</f>
        <v>2014</v>
      </c>
      <c r="R526">
        <f>MONTH(Table1[[#This Row],[OrderDate]])</f>
        <v>12</v>
      </c>
      <c r="S526" t="str">
        <f>"Q"&amp;ROUNDUP(Table1[[#This Row],[month]]/3,0)</f>
        <v>Q4</v>
      </c>
      <c r="T526" t="str">
        <f>CONCATENATE(Table1[[#This Row],[year]],"-",Table1[[#This Row],[Quarter]])</f>
        <v>2014-Q4</v>
      </c>
      <c r="U526" s="6" t="str">
        <f>IF(H525="","Pending",IF(Table1[[#This Row],[Days to ship]]&lt;Table1[[#This Row],[RequiredDate]],"On Time","Late"))</f>
        <v>On Time</v>
      </c>
      <c r="V526">
        <f>_xlfn.XLOOKUP(Table1[[#This Row],[orderID]],Table3[orderID],Table3[unitPrice])</f>
        <v>123.79</v>
      </c>
    </row>
    <row r="527" spans="1:22" x14ac:dyDescent="0.45">
      <c r="A527" s="3">
        <v>10773</v>
      </c>
      <c r="B527" s="6" t="s">
        <v>158</v>
      </c>
      <c r="C527" s="3">
        <v>1</v>
      </c>
      <c r="D527" s="6" t="str">
        <f>_xlfn.XLOOKUP(Table1[[#This Row],[EmployeeID]],Table4[employeeID],Table4[employeeName])</f>
        <v>Nancy Davolio</v>
      </c>
      <c r="E527" s="1">
        <v>41984</v>
      </c>
      <c r="F527" s="1">
        <v>42012</v>
      </c>
      <c r="G527" s="1">
        <v>41989</v>
      </c>
      <c r="H527" s="3">
        <f>IF(Table1[[#This Row],[ShippedDate]]="","",IF(Table1[[#This Row],[OrderDate]]="","",Table1[[#This Row],[ShippedDate]]-Table1[[#This Row],[OrderDate]]))</f>
        <v>5</v>
      </c>
      <c r="I527" s="3">
        <v>3</v>
      </c>
      <c r="J527" s="2">
        <v>96.43</v>
      </c>
      <c r="K527" s="2">
        <f>SUMIF(order_details!A:A,Table1[[#This Row],[orderID]],order_details!F:F)</f>
        <v>2030.4</v>
      </c>
      <c r="L527" s="9">
        <f>_xlfn.XLOOKUP(Table1[[#This Row],[orderID]],Table3[orderID],Table3[discount])</f>
        <v>0</v>
      </c>
      <c r="M527" s="2">
        <f>SUM(Table1[[#This Row],[Sales]],Table1[[#This Row],[freight]])</f>
        <v>2126.83</v>
      </c>
      <c r="N527" s="3">
        <f>_xlfn.XLOOKUP(Table1[[#This Row],[orderID]],Table3[orderID],Table3[quantity])</f>
        <v>33</v>
      </c>
      <c r="O527" s="6" t="str">
        <f>_xlfn.XLOOKUP(Table1[[#This Row],[CustomerID]],customers!A:A,customers!B:B)</f>
        <v>Ernst Handel</v>
      </c>
      <c r="P527" s="6" t="str">
        <f>_xlfn.XLOOKUP(Table1[[#This Row],[shipperID]],Table6[shipperID],Table6[companyName])</f>
        <v>Federal Shipping</v>
      </c>
      <c r="Q527">
        <f>YEAR(Table1[[#This Row],[OrderDate]])</f>
        <v>2014</v>
      </c>
      <c r="R527">
        <f>MONTH(Table1[[#This Row],[OrderDate]])</f>
        <v>12</v>
      </c>
      <c r="S527" t="str">
        <f>"Q"&amp;ROUNDUP(Table1[[#This Row],[month]]/3,0)</f>
        <v>Q4</v>
      </c>
      <c r="T527" t="str">
        <f>CONCATENATE(Table1[[#This Row],[year]],"-",Table1[[#This Row],[Quarter]])</f>
        <v>2014-Q4</v>
      </c>
      <c r="U527" s="6" t="str">
        <f>IF(H526="","Pending",IF(Table1[[#This Row],[Days to ship]]&lt;Table1[[#This Row],[RequiredDate]],"On Time","Late"))</f>
        <v>On Time</v>
      </c>
      <c r="V527">
        <f>_xlfn.XLOOKUP(Table1[[#This Row],[orderID]],Table3[orderID],Table3[unitPrice])</f>
        <v>39</v>
      </c>
    </row>
    <row r="528" spans="1:22" x14ac:dyDescent="0.45">
      <c r="A528" s="3">
        <v>10774</v>
      </c>
      <c r="B528" s="6" t="s">
        <v>179</v>
      </c>
      <c r="C528" s="3">
        <v>4</v>
      </c>
      <c r="D528" s="6" t="str">
        <f>_xlfn.XLOOKUP(Table1[[#This Row],[EmployeeID]],Table4[employeeID],Table4[employeeName])</f>
        <v>Margaret Peacock</v>
      </c>
      <c r="E528" s="1">
        <v>41984</v>
      </c>
      <c r="F528" s="1">
        <v>41998</v>
      </c>
      <c r="G528" s="1">
        <v>41985</v>
      </c>
      <c r="H528" s="3">
        <f>IF(Table1[[#This Row],[ShippedDate]]="","",IF(Table1[[#This Row],[OrderDate]]="","",Table1[[#This Row],[ShippedDate]]-Table1[[#This Row],[OrderDate]]))</f>
        <v>1</v>
      </c>
      <c r="I528" s="3">
        <v>1</v>
      </c>
      <c r="J528" s="2">
        <v>48.2</v>
      </c>
      <c r="K528" s="2">
        <f>SUMIF(order_details!A:A,Table1[[#This Row],[orderID]],order_details!F:F)</f>
        <v>868.75</v>
      </c>
      <c r="L528" s="9">
        <f>_xlfn.XLOOKUP(Table1[[#This Row],[orderID]],Table3[orderID],Table3[discount])</f>
        <v>0.25</v>
      </c>
      <c r="M528" s="2">
        <f>SUM(Table1[[#This Row],[Sales]],Table1[[#This Row],[freight]])</f>
        <v>916.95</v>
      </c>
      <c r="N528" s="3">
        <f>_xlfn.XLOOKUP(Table1[[#This Row],[orderID]],Table3[orderID],Table3[quantity])</f>
        <v>2</v>
      </c>
      <c r="O528" s="6" t="str">
        <f>_xlfn.XLOOKUP(Table1[[#This Row],[CustomerID]],customers!A:A,customers!B:B)</f>
        <v>Folk och fä HB</v>
      </c>
      <c r="P528" s="6" t="str">
        <f>_xlfn.XLOOKUP(Table1[[#This Row],[shipperID]],Table6[shipperID],Table6[companyName])</f>
        <v>Speedy Express</v>
      </c>
      <c r="Q528">
        <f>YEAR(Table1[[#This Row],[OrderDate]])</f>
        <v>2014</v>
      </c>
      <c r="R528">
        <f>MONTH(Table1[[#This Row],[OrderDate]])</f>
        <v>12</v>
      </c>
      <c r="S528" t="str">
        <f>"Q"&amp;ROUNDUP(Table1[[#This Row],[month]]/3,0)</f>
        <v>Q4</v>
      </c>
      <c r="T528" t="str">
        <f>CONCATENATE(Table1[[#This Row],[year]],"-",Table1[[#This Row],[Quarter]])</f>
        <v>2014-Q4</v>
      </c>
      <c r="U528" s="6" t="str">
        <f>IF(H527="","Pending",IF(Table1[[#This Row],[Days to ship]]&lt;Table1[[#This Row],[RequiredDate]],"On Time","Late"))</f>
        <v>On Time</v>
      </c>
      <c r="V528">
        <f>_xlfn.XLOOKUP(Table1[[#This Row],[orderID]],Table3[orderID],Table3[unitPrice])</f>
        <v>12.5</v>
      </c>
    </row>
    <row r="529" spans="1:22" x14ac:dyDescent="0.45">
      <c r="A529" s="3">
        <v>10775</v>
      </c>
      <c r="B529" s="6" t="s">
        <v>206</v>
      </c>
      <c r="C529" s="3">
        <v>7</v>
      </c>
      <c r="D529" s="6" t="str">
        <f>_xlfn.XLOOKUP(Table1[[#This Row],[EmployeeID]],Table4[employeeID],Table4[employeeName])</f>
        <v>Robert King</v>
      </c>
      <c r="E529" s="1">
        <v>41985</v>
      </c>
      <c r="F529" s="1">
        <v>42013</v>
      </c>
      <c r="G529" s="1">
        <v>41999</v>
      </c>
      <c r="H529" s="3">
        <f>IF(Table1[[#This Row],[ShippedDate]]="","",IF(Table1[[#This Row],[OrderDate]]="","",Table1[[#This Row],[ShippedDate]]-Table1[[#This Row],[OrderDate]]))</f>
        <v>14</v>
      </c>
      <c r="I529" s="3">
        <v>1</v>
      </c>
      <c r="J529" s="2">
        <v>20.25</v>
      </c>
      <c r="K529" s="2">
        <f>SUMIF(order_details!A:A,Table1[[#This Row],[orderID]],order_details!F:F)</f>
        <v>228</v>
      </c>
      <c r="L529" s="9">
        <f>_xlfn.XLOOKUP(Table1[[#This Row],[orderID]],Table3[orderID],Table3[discount])</f>
        <v>0</v>
      </c>
      <c r="M529" s="2">
        <f>SUM(Table1[[#This Row],[Sales]],Table1[[#This Row],[freight]])</f>
        <v>248.25</v>
      </c>
      <c r="N529" s="3">
        <f>_xlfn.XLOOKUP(Table1[[#This Row],[orderID]],Table3[orderID],Table3[quantity])</f>
        <v>6</v>
      </c>
      <c r="O529" s="6" t="str">
        <f>_xlfn.XLOOKUP(Table1[[#This Row],[CustomerID]],customers!A:A,customers!B:B)</f>
        <v>The Cracker Box</v>
      </c>
      <c r="P529" s="6" t="str">
        <f>_xlfn.XLOOKUP(Table1[[#This Row],[shipperID]],Table6[shipperID],Table6[companyName])</f>
        <v>Speedy Express</v>
      </c>
      <c r="Q529">
        <f>YEAR(Table1[[#This Row],[OrderDate]])</f>
        <v>2014</v>
      </c>
      <c r="R529">
        <f>MONTH(Table1[[#This Row],[OrderDate]])</f>
        <v>12</v>
      </c>
      <c r="S529" t="str">
        <f>"Q"&amp;ROUNDUP(Table1[[#This Row],[month]]/3,0)</f>
        <v>Q4</v>
      </c>
      <c r="T529" t="str">
        <f>CONCATENATE(Table1[[#This Row],[year]],"-",Table1[[#This Row],[Quarter]])</f>
        <v>2014-Q4</v>
      </c>
      <c r="U529" s="6" t="str">
        <f>IF(H528="","Pending",IF(Table1[[#This Row],[Days to ship]]&lt;Table1[[#This Row],[RequiredDate]],"On Time","Late"))</f>
        <v>On Time</v>
      </c>
      <c r="V529">
        <f>_xlfn.XLOOKUP(Table1[[#This Row],[orderID]],Table3[orderID],Table3[unitPrice])</f>
        <v>31</v>
      </c>
    </row>
    <row r="530" spans="1:22" x14ac:dyDescent="0.45">
      <c r="A530" s="3">
        <v>10776</v>
      </c>
      <c r="B530" s="6" t="s">
        <v>158</v>
      </c>
      <c r="C530" s="3">
        <v>1</v>
      </c>
      <c r="D530" s="6" t="str">
        <f>_xlfn.XLOOKUP(Table1[[#This Row],[EmployeeID]],Table4[employeeID],Table4[employeeName])</f>
        <v>Nancy Davolio</v>
      </c>
      <c r="E530" s="1">
        <v>41988</v>
      </c>
      <c r="F530" s="1">
        <v>42016</v>
      </c>
      <c r="G530" s="1">
        <v>41991</v>
      </c>
      <c r="H530" s="3">
        <f>IF(Table1[[#This Row],[ShippedDate]]="","",IF(Table1[[#This Row],[OrderDate]]="","",Table1[[#This Row],[ShippedDate]]-Table1[[#This Row],[OrderDate]]))</f>
        <v>3</v>
      </c>
      <c r="I530" s="3">
        <v>3</v>
      </c>
      <c r="J530" s="2">
        <v>351.53</v>
      </c>
      <c r="K530" s="2">
        <f>SUMIF(order_details!A:A,Table1[[#This Row],[orderID]],order_details!F:F)</f>
        <v>6635.2749999999996</v>
      </c>
      <c r="L530" s="9">
        <f>_xlfn.XLOOKUP(Table1[[#This Row],[orderID]],Table3[orderID],Table3[discount])</f>
        <v>0.05</v>
      </c>
      <c r="M530" s="2">
        <f>SUM(Table1[[#This Row],[Sales]],Table1[[#This Row],[freight]])</f>
        <v>6986.8049999999994</v>
      </c>
      <c r="N530" s="3">
        <f>_xlfn.XLOOKUP(Table1[[#This Row],[orderID]],Table3[orderID],Table3[quantity])</f>
        <v>16</v>
      </c>
      <c r="O530" s="6" t="str">
        <f>_xlfn.XLOOKUP(Table1[[#This Row],[CustomerID]],customers!A:A,customers!B:B)</f>
        <v>Ernst Handel</v>
      </c>
      <c r="P530" s="6" t="str">
        <f>_xlfn.XLOOKUP(Table1[[#This Row],[shipperID]],Table6[shipperID],Table6[companyName])</f>
        <v>Federal Shipping</v>
      </c>
      <c r="Q530">
        <f>YEAR(Table1[[#This Row],[OrderDate]])</f>
        <v>2014</v>
      </c>
      <c r="R530">
        <f>MONTH(Table1[[#This Row],[OrderDate]])</f>
        <v>12</v>
      </c>
      <c r="S530" t="str">
        <f>"Q"&amp;ROUNDUP(Table1[[#This Row],[month]]/3,0)</f>
        <v>Q4</v>
      </c>
      <c r="T530" t="str">
        <f>CONCATENATE(Table1[[#This Row],[year]],"-",Table1[[#This Row],[Quarter]])</f>
        <v>2014-Q4</v>
      </c>
      <c r="U530" s="6" t="str">
        <f>IF(H529="","Pending",IF(Table1[[#This Row],[Days to ship]]&lt;Table1[[#This Row],[RequiredDate]],"On Time","Late"))</f>
        <v>On Time</v>
      </c>
      <c r="V530">
        <f>_xlfn.XLOOKUP(Table1[[#This Row],[orderID]],Table3[orderID],Table3[unitPrice])</f>
        <v>12.5</v>
      </c>
    </row>
    <row r="531" spans="1:22" x14ac:dyDescent="0.45">
      <c r="A531" s="3">
        <v>10777</v>
      </c>
      <c r="B531" s="6" t="s">
        <v>180</v>
      </c>
      <c r="C531" s="3">
        <v>7</v>
      </c>
      <c r="D531" s="6" t="str">
        <f>_xlfn.XLOOKUP(Table1[[#This Row],[EmployeeID]],Table4[employeeID],Table4[employeeName])</f>
        <v>Robert King</v>
      </c>
      <c r="E531" s="1">
        <v>41988</v>
      </c>
      <c r="F531" s="1">
        <v>42002</v>
      </c>
      <c r="G531" s="1">
        <v>42025</v>
      </c>
      <c r="H531" s="3">
        <f>IF(Table1[[#This Row],[ShippedDate]]="","",IF(Table1[[#This Row],[OrderDate]]="","",Table1[[#This Row],[ShippedDate]]-Table1[[#This Row],[OrderDate]]))</f>
        <v>37</v>
      </c>
      <c r="I531" s="3">
        <v>2</v>
      </c>
      <c r="J531" s="2">
        <v>3.01</v>
      </c>
      <c r="K531" s="2">
        <f>SUMIF(order_details!A:A,Table1[[#This Row],[orderID]],order_details!F:F)</f>
        <v>224</v>
      </c>
      <c r="L531" s="9">
        <f>_xlfn.XLOOKUP(Table1[[#This Row],[orderID]],Table3[orderID],Table3[discount])</f>
        <v>0.2</v>
      </c>
      <c r="M531" s="2">
        <f>SUM(Table1[[#This Row],[Sales]],Table1[[#This Row],[freight]])</f>
        <v>227.01</v>
      </c>
      <c r="N531" s="3">
        <f>_xlfn.XLOOKUP(Table1[[#This Row],[orderID]],Table3[orderID],Table3[quantity])</f>
        <v>20</v>
      </c>
      <c r="O531" s="6" t="str">
        <f>_xlfn.XLOOKUP(Table1[[#This Row],[CustomerID]],customers!A:A,customers!B:B)</f>
        <v>Gourmet Lanchonetes</v>
      </c>
      <c r="P531" s="6" t="str">
        <f>_xlfn.XLOOKUP(Table1[[#This Row],[shipperID]],Table6[shipperID],Table6[companyName])</f>
        <v>United Package</v>
      </c>
      <c r="Q531">
        <f>YEAR(Table1[[#This Row],[OrderDate]])</f>
        <v>2014</v>
      </c>
      <c r="R531">
        <f>MONTH(Table1[[#This Row],[OrderDate]])</f>
        <v>12</v>
      </c>
      <c r="S531" t="str">
        <f>"Q"&amp;ROUNDUP(Table1[[#This Row],[month]]/3,0)</f>
        <v>Q4</v>
      </c>
      <c r="T531" t="str">
        <f>CONCATENATE(Table1[[#This Row],[year]],"-",Table1[[#This Row],[Quarter]])</f>
        <v>2014-Q4</v>
      </c>
      <c r="U531" s="6" t="str">
        <f>IF(H530="","Pending",IF(Table1[[#This Row],[Days to ship]]&lt;Table1[[#This Row],[RequiredDate]],"On Time","Late"))</f>
        <v>On Time</v>
      </c>
      <c r="V531">
        <f>_xlfn.XLOOKUP(Table1[[#This Row],[orderID]],Table3[orderID],Table3[unitPrice])</f>
        <v>14</v>
      </c>
    </row>
    <row r="532" spans="1:22" x14ac:dyDescent="0.45">
      <c r="A532" s="3">
        <v>10778</v>
      </c>
      <c r="B532" s="6" t="s">
        <v>223</v>
      </c>
      <c r="C532" s="3">
        <v>3</v>
      </c>
      <c r="D532" s="6" t="str">
        <f>_xlfn.XLOOKUP(Table1[[#This Row],[EmployeeID]],Table4[employeeID],Table4[employeeName])</f>
        <v>Janet Leverling</v>
      </c>
      <c r="E532" s="1">
        <v>41989</v>
      </c>
      <c r="F532" s="1">
        <v>42017</v>
      </c>
      <c r="G532" s="1">
        <v>41997</v>
      </c>
      <c r="H532" s="3">
        <f>IF(Table1[[#This Row],[ShippedDate]]="","",IF(Table1[[#This Row],[OrderDate]]="","",Table1[[#This Row],[ShippedDate]]-Table1[[#This Row],[OrderDate]]))</f>
        <v>8</v>
      </c>
      <c r="I532" s="3">
        <v>1</v>
      </c>
      <c r="J532" s="2">
        <v>6.79</v>
      </c>
      <c r="K532" s="2">
        <f>SUMIF(order_details!A:A,Table1[[#This Row],[orderID]],order_details!F:F)</f>
        <v>96.5</v>
      </c>
      <c r="L532" s="9">
        <f>_xlfn.XLOOKUP(Table1[[#This Row],[orderID]],Table3[orderID],Table3[discount])</f>
        <v>0</v>
      </c>
      <c r="M532" s="2">
        <f>SUM(Table1[[#This Row],[Sales]],Table1[[#This Row],[freight]])</f>
        <v>103.29</v>
      </c>
      <c r="N532" s="3">
        <f>_xlfn.XLOOKUP(Table1[[#This Row],[orderID]],Table3[orderID],Table3[quantity])</f>
        <v>10</v>
      </c>
      <c r="O532" s="6" t="str">
        <f>_xlfn.XLOOKUP(Table1[[#This Row],[CustomerID]],customers!A:A,customers!B:B)</f>
        <v>Berglunds snabbköp</v>
      </c>
      <c r="P532" s="6" t="str">
        <f>_xlfn.XLOOKUP(Table1[[#This Row],[shipperID]],Table6[shipperID],Table6[companyName])</f>
        <v>Speedy Express</v>
      </c>
      <c r="Q532">
        <f>YEAR(Table1[[#This Row],[OrderDate]])</f>
        <v>2014</v>
      </c>
      <c r="R532">
        <f>MONTH(Table1[[#This Row],[OrderDate]])</f>
        <v>12</v>
      </c>
      <c r="S532" t="str">
        <f>"Q"&amp;ROUNDUP(Table1[[#This Row],[month]]/3,0)</f>
        <v>Q4</v>
      </c>
      <c r="T532" t="str">
        <f>CONCATENATE(Table1[[#This Row],[year]],"-",Table1[[#This Row],[Quarter]])</f>
        <v>2014-Q4</v>
      </c>
      <c r="U532" s="6" t="str">
        <f>IF(H531="","Pending",IF(Table1[[#This Row],[Days to ship]]&lt;Table1[[#This Row],[RequiredDate]],"On Time","Late"))</f>
        <v>On Time</v>
      </c>
      <c r="V532">
        <f>_xlfn.XLOOKUP(Table1[[#This Row],[orderID]],Table3[orderID],Table3[unitPrice])</f>
        <v>9.65</v>
      </c>
    </row>
    <row r="533" spans="1:22" x14ac:dyDescent="0.45">
      <c r="A533" s="3">
        <v>10779</v>
      </c>
      <c r="B533" s="6" t="s">
        <v>218</v>
      </c>
      <c r="C533" s="3">
        <v>3</v>
      </c>
      <c r="D533" s="6" t="str">
        <f>_xlfn.XLOOKUP(Table1[[#This Row],[EmployeeID]],Table4[employeeID],Table4[employeeName])</f>
        <v>Janet Leverling</v>
      </c>
      <c r="E533" s="1">
        <v>41989</v>
      </c>
      <c r="F533" s="1">
        <v>42017</v>
      </c>
      <c r="G533" s="1">
        <v>42018</v>
      </c>
      <c r="H533" s="3">
        <f>IF(Table1[[#This Row],[ShippedDate]]="","",IF(Table1[[#This Row],[OrderDate]]="","",Table1[[#This Row],[ShippedDate]]-Table1[[#This Row],[OrderDate]]))</f>
        <v>29</v>
      </c>
      <c r="I533" s="3">
        <v>2</v>
      </c>
      <c r="J533" s="2">
        <v>58.13</v>
      </c>
      <c r="K533" s="2">
        <f>SUMIF(order_details!A:A,Table1[[#This Row],[orderID]],order_details!F:F)</f>
        <v>1335</v>
      </c>
      <c r="L533" s="9">
        <f>_xlfn.XLOOKUP(Table1[[#This Row],[orderID]],Table3[orderID],Table3[discount])</f>
        <v>0</v>
      </c>
      <c r="M533" s="2">
        <f>SUM(Table1[[#This Row],[Sales]],Table1[[#This Row],[freight]])</f>
        <v>1393.13</v>
      </c>
      <c r="N533" s="3">
        <f>_xlfn.XLOOKUP(Table1[[#This Row],[orderID]],Table3[orderID],Table3[quantity])</f>
        <v>20</v>
      </c>
      <c r="O533" s="6" t="str">
        <f>_xlfn.XLOOKUP(Table1[[#This Row],[CustomerID]],customers!A:A,customers!B:B)</f>
        <v>Morgenstern Gesundkost</v>
      </c>
      <c r="P533" s="6" t="str">
        <f>_xlfn.XLOOKUP(Table1[[#This Row],[shipperID]],Table6[shipperID],Table6[companyName])</f>
        <v>United Package</v>
      </c>
      <c r="Q533">
        <f>YEAR(Table1[[#This Row],[OrderDate]])</f>
        <v>2014</v>
      </c>
      <c r="R533">
        <f>MONTH(Table1[[#This Row],[OrderDate]])</f>
        <v>12</v>
      </c>
      <c r="S533" t="str">
        <f>"Q"&amp;ROUNDUP(Table1[[#This Row],[month]]/3,0)</f>
        <v>Q4</v>
      </c>
      <c r="T533" t="str">
        <f>CONCATENATE(Table1[[#This Row],[year]],"-",Table1[[#This Row],[Quarter]])</f>
        <v>2014-Q4</v>
      </c>
      <c r="U533" s="6" t="str">
        <f>IF(H532="","Pending",IF(Table1[[#This Row],[Days to ship]]&lt;Table1[[#This Row],[RequiredDate]],"On Time","Late"))</f>
        <v>On Time</v>
      </c>
      <c r="V533">
        <f>_xlfn.XLOOKUP(Table1[[#This Row],[orderID]],Table3[orderID],Table3[unitPrice])</f>
        <v>17.45</v>
      </c>
    </row>
    <row r="534" spans="1:22" x14ac:dyDescent="0.45">
      <c r="A534" s="3">
        <v>10780</v>
      </c>
      <c r="B534" s="6" t="s">
        <v>159</v>
      </c>
      <c r="C534" s="3">
        <v>2</v>
      </c>
      <c r="D534" s="6" t="str">
        <f>_xlfn.XLOOKUP(Table1[[#This Row],[EmployeeID]],Table4[employeeID],Table4[employeeName])</f>
        <v>Andrew Fuller</v>
      </c>
      <c r="E534" s="1">
        <v>41989</v>
      </c>
      <c r="F534" s="1">
        <v>42003</v>
      </c>
      <c r="G534" s="1">
        <v>41998</v>
      </c>
      <c r="H534" s="3">
        <f>IF(Table1[[#This Row],[ShippedDate]]="","",IF(Table1[[#This Row],[OrderDate]]="","",Table1[[#This Row],[ShippedDate]]-Table1[[#This Row],[OrderDate]]))</f>
        <v>9</v>
      </c>
      <c r="I534" s="3">
        <v>1</v>
      </c>
      <c r="J534" s="2">
        <v>42.13</v>
      </c>
      <c r="K534" s="2">
        <f>SUMIF(order_details!A:A,Table1[[#This Row],[orderID]],order_details!F:F)</f>
        <v>720</v>
      </c>
      <c r="L534" s="9">
        <f>_xlfn.XLOOKUP(Table1[[#This Row],[orderID]],Table3[orderID],Table3[discount])</f>
        <v>0</v>
      </c>
      <c r="M534" s="2">
        <f>SUM(Table1[[#This Row],[Sales]],Table1[[#This Row],[freight]])</f>
        <v>762.13</v>
      </c>
      <c r="N534" s="3">
        <f>_xlfn.XLOOKUP(Table1[[#This Row],[orderID]],Table3[orderID],Table3[quantity])</f>
        <v>35</v>
      </c>
      <c r="O534" s="6" t="str">
        <f>_xlfn.XLOOKUP(Table1[[#This Row],[CustomerID]],customers!A:A,customers!B:B)</f>
        <v>LILA-Supermercado</v>
      </c>
      <c r="P534" s="6" t="str">
        <f>_xlfn.XLOOKUP(Table1[[#This Row],[shipperID]],Table6[shipperID],Table6[companyName])</f>
        <v>Speedy Express</v>
      </c>
      <c r="Q534">
        <f>YEAR(Table1[[#This Row],[OrderDate]])</f>
        <v>2014</v>
      </c>
      <c r="R534">
        <f>MONTH(Table1[[#This Row],[OrderDate]])</f>
        <v>12</v>
      </c>
      <c r="S534" t="str">
        <f>"Q"&amp;ROUNDUP(Table1[[#This Row],[month]]/3,0)</f>
        <v>Q4</v>
      </c>
      <c r="T534" t="str">
        <f>CONCATENATE(Table1[[#This Row],[year]],"-",Table1[[#This Row],[Quarter]])</f>
        <v>2014-Q4</v>
      </c>
      <c r="U534" s="6" t="str">
        <f>IF(H533="","Pending",IF(Table1[[#This Row],[Days to ship]]&lt;Table1[[#This Row],[RequiredDate]],"On Time","Late"))</f>
        <v>On Time</v>
      </c>
      <c r="V534">
        <f>_xlfn.XLOOKUP(Table1[[#This Row],[orderID]],Table3[orderID],Table3[unitPrice])</f>
        <v>15</v>
      </c>
    </row>
    <row r="535" spans="1:22" x14ac:dyDescent="0.45">
      <c r="A535" s="3">
        <v>10781</v>
      </c>
      <c r="B535" s="6" t="s">
        <v>192</v>
      </c>
      <c r="C535" s="3">
        <v>2</v>
      </c>
      <c r="D535" s="6" t="str">
        <f>_xlfn.XLOOKUP(Table1[[#This Row],[EmployeeID]],Table4[employeeID],Table4[employeeName])</f>
        <v>Andrew Fuller</v>
      </c>
      <c r="E535" s="1">
        <v>41990</v>
      </c>
      <c r="F535" s="1">
        <v>42018</v>
      </c>
      <c r="G535" s="1">
        <v>41992</v>
      </c>
      <c r="H535" s="3">
        <f>IF(Table1[[#This Row],[ShippedDate]]="","",IF(Table1[[#This Row],[OrderDate]]="","",Table1[[#This Row],[ShippedDate]]-Table1[[#This Row],[OrderDate]]))</f>
        <v>2</v>
      </c>
      <c r="I535" s="3">
        <v>3</v>
      </c>
      <c r="J535" s="2">
        <v>73.16</v>
      </c>
      <c r="K535" s="2">
        <f>SUMIF(order_details!A:A,Table1[[#This Row],[orderID]],order_details!F:F)</f>
        <v>975.88</v>
      </c>
      <c r="L535" s="9">
        <f>_xlfn.XLOOKUP(Table1[[#This Row],[orderID]],Table3[orderID],Table3[discount])</f>
        <v>0.2</v>
      </c>
      <c r="M535" s="2">
        <f>SUM(Table1[[#This Row],[Sales]],Table1[[#This Row],[freight]])</f>
        <v>1049.04</v>
      </c>
      <c r="N535" s="3">
        <f>_xlfn.XLOOKUP(Table1[[#This Row],[orderID]],Table3[orderID],Table3[quantity])</f>
        <v>3</v>
      </c>
      <c r="O535" s="6" t="str">
        <f>_xlfn.XLOOKUP(Table1[[#This Row],[CustomerID]],customers!A:A,customers!B:B)</f>
        <v>Wartian Herkku</v>
      </c>
      <c r="P535" s="6" t="str">
        <f>_xlfn.XLOOKUP(Table1[[#This Row],[shipperID]],Table6[shipperID],Table6[companyName])</f>
        <v>Federal Shipping</v>
      </c>
      <c r="Q535">
        <f>YEAR(Table1[[#This Row],[OrderDate]])</f>
        <v>2014</v>
      </c>
      <c r="R535">
        <f>MONTH(Table1[[#This Row],[OrderDate]])</f>
        <v>12</v>
      </c>
      <c r="S535" t="str">
        <f>"Q"&amp;ROUNDUP(Table1[[#This Row],[month]]/3,0)</f>
        <v>Q4</v>
      </c>
      <c r="T535" t="str">
        <f>CONCATENATE(Table1[[#This Row],[year]],"-",Table1[[#This Row],[Quarter]])</f>
        <v>2014-Q4</v>
      </c>
      <c r="U535" s="6" t="str">
        <f>IF(H534="","Pending",IF(Table1[[#This Row],[Days to ship]]&lt;Table1[[#This Row],[RequiredDate]],"On Time","Late"))</f>
        <v>On Time</v>
      </c>
      <c r="V535">
        <f>_xlfn.XLOOKUP(Table1[[#This Row],[orderID]],Table3[orderID],Table3[unitPrice])</f>
        <v>7.45</v>
      </c>
    </row>
    <row r="536" spans="1:22" x14ac:dyDescent="0.45">
      <c r="A536" s="3">
        <v>10782</v>
      </c>
      <c r="B536" s="6" t="s">
        <v>175</v>
      </c>
      <c r="C536" s="3">
        <v>9</v>
      </c>
      <c r="D536" s="6" t="str">
        <f>_xlfn.XLOOKUP(Table1[[#This Row],[EmployeeID]],Table4[employeeID],Table4[employeeName])</f>
        <v>Anne Dodsworth</v>
      </c>
      <c r="E536" s="1">
        <v>41990</v>
      </c>
      <c r="F536" s="1">
        <v>42018</v>
      </c>
      <c r="G536" s="1">
        <v>41995</v>
      </c>
      <c r="H536" s="3">
        <f>IF(Table1[[#This Row],[ShippedDate]]="","",IF(Table1[[#This Row],[OrderDate]]="","",Table1[[#This Row],[ShippedDate]]-Table1[[#This Row],[OrderDate]]))</f>
        <v>5</v>
      </c>
      <c r="I536" s="3">
        <v>3</v>
      </c>
      <c r="J536" s="2">
        <v>1.1000000000000001</v>
      </c>
      <c r="K536" s="2">
        <f>SUMIF(order_details!A:A,Table1[[#This Row],[orderID]],order_details!F:F)</f>
        <v>12.5</v>
      </c>
      <c r="L536" s="9">
        <f>_xlfn.XLOOKUP(Table1[[#This Row],[orderID]],Table3[orderID],Table3[discount])</f>
        <v>0</v>
      </c>
      <c r="M536" s="2">
        <f>SUM(Table1[[#This Row],[Sales]],Table1[[#This Row],[freight]])</f>
        <v>13.6</v>
      </c>
      <c r="N536" s="3">
        <f>_xlfn.XLOOKUP(Table1[[#This Row],[orderID]],Table3[orderID],Table3[quantity])</f>
        <v>1</v>
      </c>
      <c r="O536" s="6" t="str">
        <f>_xlfn.XLOOKUP(Table1[[#This Row],[CustomerID]],customers!A:A,customers!B:B)</f>
        <v>Cactus Comidas para llevar</v>
      </c>
      <c r="P536" s="6" t="str">
        <f>_xlfn.XLOOKUP(Table1[[#This Row],[shipperID]],Table6[shipperID],Table6[companyName])</f>
        <v>Federal Shipping</v>
      </c>
      <c r="Q536">
        <f>YEAR(Table1[[#This Row],[OrderDate]])</f>
        <v>2014</v>
      </c>
      <c r="R536">
        <f>MONTH(Table1[[#This Row],[OrderDate]])</f>
        <v>12</v>
      </c>
      <c r="S536" t="str">
        <f>"Q"&amp;ROUNDUP(Table1[[#This Row],[month]]/3,0)</f>
        <v>Q4</v>
      </c>
      <c r="T536" t="str">
        <f>CONCATENATE(Table1[[#This Row],[year]],"-",Table1[[#This Row],[Quarter]])</f>
        <v>2014-Q4</v>
      </c>
      <c r="U536" s="6" t="str">
        <f>IF(H535="","Pending",IF(Table1[[#This Row],[Days to ship]]&lt;Table1[[#This Row],[RequiredDate]],"On Time","Late"))</f>
        <v>On Time</v>
      </c>
      <c r="V536">
        <f>_xlfn.XLOOKUP(Table1[[#This Row],[orderID]],Table3[orderID],Table3[unitPrice])</f>
        <v>12.5</v>
      </c>
    </row>
    <row r="537" spans="1:22" x14ac:dyDescent="0.45">
      <c r="A537" s="3">
        <v>10783</v>
      </c>
      <c r="B537" s="6" t="s">
        <v>177</v>
      </c>
      <c r="C537" s="3">
        <v>4</v>
      </c>
      <c r="D537" s="6" t="str">
        <f>_xlfn.XLOOKUP(Table1[[#This Row],[EmployeeID]],Table4[employeeID],Table4[employeeName])</f>
        <v>Margaret Peacock</v>
      </c>
      <c r="E537" s="1">
        <v>41991</v>
      </c>
      <c r="F537" s="1">
        <v>42019</v>
      </c>
      <c r="G537" s="1">
        <v>41992</v>
      </c>
      <c r="H537" s="3">
        <f>IF(Table1[[#This Row],[ShippedDate]]="","",IF(Table1[[#This Row],[OrderDate]]="","",Table1[[#This Row],[ShippedDate]]-Table1[[#This Row],[OrderDate]]))</f>
        <v>1</v>
      </c>
      <c r="I537" s="3">
        <v>2</v>
      </c>
      <c r="J537" s="2">
        <v>124.98</v>
      </c>
      <c r="K537" s="2">
        <f>SUMIF(order_details!A:A,Table1[[#This Row],[orderID]],order_details!F:F)</f>
        <v>1442.5</v>
      </c>
      <c r="L537" s="9">
        <f>_xlfn.XLOOKUP(Table1[[#This Row],[orderID]],Table3[orderID],Table3[discount])</f>
        <v>0</v>
      </c>
      <c r="M537" s="2">
        <f>SUM(Table1[[#This Row],[Sales]],Table1[[#This Row],[freight]])</f>
        <v>1567.48</v>
      </c>
      <c r="N537" s="3">
        <f>_xlfn.XLOOKUP(Table1[[#This Row],[orderID]],Table3[orderID],Table3[quantity])</f>
        <v>10</v>
      </c>
      <c r="O537" s="6" t="str">
        <f>_xlfn.XLOOKUP(Table1[[#This Row],[CustomerID]],customers!A:A,customers!B:B)</f>
        <v>Hanari Carnes</v>
      </c>
      <c r="P537" s="6" t="str">
        <f>_xlfn.XLOOKUP(Table1[[#This Row],[shipperID]],Table6[shipperID],Table6[companyName])</f>
        <v>United Package</v>
      </c>
      <c r="Q537">
        <f>YEAR(Table1[[#This Row],[OrderDate]])</f>
        <v>2014</v>
      </c>
      <c r="R537">
        <f>MONTH(Table1[[#This Row],[OrderDate]])</f>
        <v>12</v>
      </c>
      <c r="S537" t="str">
        <f>"Q"&amp;ROUNDUP(Table1[[#This Row],[month]]/3,0)</f>
        <v>Q4</v>
      </c>
      <c r="T537" t="str">
        <f>CONCATENATE(Table1[[#This Row],[year]],"-",Table1[[#This Row],[Quarter]])</f>
        <v>2014-Q4</v>
      </c>
      <c r="U537" s="6" t="str">
        <f>IF(H536="","Pending",IF(Table1[[#This Row],[Days to ship]]&lt;Table1[[#This Row],[RequiredDate]],"On Time","Late"))</f>
        <v>On Time</v>
      </c>
      <c r="V537">
        <f>_xlfn.XLOOKUP(Table1[[#This Row],[orderID]],Table3[orderID],Table3[unitPrice])</f>
        <v>12.5</v>
      </c>
    </row>
    <row r="538" spans="1:22" x14ac:dyDescent="0.45">
      <c r="A538" s="3">
        <v>10784</v>
      </c>
      <c r="B538" s="6" t="s">
        <v>217</v>
      </c>
      <c r="C538" s="3">
        <v>4</v>
      </c>
      <c r="D538" s="6" t="str">
        <f>_xlfn.XLOOKUP(Table1[[#This Row],[EmployeeID]],Table4[employeeID],Table4[employeeName])</f>
        <v>Margaret Peacock</v>
      </c>
      <c r="E538" s="1">
        <v>41991</v>
      </c>
      <c r="F538" s="1">
        <v>42019</v>
      </c>
      <c r="G538" s="1">
        <v>41995</v>
      </c>
      <c r="H538" s="3">
        <f>IF(Table1[[#This Row],[ShippedDate]]="","",IF(Table1[[#This Row],[OrderDate]]="","",Table1[[#This Row],[ShippedDate]]-Table1[[#This Row],[OrderDate]]))</f>
        <v>4</v>
      </c>
      <c r="I538" s="3">
        <v>3</v>
      </c>
      <c r="J538" s="2">
        <v>70.09</v>
      </c>
      <c r="K538" s="2">
        <f>SUMIF(order_details!A:A,Table1[[#This Row],[orderID]],order_details!F:F)</f>
        <v>1488</v>
      </c>
      <c r="L538" s="9">
        <f>_xlfn.XLOOKUP(Table1[[#This Row],[orderID]],Table3[orderID],Table3[discount])</f>
        <v>0</v>
      </c>
      <c r="M538" s="2">
        <f>SUM(Table1[[#This Row],[Sales]],Table1[[#This Row],[freight]])</f>
        <v>1558.09</v>
      </c>
      <c r="N538" s="3">
        <f>_xlfn.XLOOKUP(Table1[[#This Row],[orderID]],Table3[orderID],Table3[quantity])</f>
        <v>30</v>
      </c>
      <c r="O538" s="6" t="str">
        <f>_xlfn.XLOOKUP(Table1[[#This Row],[CustomerID]],customers!A:A,customers!B:B)</f>
        <v>Magazzini Alimentari Riuniti</v>
      </c>
      <c r="P538" s="6" t="str">
        <f>_xlfn.XLOOKUP(Table1[[#This Row],[shipperID]],Table6[shipperID],Table6[companyName])</f>
        <v>Federal Shipping</v>
      </c>
      <c r="Q538">
        <f>YEAR(Table1[[#This Row],[OrderDate]])</f>
        <v>2014</v>
      </c>
      <c r="R538">
        <f>MONTH(Table1[[#This Row],[OrderDate]])</f>
        <v>12</v>
      </c>
      <c r="S538" t="str">
        <f>"Q"&amp;ROUNDUP(Table1[[#This Row],[month]]/3,0)</f>
        <v>Q4</v>
      </c>
      <c r="T538" t="str">
        <f>CONCATENATE(Table1[[#This Row],[year]],"-",Table1[[#This Row],[Quarter]])</f>
        <v>2014-Q4</v>
      </c>
      <c r="U538" s="6" t="str">
        <f>IF(H537="","Pending",IF(Table1[[#This Row],[Days to ship]]&lt;Table1[[#This Row],[RequiredDate]],"On Time","Late"))</f>
        <v>On Time</v>
      </c>
      <c r="V538">
        <f>_xlfn.XLOOKUP(Table1[[#This Row],[orderID]],Table3[orderID],Table3[unitPrice])</f>
        <v>19</v>
      </c>
    </row>
    <row r="539" spans="1:22" x14ac:dyDescent="0.45">
      <c r="A539" s="3">
        <v>10785</v>
      </c>
      <c r="B539" s="6" t="s">
        <v>235</v>
      </c>
      <c r="C539" s="3">
        <v>1</v>
      </c>
      <c r="D539" s="6" t="str">
        <f>_xlfn.XLOOKUP(Table1[[#This Row],[EmployeeID]],Table4[employeeID],Table4[employeeName])</f>
        <v>Nancy Davolio</v>
      </c>
      <c r="E539" s="1">
        <v>41991</v>
      </c>
      <c r="F539" s="1">
        <v>42019</v>
      </c>
      <c r="G539" s="1">
        <v>41997</v>
      </c>
      <c r="H539" s="3">
        <f>IF(Table1[[#This Row],[ShippedDate]]="","",IF(Table1[[#This Row],[OrderDate]]="","",Table1[[#This Row],[ShippedDate]]-Table1[[#This Row],[OrderDate]]))</f>
        <v>6</v>
      </c>
      <c r="I539" s="3">
        <v>3</v>
      </c>
      <c r="J539" s="2">
        <v>1.51</v>
      </c>
      <c r="K539" s="2">
        <f>SUMIF(order_details!A:A,Table1[[#This Row],[orderID]],order_details!F:F)</f>
        <v>387.5</v>
      </c>
      <c r="L539" s="9">
        <f>_xlfn.XLOOKUP(Table1[[#This Row],[orderID]],Table3[orderID],Table3[discount])</f>
        <v>0</v>
      </c>
      <c r="M539" s="2">
        <f>SUM(Table1[[#This Row],[Sales]],Table1[[#This Row],[freight]])</f>
        <v>389.01</v>
      </c>
      <c r="N539" s="3">
        <f>_xlfn.XLOOKUP(Table1[[#This Row],[orderID]],Table3[orderID],Table3[quantity])</f>
        <v>10</v>
      </c>
      <c r="O539" s="6" t="str">
        <f>_xlfn.XLOOKUP(Table1[[#This Row],[CustomerID]],customers!A:A,customers!B:B)</f>
        <v>GROSELLA-Restaurante</v>
      </c>
      <c r="P539" s="6" t="str">
        <f>_xlfn.XLOOKUP(Table1[[#This Row],[shipperID]],Table6[shipperID],Table6[companyName])</f>
        <v>Federal Shipping</v>
      </c>
      <c r="Q539">
        <f>YEAR(Table1[[#This Row],[OrderDate]])</f>
        <v>2014</v>
      </c>
      <c r="R539">
        <f>MONTH(Table1[[#This Row],[OrderDate]])</f>
        <v>12</v>
      </c>
      <c r="S539" t="str">
        <f>"Q"&amp;ROUNDUP(Table1[[#This Row],[month]]/3,0)</f>
        <v>Q4</v>
      </c>
      <c r="T539" t="str">
        <f>CONCATENATE(Table1[[#This Row],[year]],"-",Table1[[#This Row],[Quarter]])</f>
        <v>2014-Q4</v>
      </c>
      <c r="U539" s="6" t="str">
        <f>IF(H538="","Pending",IF(Table1[[#This Row],[Days to ship]]&lt;Table1[[#This Row],[RequiredDate]],"On Time","Late"))</f>
        <v>On Time</v>
      </c>
      <c r="V539">
        <f>_xlfn.XLOOKUP(Table1[[#This Row],[orderID]],Table3[orderID],Table3[unitPrice])</f>
        <v>31</v>
      </c>
    </row>
    <row r="540" spans="1:22" x14ac:dyDescent="0.45">
      <c r="A540" s="3">
        <v>10786</v>
      </c>
      <c r="B540" s="6" t="s">
        <v>162</v>
      </c>
      <c r="C540" s="3">
        <v>8</v>
      </c>
      <c r="D540" s="6" t="str">
        <f>_xlfn.XLOOKUP(Table1[[#This Row],[EmployeeID]],Table4[employeeID],Table4[employeeName])</f>
        <v>Laura Callahan</v>
      </c>
      <c r="E540" s="1">
        <v>41992</v>
      </c>
      <c r="F540" s="1">
        <v>42020</v>
      </c>
      <c r="G540" s="1">
        <v>41996</v>
      </c>
      <c r="H540" s="3">
        <f>IF(Table1[[#This Row],[ShippedDate]]="","",IF(Table1[[#This Row],[OrderDate]]="","",Table1[[#This Row],[ShippedDate]]-Table1[[#This Row],[OrderDate]]))</f>
        <v>4</v>
      </c>
      <c r="I540" s="3">
        <v>1</v>
      </c>
      <c r="J540" s="2">
        <v>110.87</v>
      </c>
      <c r="K540" s="2">
        <f>SUMIF(order_details!A:A,Table1[[#This Row],[orderID]],order_details!F:F)</f>
        <v>1531.0800000000002</v>
      </c>
      <c r="L540" s="9">
        <f>_xlfn.XLOOKUP(Table1[[#This Row],[orderID]],Table3[orderID],Table3[discount])</f>
        <v>0.2</v>
      </c>
      <c r="M540" s="2">
        <f>SUM(Table1[[#This Row],[Sales]],Table1[[#This Row],[freight]])</f>
        <v>1641.9500000000003</v>
      </c>
      <c r="N540" s="3">
        <f>_xlfn.XLOOKUP(Table1[[#This Row],[orderID]],Table3[orderID],Table3[quantity])</f>
        <v>30</v>
      </c>
      <c r="O540" s="6" t="str">
        <f>_xlfn.XLOOKUP(Table1[[#This Row],[CustomerID]],customers!A:A,customers!B:B)</f>
        <v>Queen Cozinha</v>
      </c>
      <c r="P540" s="6" t="str">
        <f>_xlfn.XLOOKUP(Table1[[#This Row],[shipperID]],Table6[shipperID],Table6[companyName])</f>
        <v>Speedy Express</v>
      </c>
      <c r="Q540">
        <f>YEAR(Table1[[#This Row],[OrderDate]])</f>
        <v>2014</v>
      </c>
      <c r="R540">
        <f>MONTH(Table1[[#This Row],[OrderDate]])</f>
        <v>12</v>
      </c>
      <c r="S540" t="str">
        <f>"Q"&amp;ROUNDUP(Table1[[#This Row],[month]]/3,0)</f>
        <v>Q4</v>
      </c>
      <c r="T540" t="str">
        <f>CONCATENATE(Table1[[#This Row],[year]],"-",Table1[[#This Row],[Quarter]])</f>
        <v>2014-Q4</v>
      </c>
      <c r="U540" s="6" t="str">
        <f>IF(H539="","Pending",IF(Table1[[#This Row],[Days to ship]]&lt;Table1[[#This Row],[RequiredDate]],"On Time","Late"))</f>
        <v>On Time</v>
      </c>
      <c r="V540">
        <f>_xlfn.XLOOKUP(Table1[[#This Row],[orderID]],Table3[orderID],Table3[unitPrice])</f>
        <v>40</v>
      </c>
    </row>
    <row r="541" spans="1:22" x14ac:dyDescent="0.45">
      <c r="A541" s="3">
        <v>10787</v>
      </c>
      <c r="B541" s="6" t="s">
        <v>178</v>
      </c>
      <c r="C541" s="3">
        <v>2</v>
      </c>
      <c r="D541" s="6" t="str">
        <f>_xlfn.XLOOKUP(Table1[[#This Row],[EmployeeID]],Table4[employeeID],Table4[employeeName])</f>
        <v>Andrew Fuller</v>
      </c>
      <c r="E541" s="1">
        <v>41992</v>
      </c>
      <c r="F541" s="1">
        <v>42006</v>
      </c>
      <c r="G541" s="1">
        <v>41999</v>
      </c>
      <c r="H541" s="3">
        <f>IF(Table1[[#This Row],[ShippedDate]]="","",IF(Table1[[#This Row],[OrderDate]]="","",Table1[[#This Row],[ShippedDate]]-Table1[[#This Row],[OrderDate]]))</f>
        <v>7</v>
      </c>
      <c r="I541" s="3">
        <v>1</v>
      </c>
      <c r="J541" s="2">
        <v>249.93</v>
      </c>
      <c r="K541" s="2">
        <f>SUMIF(order_details!A:A,Table1[[#This Row],[orderID]],order_details!F:F)</f>
        <v>2622.76</v>
      </c>
      <c r="L541" s="9">
        <f>_xlfn.XLOOKUP(Table1[[#This Row],[orderID]],Table3[orderID],Table3[discount])</f>
        <v>0.05</v>
      </c>
      <c r="M541" s="2">
        <f>SUM(Table1[[#This Row],[Sales]],Table1[[#This Row],[freight]])</f>
        <v>2872.69</v>
      </c>
      <c r="N541" s="3">
        <f>_xlfn.XLOOKUP(Table1[[#This Row],[orderID]],Table3[orderID],Table3[quantity])</f>
        <v>15</v>
      </c>
      <c r="O541" s="6" t="str">
        <f>_xlfn.XLOOKUP(Table1[[#This Row],[CustomerID]],customers!A:A,customers!B:B)</f>
        <v>La maison d'Asie</v>
      </c>
      <c r="P541" s="6" t="str">
        <f>_xlfn.XLOOKUP(Table1[[#This Row],[shipperID]],Table6[shipperID],Table6[companyName])</f>
        <v>Speedy Express</v>
      </c>
      <c r="Q541">
        <f>YEAR(Table1[[#This Row],[OrderDate]])</f>
        <v>2014</v>
      </c>
      <c r="R541">
        <f>MONTH(Table1[[#This Row],[OrderDate]])</f>
        <v>12</v>
      </c>
      <c r="S541" t="str">
        <f>"Q"&amp;ROUNDUP(Table1[[#This Row],[month]]/3,0)</f>
        <v>Q4</v>
      </c>
      <c r="T541" t="str">
        <f>CONCATENATE(Table1[[#This Row],[year]],"-",Table1[[#This Row],[Quarter]])</f>
        <v>2014-Q4</v>
      </c>
      <c r="U541" s="6" t="str">
        <f>IF(H540="","Pending",IF(Table1[[#This Row],[Days to ship]]&lt;Table1[[#This Row],[RequiredDate]],"On Time","Late"))</f>
        <v>On Time</v>
      </c>
      <c r="V541">
        <f>_xlfn.XLOOKUP(Table1[[#This Row],[orderID]],Table3[orderID],Table3[unitPrice])</f>
        <v>19</v>
      </c>
    </row>
    <row r="542" spans="1:22" x14ac:dyDescent="0.45">
      <c r="A542" s="3">
        <v>10788</v>
      </c>
      <c r="B542" s="6" t="s">
        <v>194</v>
      </c>
      <c r="C542" s="3">
        <v>1</v>
      </c>
      <c r="D542" s="6" t="str">
        <f>_xlfn.XLOOKUP(Table1[[#This Row],[EmployeeID]],Table4[employeeID],Table4[employeeName])</f>
        <v>Nancy Davolio</v>
      </c>
      <c r="E542" s="1">
        <v>41995</v>
      </c>
      <c r="F542" s="1">
        <v>42023</v>
      </c>
      <c r="G542" s="1">
        <v>42023</v>
      </c>
      <c r="H542" s="3">
        <f>IF(Table1[[#This Row],[ShippedDate]]="","",IF(Table1[[#This Row],[OrderDate]]="","",Table1[[#This Row],[ShippedDate]]-Table1[[#This Row],[OrderDate]]))</f>
        <v>28</v>
      </c>
      <c r="I542" s="3">
        <v>2</v>
      </c>
      <c r="J542" s="2">
        <v>42.7</v>
      </c>
      <c r="K542" s="2">
        <f>SUMIF(order_details!A:A,Table1[[#This Row],[orderID]],order_details!F:F)</f>
        <v>731.5</v>
      </c>
      <c r="L542" s="9">
        <f>_xlfn.XLOOKUP(Table1[[#This Row],[orderID]],Table3[orderID],Table3[discount])</f>
        <v>0.05</v>
      </c>
      <c r="M542" s="2">
        <f>SUM(Table1[[#This Row],[Sales]],Table1[[#This Row],[freight]])</f>
        <v>774.2</v>
      </c>
      <c r="N542" s="3">
        <f>_xlfn.XLOOKUP(Table1[[#This Row],[orderID]],Table3[orderID],Table3[quantity])</f>
        <v>50</v>
      </c>
      <c r="O542" s="6" t="str">
        <f>_xlfn.XLOOKUP(Table1[[#This Row],[CustomerID]],customers!A:A,customers!B:B)</f>
        <v>QUICK-Stop</v>
      </c>
      <c r="P542" s="6" t="str">
        <f>_xlfn.XLOOKUP(Table1[[#This Row],[shipperID]],Table6[shipperID],Table6[companyName])</f>
        <v>United Package</v>
      </c>
      <c r="Q542">
        <f>YEAR(Table1[[#This Row],[OrderDate]])</f>
        <v>2014</v>
      </c>
      <c r="R542">
        <f>MONTH(Table1[[#This Row],[OrderDate]])</f>
        <v>12</v>
      </c>
      <c r="S542" t="str">
        <f>"Q"&amp;ROUNDUP(Table1[[#This Row],[month]]/3,0)</f>
        <v>Q4</v>
      </c>
      <c r="T542" t="str">
        <f>CONCATENATE(Table1[[#This Row],[year]],"-",Table1[[#This Row],[Quarter]])</f>
        <v>2014-Q4</v>
      </c>
      <c r="U542" s="6" t="str">
        <f>IF(H541="","Pending",IF(Table1[[#This Row],[Days to ship]]&lt;Table1[[#This Row],[RequiredDate]],"On Time","Late"))</f>
        <v>On Time</v>
      </c>
      <c r="V542">
        <f>_xlfn.XLOOKUP(Table1[[#This Row],[orderID]],Table3[orderID],Table3[unitPrice])</f>
        <v>9.1999999999999993</v>
      </c>
    </row>
    <row r="543" spans="1:22" x14ac:dyDescent="0.45">
      <c r="A543" s="3">
        <v>10789</v>
      </c>
      <c r="B543" s="6" t="s">
        <v>234</v>
      </c>
      <c r="C543" s="3">
        <v>1</v>
      </c>
      <c r="D543" s="6" t="str">
        <f>_xlfn.XLOOKUP(Table1[[#This Row],[EmployeeID]],Table4[employeeID],Table4[employeeName])</f>
        <v>Nancy Davolio</v>
      </c>
      <c r="E543" s="1">
        <v>41995</v>
      </c>
      <c r="F543" s="1">
        <v>42023</v>
      </c>
      <c r="G543" s="1">
        <v>42004</v>
      </c>
      <c r="H543" s="3">
        <f>IF(Table1[[#This Row],[ShippedDate]]="","",IF(Table1[[#This Row],[OrderDate]]="","",Table1[[#This Row],[ShippedDate]]-Table1[[#This Row],[OrderDate]]))</f>
        <v>9</v>
      </c>
      <c r="I543" s="3">
        <v>2</v>
      </c>
      <c r="J543" s="2">
        <v>100.6</v>
      </c>
      <c r="K543" s="2">
        <f>SUMIF(order_details!A:A,Table1[[#This Row],[orderID]],order_details!F:F)</f>
        <v>3687</v>
      </c>
      <c r="L543" s="9">
        <f>_xlfn.XLOOKUP(Table1[[#This Row],[orderID]],Table3[orderID],Table3[discount])</f>
        <v>0</v>
      </c>
      <c r="M543" s="2">
        <f>SUM(Table1[[#This Row],[Sales]],Table1[[#This Row],[freight]])</f>
        <v>3787.6</v>
      </c>
      <c r="N543" s="3">
        <f>_xlfn.XLOOKUP(Table1[[#This Row],[orderID]],Table3[orderID],Table3[quantity])</f>
        <v>30</v>
      </c>
      <c r="O543" s="6" t="str">
        <f>_xlfn.XLOOKUP(Table1[[#This Row],[CustomerID]],customers!A:A,customers!B:B)</f>
        <v>Folies gourmandes</v>
      </c>
      <c r="P543" s="6" t="str">
        <f>_xlfn.XLOOKUP(Table1[[#This Row],[shipperID]],Table6[shipperID],Table6[companyName])</f>
        <v>United Package</v>
      </c>
      <c r="Q543">
        <f>YEAR(Table1[[#This Row],[OrderDate]])</f>
        <v>2014</v>
      </c>
      <c r="R543">
        <f>MONTH(Table1[[#This Row],[OrderDate]])</f>
        <v>12</v>
      </c>
      <c r="S543" t="str">
        <f>"Q"&amp;ROUNDUP(Table1[[#This Row],[month]]/3,0)</f>
        <v>Q4</v>
      </c>
      <c r="T543" t="str">
        <f>CONCATENATE(Table1[[#This Row],[year]],"-",Table1[[#This Row],[Quarter]])</f>
        <v>2014-Q4</v>
      </c>
      <c r="U543" s="6" t="str">
        <f>IF(H542="","Pending",IF(Table1[[#This Row],[Days to ship]]&lt;Table1[[#This Row],[RequiredDate]],"On Time","Late"))</f>
        <v>On Time</v>
      </c>
      <c r="V543">
        <f>_xlfn.XLOOKUP(Table1[[#This Row],[orderID]],Table3[orderID],Table3[unitPrice])</f>
        <v>62.5</v>
      </c>
    </row>
    <row r="544" spans="1:22" x14ac:dyDescent="0.45">
      <c r="A544" s="3">
        <v>10790</v>
      </c>
      <c r="B544" s="6" t="s">
        <v>180</v>
      </c>
      <c r="C544" s="3">
        <v>6</v>
      </c>
      <c r="D544" s="6" t="str">
        <f>_xlfn.XLOOKUP(Table1[[#This Row],[EmployeeID]],Table4[employeeID],Table4[employeeName])</f>
        <v>Michael Suyama</v>
      </c>
      <c r="E544" s="1">
        <v>41995</v>
      </c>
      <c r="F544" s="1">
        <v>42023</v>
      </c>
      <c r="G544" s="1">
        <v>41999</v>
      </c>
      <c r="H544" s="3">
        <f>IF(Table1[[#This Row],[ShippedDate]]="","",IF(Table1[[#This Row],[OrderDate]]="","",Table1[[#This Row],[ShippedDate]]-Table1[[#This Row],[OrderDate]]))</f>
        <v>4</v>
      </c>
      <c r="I544" s="3">
        <v>1</v>
      </c>
      <c r="J544" s="2">
        <v>28.23</v>
      </c>
      <c r="K544" s="2">
        <f>SUMIF(order_details!A:A,Table1[[#This Row],[orderID]],order_details!F:F)</f>
        <v>722.5</v>
      </c>
      <c r="L544" s="9">
        <f>_xlfn.XLOOKUP(Table1[[#This Row],[orderID]],Table3[orderID],Table3[discount])</f>
        <v>0.15</v>
      </c>
      <c r="M544" s="2">
        <f>SUM(Table1[[#This Row],[Sales]],Table1[[#This Row],[freight]])</f>
        <v>750.73</v>
      </c>
      <c r="N544" s="3">
        <f>_xlfn.XLOOKUP(Table1[[#This Row],[orderID]],Table3[orderID],Table3[quantity])</f>
        <v>3</v>
      </c>
      <c r="O544" s="6" t="str">
        <f>_xlfn.XLOOKUP(Table1[[#This Row],[CustomerID]],customers!A:A,customers!B:B)</f>
        <v>Gourmet Lanchonetes</v>
      </c>
      <c r="P544" s="6" t="str">
        <f>_xlfn.XLOOKUP(Table1[[#This Row],[shipperID]],Table6[shipperID],Table6[companyName])</f>
        <v>Speedy Express</v>
      </c>
      <c r="Q544">
        <f>YEAR(Table1[[#This Row],[OrderDate]])</f>
        <v>2014</v>
      </c>
      <c r="R544">
        <f>MONTH(Table1[[#This Row],[OrderDate]])</f>
        <v>12</v>
      </c>
      <c r="S544" t="str">
        <f>"Q"&amp;ROUNDUP(Table1[[#This Row],[month]]/3,0)</f>
        <v>Q4</v>
      </c>
      <c r="T544" t="str">
        <f>CONCATENATE(Table1[[#This Row],[year]],"-",Table1[[#This Row],[Quarter]])</f>
        <v>2014-Q4</v>
      </c>
      <c r="U544" s="6" t="str">
        <f>IF(H543="","Pending",IF(Table1[[#This Row],[Days to ship]]&lt;Table1[[#This Row],[RequiredDate]],"On Time","Late"))</f>
        <v>On Time</v>
      </c>
      <c r="V544">
        <f>_xlfn.XLOOKUP(Table1[[#This Row],[orderID]],Table3[orderID],Table3[unitPrice])</f>
        <v>30</v>
      </c>
    </row>
    <row r="545" spans="1:22" x14ac:dyDescent="0.45">
      <c r="A545" s="3">
        <v>10791</v>
      </c>
      <c r="B545" s="6" t="s">
        <v>201</v>
      </c>
      <c r="C545" s="3">
        <v>6</v>
      </c>
      <c r="D545" s="6" t="str">
        <f>_xlfn.XLOOKUP(Table1[[#This Row],[EmployeeID]],Table4[employeeID],Table4[employeeName])</f>
        <v>Michael Suyama</v>
      </c>
      <c r="E545" s="1">
        <v>41996</v>
      </c>
      <c r="F545" s="1">
        <v>42024</v>
      </c>
      <c r="G545" s="1">
        <v>42005</v>
      </c>
      <c r="H545" s="3">
        <f>IF(Table1[[#This Row],[ShippedDate]]="","",IF(Table1[[#This Row],[OrderDate]]="","",Table1[[#This Row],[ShippedDate]]-Table1[[#This Row],[OrderDate]]))</f>
        <v>9</v>
      </c>
      <c r="I545" s="3">
        <v>2</v>
      </c>
      <c r="J545" s="2">
        <v>16.850000000000001</v>
      </c>
      <c r="K545" s="2">
        <f>SUMIF(order_details!A:A,Table1[[#This Row],[orderID]],order_details!F:F)</f>
        <v>1829.7570000000001</v>
      </c>
      <c r="L545" s="9">
        <f>_xlfn.XLOOKUP(Table1[[#This Row],[orderID]],Table3[orderID],Table3[discount])</f>
        <v>0.05</v>
      </c>
      <c r="M545" s="2">
        <f>SUM(Table1[[#This Row],[Sales]],Table1[[#This Row],[freight]])</f>
        <v>1846.607</v>
      </c>
      <c r="N545" s="3">
        <f>_xlfn.XLOOKUP(Table1[[#This Row],[orderID]],Table3[orderID],Table3[quantity])</f>
        <v>14</v>
      </c>
      <c r="O545" s="6" t="str">
        <f>_xlfn.XLOOKUP(Table1[[#This Row],[CustomerID]],customers!A:A,customers!B:B)</f>
        <v>Frankenversand</v>
      </c>
      <c r="P545" s="6" t="str">
        <f>_xlfn.XLOOKUP(Table1[[#This Row],[shipperID]],Table6[shipperID],Table6[companyName])</f>
        <v>United Package</v>
      </c>
      <c r="Q545">
        <f>YEAR(Table1[[#This Row],[OrderDate]])</f>
        <v>2014</v>
      </c>
      <c r="R545">
        <f>MONTH(Table1[[#This Row],[OrderDate]])</f>
        <v>12</v>
      </c>
      <c r="S545" t="str">
        <f>"Q"&amp;ROUNDUP(Table1[[#This Row],[month]]/3,0)</f>
        <v>Q4</v>
      </c>
      <c r="T545" t="str">
        <f>CONCATENATE(Table1[[#This Row],[year]],"-",Table1[[#This Row],[Quarter]])</f>
        <v>2014-Q4</v>
      </c>
      <c r="U545" s="6" t="str">
        <f>IF(H544="","Pending",IF(Table1[[#This Row],[Days to ship]]&lt;Table1[[#This Row],[RequiredDate]],"On Time","Late"))</f>
        <v>On Time</v>
      </c>
      <c r="V545">
        <f>_xlfn.XLOOKUP(Table1[[#This Row],[orderID]],Table3[orderID],Table3[unitPrice])</f>
        <v>123.79</v>
      </c>
    </row>
    <row r="546" spans="1:22" x14ac:dyDescent="0.45">
      <c r="A546" s="3">
        <v>10792</v>
      </c>
      <c r="B546" s="6" t="s">
        <v>183</v>
      </c>
      <c r="C546" s="3">
        <v>1</v>
      </c>
      <c r="D546" s="6" t="str">
        <f>_xlfn.XLOOKUP(Table1[[#This Row],[EmployeeID]],Table4[employeeID],Table4[employeeName])</f>
        <v>Nancy Davolio</v>
      </c>
      <c r="E546" s="1">
        <v>41996</v>
      </c>
      <c r="F546" s="1">
        <v>42024</v>
      </c>
      <c r="G546" s="1">
        <v>42004</v>
      </c>
      <c r="H546" s="3">
        <f>IF(Table1[[#This Row],[ShippedDate]]="","",IF(Table1[[#This Row],[OrderDate]]="","",Table1[[#This Row],[ShippedDate]]-Table1[[#This Row],[OrderDate]]))</f>
        <v>8</v>
      </c>
      <c r="I546" s="3">
        <v>3</v>
      </c>
      <c r="J546" s="2">
        <v>23.79</v>
      </c>
      <c r="K546" s="2">
        <f>SUMIF(order_details!A:A,Table1[[#This Row],[orderID]],order_details!F:F)</f>
        <v>399.85</v>
      </c>
      <c r="L546" s="9">
        <f>_xlfn.XLOOKUP(Table1[[#This Row],[orderID]],Table3[orderID],Table3[discount])</f>
        <v>0</v>
      </c>
      <c r="M546" s="2">
        <f>SUM(Table1[[#This Row],[Sales]],Table1[[#This Row],[freight]])</f>
        <v>423.64000000000004</v>
      </c>
      <c r="N546" s="3">
        <f>_xlfn.XLOOKUP(Table1[[#This Row],[orderID]],Table3[orderID],Table3[quantity])</f>
        <v>10</v>
      </c>
      <c r="O546" s="6" t="str">
        <f>_xlfn.XLOOKUP(Table1[[#This Row],[CustomerID]],customers!A:A,customers!B:B)</f>
        <v>Wolski  Zajazd</v>
      </c>
      <c r="P546" s="6" t="str">
        <f>_xlfn.XLOOKUP(Table1[[#This Row],[shipperID]],Table6[shipperID],Table6[companyName])</f>
        <v>Federal Shipping</v>
      </c>
      <c r="Q546">
        <f>YEAR(Table1[[#This Row],[OrderDate]])</f>
        <v>2014</v>
      </c>
      <c r="R546">
        <f>MONTH(Table1[[#This Row],[OrderDate]])</f>
        <v>12</v>
      </c>
      <c r="S546" t="str">
        <f>"Q"&amp;ROUNDUP(Table1[[#This Row],[month]]/3,0)</f>
        <v>Q4</v>
      </c>
      <c r="T546" t="str">
        <f>CONCATENATE(Table1[[#This Row],[year]],"-",Table1[[#This Row],[Quarter]])</f>
        <v>2014-Q4</v>
      </c>
      <c r="U546" s="6" t="str">
        <f>IF(H545="","Pending",IF(Table1[[#This Row],[Days to ship]]&lt;Table1[[#This Row],[RequiredDate]],"On Time","Late"))</f>
        <v>On Time</v>
      </c>
      <c r="V546">
        <f>_xlfn.XLOOKUP(Table1[[#This Row],[orderID]],Table3[orderID],Table3[unitPrice])</f>
        <v>19</v>
      </c>
    </row>
    <row r="547" spans="1:22" x14ac:dyDescent="0.45">
      <c r="A547" s="3">
        <v>10793</v>
      </c>
      <c r="B547" s="6" t="s">
        <v>198</v>
      </c>
      <c r="C547" s="3">
        <v>3</v>
      </c>
      <c r="D547" s="6" t="str">
        <f>_xlfn.XLOOKUP(Table1[[#This Row],[EmployeeID]],Table4[employeeID],Table4[employeeName])</f>
        <v>Janet Leverling</v>
      </c>
      <c r="E547" s="1">
        <v>41997</v>
      </c>
      <c r="F547" s="1">
        <v>42025</v>
      </c>
      <c r="G547" s="1">
        <v>42012</v>
      </c>
      <c r="H547" s="3">
        <f>IF(Table1[[#This Row],[ShippedDate]]="","",IF(Table1[[#This Row],[OrderDate]]="","",Table1[[#This Row],[ShippedDate]]-Table1[[#This Row],[OrderDate]]))</f>
        <v>15</v>
      </c>
      <c r="I547" s="3">
        <v>3</v>
      </c>
      <c r="J547" s="2">
        <v>4.5199999999999996</v>
      </c>
      <c r="K547" s="2">
        <f>SUMIF(order_details!A:A,Table1[[#This Row],[orderID]],order_details!F:F)</f>
        <v>191.1</v>
      </c>
      <c r="L547" s="9">
        <f>_xlfn.XLOOKUP(Table1[[#This Row],[orderID]],Table3[orderID],Table3[discount])</f>
        <v>0</v>
      </c>
      <c r="M547" s="2">
        <f>SUM(Table1[[#This Row],[Sales]],Table1[[#This Row],[freight]])</f>
        <v>195.62</v>
      </c>
      <c r="N547" s="3">
        <f>_xlfn.XLOOKUP(Table1[[#This Row],[orderID]],Table3[orderID],Table3[quantity])</f>
        <v>14</v>
      </c>
      <c r="O547" s="6" t="str">
        <f>_xlfn.XLOOKUP(Table1[[#This Row],[CustomerID]],customers!A:A,customers!B:B)</f>
        <v>Around the Horn</v>
      </c>
      <c r="P547" s="6" t="str">
        <f>_xlfn.XLOOKUP(Table1[[#This Row],[shipperID]],Table6[shipperID],Table6[companyName])</f>
        <v>Federal Shipping</v>
      </c>
      <c r="Q547">
        <f>YEAR(Table1[[#This Row],[OrderDate]])</f>
        <v>2014</v>
      </c>
      <c r="R547">
        <f>MONTH(Table1[[#This Row],[OrderDate]])</f>
        <v>12</v>
      </c>
      <c r="S547" t="str">
        <f>"Q"&amp;ROUNDUP(Table1[[#This Row],[month]]/3,0)</f>
        <v>Q4</v>
      </c>
      <c r="T547" t="str">
        <f>CONCATENATE(Table1[[#This Row],[year]],"-",Table1[[#This Row],[Quarter]])</f>
        <v>2014-Q4</v>
      </c>
      <c r="U547" s="6" t="str">
        <f>IF(H546="","Pending",IF(Table1[[#This Row],[Days to ship]]&lt;Table1[[#This Row],[RequiredDate]],"On Time","Late"))</f>
        <v>On Time</v>
      </c>
      <c r="V547">
        <f>_xlfn.XLOOKUP(Table1[[#This Row],[orderID]],Table3[orderID],Table3[unitPrice])</f>
        <v>9.65</v>
      </c>
    </row>
    <row r="548" spans="1:22" x14ac:dyDescent="0.45">
      <c r="A548" s="3">
        <v>10794</v>
      </c>
      <c r="B548" s="6" t="s">
        <v>209</v>
      </c>
      <c r="C548" s="3">
        <v>6</v>
      </c>
      <c r="D548" s="6" t="str">
        <f>_xlfn.XLOOKUP(Table1[[#This Row],[EmployeeID]],Table4[employeeID],Table4[employeeName])</f>
        <v>Michael Suyama</v>
      </c>
      <c r="E548" s="1">
        <v>41997</v>
      </c>
      <c r="F548" s="1">
        <v>42025</v>
      </c>
      <c r="G548" s="1">
        <v>42006</v>
      </c>
      <c r="H548" s="3">
        <f>IF(Table1[[#This Row],[ShippedDate]]="","",IF(Table1[[#This Row],[OrderDate]]="","",Table1[[#This Row],[ShippedDate]]-Table1[[#This Row],[OrderDate]]))</f>
        <v>9</v>
      </c>
      <c r="I548" s="3">
        <v>1</v>
      </c>
      <c r="J548" s="2">
        <v>21.49</v>
      </c>
      <c r="K548" s="2">
        <f>SUMIF(order_details!A:A,Table1[[#This Row],[orderID]],order_details!F:F)</f>
        <v>314.76</v>
      </c>
      <c r="L548" s="9">
        <f>_xlfn.XLOOKUP(Table1[[#This Row],[orderID]],Table3[orderID],Table3[discount])</f>
        <v>0.2</v>
      </c>
      <c r="M548" s="2">
        <f>SUM(Table1[[#This Row],[Sales]],Table1[[#This Row],[freight]])</f>
        <v>336.25</v>
      </c>
      <c r="N548" s="3">
        <f>_xlfn.XLOOKUP(Table1[[#This Row],[orderID]],Table3[orderID],Table3[quantity])</f>
        <v>15</v>
      </c>
      <c r="O548" s="6" t="str">
        <f>_xlfn.XLOOKUP(Table1[[#This Row],[CustomerID]],customers!A:A,customers!B:B)</f>
        <v>Que Delícia</v>
      </c>
      <c r="P548" s="6" t="str">
        <f>_xlfn.XLOOKUP(Table1[[#This Row],[shipperID]],Table6[shipperID],Table6[companyName])</f>
        <v>Speedy Express</v>
      </c>
      <c r="Q548">
        <f>YEAR(Table1[[#This Row],[OrderDate]])</f>
        <v>2014</v>
      </c>
      <c r="R548">
        <f>MONTH(Table1[[#This Row],[OrderDate]])</f>
        <v>12</v>
      </c>
      <c r="S548" t="str">
        <f>"Q"&amp;ROUNDUP(Table1[[#This Row],[month]]/3,0)</f>
        <v>Q4</v>
      </c>
      <c r="T548" t="str">
        <f>CONCATENATE(Table1[[#This Row],[year]],"-",Table1[[#This Row],[Quarter]])</f>
        <v>2014-Q4</v>
      </c>
      <c r="U548" s="6" t="str">
        <f>IF(H547="","Pending",IF(Table1[[#This Row],[Days to ship]]&lt;Table1[[#This Row],[RequiredDate]],"On Time","Late"))</f>
        <v>On Time</v>
      </c>
      <c r="V548">
        <f>_xlfn.XLOOKUP(Table1[[#This Row],[orderID]],Table3[orderID],Table3[unitPrice])</f>
        <v>23.25</v>
      </c>
    </row>
    <row r="549" spans="1:22" x14ac:dyDescent="0.45">
      <c r="A549" s="3">
        <v>10795</v>
      </c>
      <c r="B549" s="6" t="s">
        <v>158</v>
      </c>
      <c r="C549" s="3">
        <v>8</v>
      </c>
      <c r="D549" s="6" t="str">
        <f>_xlfn.XLOOKUP(Table1[[#This Row],[EmployeeID]],Table4[employeeID],Table4[employeeName])</f>
        <v>Laura Callahan</v>
      </c>
      <c r="E549" s="1">
        <v>41997</v>
      </c>
      <c r="F549" s="1">
        <v>42025</v>
      </c>
      <c r="G549" s="1">
        <v>42024</v>
      </c>
      <c r="H549" s="3">
        <f>IF(Table1[[#This Row],[ShippedDate]]="","",IF(Table1[[#This Row],[OrderDate]]="","",Table1[[#This Row],[ShippedDate]]-Table1[[#This Row],[OrderDate]]))</f>
        <v>27</v>
      </c>
      <c r="I549" s="3">
        <v>2</v>
      </c>
      <c r="J549" s="2">
        <v>126.66</v>
      </c>
      <c r="K549" s="2">
        <f>SUMIF(order_details!A:A,Table1[[#This Row],[orderID]],order_details!F:F)</f>
        <v>2158</v>
      </c>
      <c r="L549" s="9">
        <f>_xlfn.XLOOKUP(Table1[[#This Row],[orderID]],Table3[orderID],Table3[discount])</f>
        <v>0</v>
      </c>
      <c r="M549" s="2">
        <f>SUM(Table1[[#This Row],[Sales]],Table1[[#This Row],[freight]])</f>
        <v>2284.66</v>
      </c>
      <c r="N549" s="3">
        <f>_xlfn.XLOOKUP(Table1[[#This Row],[orderID]],Table3[orderID],Table3[quantity])</f>
        <v>65</v>
      </c>
      <c r="O549" s="6" t="str">
        <f>_xlfn.XLOOKUP(Table1[[#This Row],[CustomerID]],customers!A:A,customers!B:B)</f>
        <v>Ernst Handel</v>
      </c>
      <c r="P549" s="6" t="str">
        <f>_xlfn.XLOOKUP(Table1[[#This Row],[shipperID]],Table6[shipperID],Table6[companyName])</f>
        <v>United Package</v>
      </c>
      <c r="Q549">
        <f>YEAR(Table1[[#This Row],[OrderDate]])</f>
        <v>2014</v>
      </c>
      <c r="R549">
        <f>MONTH(Table1[[#This Row],[OrderDate]])</f>
        <v>12</v>
      </c>
      <c r="S549" t="str">
        <f>"Q"&amp;ROUNDUP(Table1[[#This Row],[month]]/3,0)</f>
        <v>Q4</v>
      </c>
      <c r="T549" t="str">
        <f>CONCATENATE(Table1[[#This Row],[year]],"-",Table1[[#This Row],[Quarter]])</f>
        <v>2014-Q4</v>
      </c>
      <c r="U549" s="6" t="str">
        <f>IF(H548="","Pending",IF(Table1[[#This Row],[Days to ship]]&lt;Table1[[#This Row],[RequiredDate]],"On Time","Late"))</f>
        <v>On Time</v>
      </c>
      <c r="V549">
        <f>_xlfn.XLOOKUP(Table1[[#This Row],[orderID]],Table3[orderID],Table3[unitPrice])</f>
        <v>17.45</v>
      </c>
    </row>
    <row r="550" spans="1:22" x14ac:dyDescent="0.45">
      <c r="A550" s="3">
        <v>10796</v>
      </c>
      <c r="B550" s="6" t="s">
        <v>174</v>
      </c>
      <c r="C550" s="3">
        <v>3</v>
      </c>
      <c r="D550" s="6" t="str">
        <f>_xlfn.XLOOKUP(Table1[[#This Row],[EmployeeID]],Table4[employeeID],Table4[employeeName])</f>
        <v>Janet Leverling</v>
      </c>
      <c r="E550" s="1">
        <v>41998</v>
      </c>
      <c r="F550" s="1">
        <v>42026</v>
      </c>
      <c r="G550" s="1">
        <v>42018</v>
      </c>
      <c r="H550" s="3">
        <f>IF(Table1[[#This Row],[ShippedDate]]="","",IF(Table1[[#This Row],[OrderDate]]="","",Table1[[#This Row],[ShippedDate]]-Table1[[#This Row],[OrderDate]]))</f>
        <v>20</v>
      </c>
      <c r="I550" s="3">
        <v>1</v>
      </c>
      <c r="J550" s="2">
        <v>26.52</v>
      </c>
      <c r="K550" s="2">
        <f>SUMIF(order_details!A:A,Table1[[#This Row],[orderID]],order_details!F:F)</f>
        <v>2341.3640000000005</v>
      </c>
      <c r="L550" s="9">
        <f>_xlfn.XLOOKUP(Table1[[#This Row],[orderID]],Table3[orderID],Table3[discount])</f>
        <v>0.2</v>
      </c>
      <c r="M550" s="2">
        <f>SUM(Table1[[#This Row],[Sales]],Table1[[#This Row],[freight]])</f>
        <v>2367.8840000000005</v>
      </c>
      <c r="N550" s="3">
        <f>_xlfn.XLOOKUP(Table1[[#This Row],[orderID]],Table3[orderID],Table3[quantity])</f>
        <v>21</v>
      </c>
      <c r="O550" s="6" t="str">
        <f>_xlfn.XLOOKUP(Table1[[#This Row],[CustomerID]],customers!A:A,customers!B:B)</f>
        <v>HILARION-Abastos</v>
      </c>
      <c r="P550" s="6" t="str">
        <f>_xlfn.XLOOKUP(Table1[[#This Row],[shipperID]],Table6[shipperID],Table6[companyName])</f>
        <v>Speedy Express</v>
      </c>
      <c r="Q550">
        <f>YEAR(Table1[[#This Row],[OrderDate]])</f>
        <v>2014</v>
      </c>
      <c r="R550">
        <f>MONTH(Table1[[#This Row],[OrderDate]])</f>
        <v>12</v>
      </c>
      <c r="S550" t="str">
        <f>"Q"&amp;ROUNDUP(Table1[[#This Row],[month]]/3,0)</f>
        <v>Q4</v>
      </c>
      <c r="T550" t="str">
        <f>CONCATENATE(Table1[[#This Row],[year]],"-",Table1[[#This Row],[Quarter]])</f>
        <v>2014-Q4</v>
      </c>
      <c r="U550" s="6" t="str">
        <f>IF(H549="","Pending",IF(Table1[[#This Row],[Days to ship]]&lt;Table1[[#This Row],[RequiredDate]],"On Time","Late"))</f>
        <v>On Time</v>
      </c>
      <c r="V550">
        <f>_xlfn.XLOOKUP(Table1[[#This Row],[orderID]],Table3[orderID],Table3[unitPrice])</f>
        <v>31.23</v>
      </c>
    </row>
    <row r="551" spans="1:22" x14ac:dyDescent="0.45">
      <c r="A551" s="3">
        <v>10797</v>
      </c>
      <c r="B551" s="6" t="s">
        <v>163</v>
      </c>
      <c r="C551" s="3">
        <v>7</v>
      </c>
      <c r="D551" s="6" t="str">
        <f>_xlfn.XLOOKUP(Table1[[#This Row],[EmployeeID]],Table4[employeeID],Table4[employeeName])</f>
        <v>Robert King</v>
      </c>
      <c r="E551" s="1">
        <v>41998</v>
      </c>
      <c r="F551" s="1">
        <v>42026</v>
      </c>
      <c r="G551" s="1">
        <v>42009</v>
      </c>
      <c r="H551" s="3">
        <f>IF(Table1[[#This Row],[ShippedDate]]="","",IF(Table1[[#This Row],[OrderDate]]="","",Table1[[#This Row],[ShippedDate]]-Table1[[#This Row],[OrderDate]]))</f>
        <v>11</v>
      </c>
      <c r="I551" s="3">
        <v>2</v>
      </c>
      <c r="J551" s="2">
        <v>33.35</v>
      </c>
      <c r="K551" s="2">
        <f>SUMIF(order_details!A:A,Table1[[#This Row],[orderID]],order_details!F:F)</f>
        <v>420</v>
      </c>
      <c r="L551" s="9">
        <f>_xlfn.XLOOKUP(Table1[[#This Row],[orderID]],Table3[orderID],Table3[discount])</f>
        <v>0</v>
      </c>
      <c r="M551" s="2">
        <f>SUM(Table1[[#This Row],[Sales]],Table1[[#This Row],[freight]])</f>
        <v>453.35</v>
      </c>
      <c r="N551" s="3">
        <f>_xlfn.XLOOKUP(Table1[[#This Row],[orderID]],Table3[orderID],Table3[quantity])</f>
        <v>20</v>
      </c>
      <c r="O551" s="6" t="str">
        <f>_xlfn.XLOOKUP(Table1[[#This Row],[CustomerID]],customers!A:A,customers!B:B)</f>
        <v>Drachenblut Delikatessen</v>
      </c>
      <c r="P551" s="6" t="str">
        <f>_xlfn.XLOOKUP(Table1[[#This Row],[shipperID]],Table6[shipperID],Table6[companyName])</f>
        <v>United Package</v>
      </c>
      <c r="Q551">
        <f>YEAR(Table1[[#This Row],[OrderDate]])</f>
        <v>2014</v>
      </c>
      <c r="R551">
        <f>MONTH(Table1[[#This Row],[OrderDate]])</f>
        <v>12</v>
      </c>
      <c r="S551" t="str">
        <f>"Q"&amp;ROUNDUP(Table1[[#This Row],[month]]/3,0)</f>
        <v>Q4</v>
      </c>
      <c r="T551" t="str">
        <f>CONCATENATE(Table1[[#This Row],[year]],"-",Table1[[#This Row],[Quarter]])</f>
        <v>2014-Q4</v>
      </c>
      <c r="U551" s="6" t="str">
        <f>IF(H550="","Pending",IF(Table1[[#This Row],[Days to ship]]&lt;Table1[[#This Row],[RequiredDate]],"On Time","Late"))</f>
        <v>On Time</v>
      </c>
      <c r="V551">
        <f>_xlfn.XLOOKUP(Table1[[#This Row],[orderID]],Table3[orderID],Table3[unitPrice])</f>
        <v>21</v>
      </c>
    </row>
    <row r="552" spans="1:22" x14ac:dyDescent="0.45">
      <c r="A552" s="3">
        <v>10798</v>
      </c>
      <c r="B552" s="6" t="s">
        <v>220</v>
      </c>
      <c r="C552" s="3">
        <v>2</v>
      </c>
      <c r="D552" s="6" t="str">
        <f>_xlfn.XLOOKUP(Table1[[#This Row],[EmployeeID]],Table4[employeeID],Table4[employeeName])</f>
        <v>Andrew Fuller</v>
      </c>
      <c r="E552" s="1">
        <v>41999</v>
      </c>
      <c r="F552" s="1">
        <v>42027</v>
      </c>
      <c r="G552" s="1">
        <v>42009</v>
      </c>
      <c r="H552" s="3">
        <f>IF(Table1[[#This Row],[ShippedDate]]="","",IF(Table1[[#This Row],[OrderDate]]="","",Table1[[#This Row],[ShippedDate]]-Table1[[#This Row],[OrderDate]]))</f>
        <v>10</v>
      </c>
      <c r="I552" s="3">
        <v>1</v>
      </c>
      <c r="J552" s="2">
        <v>2.33</v>
      </c>
      <c r="K552" s="2">
        <f>SUMIF(order_details!A:A,Table1[[#This Row],[orderID]],order_details!F:F)</f>
        <v>446.6</v>
      </c>
      <c r="L552" s="9">
        <f>_xlfn.XLOOKUP(Table1[[#This Row],[orderID]],Table3[orderID],Table3[discount])</f>
        <v>0</v>
      </c>
      <c r="M552" s="2">
        <f>SUM(Table1[[#This Row],[Sales]],Table1[[#This Row],[freight]])</f>
        <v>448.93</v>
      </c>
      <c r="N552" s="3">
        <f>_xlfn.XLOOKUP(Table1[[#This Row],[orderID]],Table3[orderID],Table3[quantity])</f>
        <v>2</v>
      </c>
      <c r="O552" s="6" t="str">
        <f>_xlfn.XLOOKUP(Table1[[#This Row],[CustomerID]],customers!A:A,customers!B:B)</f>
        <v>Island Trading</v>
      </c>
      <c r="P552" s="6" t="str">
        <f>_xlfn.XLOOKUP(Table1[[#This Row],[shipperID]],Table6[shipperID],Table6[companyName])</f>
        <v>Speedy Express</v>
      </c>
      <c r="Q552">
        <f>YEAR(Table1[[#This Row],[OrderDate]])</f>
        <v>2014</v>
      </c>
      <c r="R552">
        <f>MONTH(Table1[[#This Row],[OrderDate]])</f>
        <v>12</v>
      </c>
      <c r="S552" t="str">
        <f>"Q"&amp;ROUNDUP(Table1[[#This Row],[month]]/3,0)</f>
        <v>Q4</v>
      </c>
      <c r="T552" t="str">
        <f>CONCATENATE(Table1[[#This Row],[year]],"-",Table1[[#This Row],[Quarter]])</f>
        <v>2014-Q4</v>
      </c>
      <c r="U552" s="6" t="str">
        <f>IF(H551="","Pending",IF(Table1[[#This Row],[Days to ship]]&lt;Table1[[#This Row],[RequiredDate]],"On Time","Late"))</f>
        <v>On Time</v>
      </c>
      <c r="V552">
        <f>_xlfn.XLOOKUP(Table1[[#This Row],[orderID]],Table3[orderID],Table3[unitPrice])</f>
        <v>49.3</v>
      </c>
    </row>
    <row r="553" spans="1:22" x14ac:dyDescent="0.45">
      <c r="A553" s="3">
        <v>10799</v>
      </c>
      <c r="B553" s="6" t="s">
        <v>191</v>
      </c>
      <c r="C553" s="3">
        <v>9</v>
      </c>
      <c r="D553" s="6" t="str">
        <f>_xlfn.XLOOKUP(Table1[[#This Row],[EmployeeID]],Table4[employeeID],Table4[employeeName])</f>
        <v>Anne Dodsworth</v>
      </c>
      <c r="E553" s="1">
        <v>41999</v>
      </c>
      <c r="F553" s="1">
        <v>42041</v>
      </c>
      <c r="G553" s="1">
        <v>42009</v>
      </c>
      <c r="H553" s="3">
        <f>IF(Table1[[#This Row],[ShippedDate]]="","",IF(Table1[[#This Row],[OrderDate]]="","",Table1[[#This Row],[ShippedDate]]-Table1[[#This Row],[OrderDate]]))</f>
        <v>10</v>
      </c>
      <c r="I553" s="3">
        <v>3</v>
      </c>
      <c r="J553" s="2">
        <v>30.76</v>
      </c>
      <c r="K553" s="2">
        <f>SUMIF(order_details!A:A,Table1[[#This Row],[orderID]],order_details!F:F)</f>
        <v>1553.5</v>
      </c>
      <c r="L553" s="9">
        <f>_xlfn.XLOOKUP(Table1[[#This Row],[orderID]],Table3[orderID],Table3[discount])</f>
        <v>0.15</v>
      </c>
      <c r="M553" s="2">
        <f>SUM(Table1[[#This Row],[Sales]],Table1[[#This Row],[freight]])</f>
        <v>1584.26</v>
      </c>
      <c r="N553" s="3">
        <f>_xlfn.XLOOKUP(Table1[[#This Row],[orderID]],Table3[orderID],Table3[quantity])</f>
        <v>20</v>
      </c>
      <c r="O553" s="6" t="str">
        <f>_xlfn.XLOOKUP(Table1[[#This Row],[CustomerID]],customers!A:A,customers!B:B)</f>
        <v>Königlich Essen</v>
      </c>
      <c r="P553" s="6" t="str">
        <f>_xlfn.XLOOKUP(Table1[[#This Row],[shipperID]],Table6[shipperID],Table6[companyName])</f>
        <v>Federal Shipping</v>
      </c>
      <c r="Q553">
        <f>YEAR(Table1[[#This Row],[OrderDate]])</f>
        <v>2014</v>
      </c>
      <c r="R553">
        <f>MONTH(Table1[[#This Row],[OrderDate]])</f>
        <v>12</v>
      </c>
      <c r="S553" t="str">
        <f>"Q"&amp;ROUNDUP(Table1[[#This Row],[month]]/3,0)</f>
        <v>Q4</v>
      </c>
      <c r="T553" t="str">
        <f>CONCATENATE(Table1[[#This Row],[year]],"-",Table1[[#This Row],[Quarter]])</f>
        <v>2014-Q4</v>
      </c>
      <c r="U553" s="6" t="str">
        <f>IF(H552="","Pending",IF(Table1[[#This Row],[Days to ship]]&lt;Table1[[#This Row],[RequiredDate]],"On Time","Late"))</f>
        <v>On Time</v>
      </c>
      <c r="V553">
        <f>_xlfn.XLOOKUP(Table1[[#This Row],[orderID]],Table3[orderID],Table3[unitPrice])</f>
        <v>6</v>
      </c>
    </row>
    <row r="554" spans="1:22" x14ac:dyDescent="0.45">
      <c r="A554" s="3">
        <v>10800</v>
      </c>
      <c r="B554" s="6" t="s">
        <v>226</v>
      </c>
      <c r="C554" s="3">
        <v>1</v>
      </c>
      <c r="D554" s="6" t="str">
        <f>_xlfn.XLOOKUP(Table1[[#This Row],[EmployeeID]],Table4[employeeID],Table4[employeeName])</f>
        <v>Nancy Davolio</v>
      </c>
      <c r="E554" s="1">
        <v>41999</v>
      </c>
      <c r="F554" s="1">
        <v>42027</v>
      </c>
      <c r="G554" s="1">
        <v>42009</v>
      </c>
      <c r="H554" s="3">
        <f>IF(Table1[[#This Row],[ShippedDate]]="","",IF(Table1[[#This Row],[OrderDate]]="","",Table1[[#This Row],[ShippedDate]]-Table1[[#This Row],[OrderDate]]))</f>
        <v>10</v>
      </c>
      <c r="I554" s="3">
        <v>3</v>
      </c>
      <c r="J554" s="2">
        <v>137.44</v>
      </c>
      <c r="K554" s="2">
        <f>SUMIF(order_details!A:A,Table1[[#This Row],[orderID]],order_details!F:F)</f>
        <v>1468.9349999999999</v>
      </c>
      <c r="L554" s="9">
        <f>_xlfn.XLOOKUP(Table1[[#This Row],[orderID]],Table3[orderID],Table3[discount])</f>
        <v>0.1</v>
      </c>
      <c r="M554" s="2">
        <f>SUM(Table1[[#This Row],[Sales]],Table1[[#This Row],[freight]])</f>
        <v>1606.375</v>
      </c>
      <c r="N554" s="3">
        <f>_xlfn.XLOOKUP(Table1[[#This Row],[orderID]],Table3[orderID],Table3[quantity])</f>
        <v>50</v>
      </c>
      <c r="O554" s="6" t="str">
        <f>_xlfn.XLOOKUP(Table1[[#This Row],[CustomerID]],customers!A:A,customers!B:B)</f>
        <v>Seven Seas Imports</v>
      </c>
      <c r="P554" s="6" t="str">
        <f>_xlfn.XLOOKUP(Table1[[#This Row],[shipperID]],Table6[shipperID],Table6[companyName])</f>
        <v>Federal Shipping</v>
      </c>
      <c r="Q554">
        <f>YEAR(Table1[[#This Row],[OrderDate]])</f>
        <v>2014</v>
      </c>
      <c r="R554">
        <f>MONTH(Table1[[#This Row],[OrderDate]])</f>
        <v>12</v>
      </c>
      <c r="S554" t="str">
        <f>"Q"&amp;ROUNDUP(Table1[[#This Row],[month]]/3,0)</f>
        <v>Q4</v>
      </c>
      <c r="T554" t="str">
        <f>CONCATENATE(Table1[[#This Row],[year]],"-",Table1[[#This Row],[Quarter]])</f>
        <v>2014-Q4</v>
      </c>
      <c r="U554" s="6" t="str">
        <f>IF(H553="","Pending",IF(Table1[[#This Row],[Days to ship]]&lt;Table1[[#This Row],[RequiredDate]],"On Time","Late"))</f>
        <v>On Time</v>
      </c>
      <c r="V554">
        <f>_xlfn.XLOOKUP(Table1[[#This Row],[orderID]],Table3[orderID],Table3[unitPrice])</f>
        <v>21</v>
      </c>
    </row>
    <row r="555" spans="1:22" x14ac:dyDescent="0.45">
      <c r="A555" s="3">
        <v>10801</v>
      </c>
      <c r="B555" s="6" t="s">
        <v>214</v>
      </c>
      <c r="C555" s="3">
        <v>4</v>
      </c>
      <c r="D555" s="6" t="str">
        <f>_xlfn.XLOOKUP(Table1[[#This Row],[EmployeeID]],Table4[employeeID],Table4[employeeName])</f>
        <v>Margaret Peacock</v>
      </c>
      <c r="E555" s="1">
        <v>42002</v>
      </c>
      <c r="F555" s="1">
        <v>42030</v>
      </c>
      <c r="G555" s="1">
        <v>42004</v>
      </c>
      <c r="H555" s="3">
        <f>IF(Table1[[#This Row],[ShippedDate]]="","",IF(Table1[[#This Row],[OrderDate]]="","",Table1[[#This Row],[ShippedDate]]-Table1[[#This Row],[OrderDate]]))</f>
        <v>2</v>
      </c>
      <c r="I555" s="3">
        <v>2</v>
      </c>
      <c r="J555" s="2">
        <v>97.09</v>
      </c>
      <c r="K555" s="2">
        <f>SUMIF(order_details!A:A,Table1[[#This Row],[orderID]],order_details!F:F)</f>
        <v>3026.8500000000004</v>
      </c>
      <c r="L555" s="9">
        <f>_xlfn.XLOOKUP(Table1[[#This Row],[orderID]],Table3[orderID],Table3[discount])</f>
        <v>0.25</v>
      </c>
      <c r="M555" s="2">
        <f>SUM(Table1[[#This Row],[Sales]],Table1[[#This Row],[freight]])</f>
        <v>3123.9400000000005</v>
      </c>
      <c r="N555" s="3">
        <f>_xlfn.XLOOKUP(Table1[[#This Row],[orderID]],Table3[orderID],Table3[quantity])</f>
        <v>40</v>
      </c>
      <c r="O555" s="6" t="str">
        <f>_xlfn.XLOOKUP(Table1[[#This Row],[CustomerID]],customers!A:A,customers!B:B)</f>
        <v>Bólido Comidas preparadas</v>
      </c>
      <c r="P555" s="6" t="str">
        <f>_xlfn.XLOOKUP(Table1[[#This Row],[shipperID]],Table6[shipperID],Table6[companyName])</f>
        <v>United Package</v>
      </c>
      <c r="Q555">
        <f>YEAR(Table1[[#This Row],[OrderDate]])</f>
        <v>2014</v>
      </c>
      <c r="R555">
        <f>MONTH(Table1[[#This Row],[OrderDate]])</f>
        <v>12</v>
      </c>
      <c r="S555" t="str">
        <f>"Q"&amp;ROUNDUP(Table1[[#This Row],[month]]/3,0)</f>
        <v>Q4</v>
      </c>
      <c r="T555" t="str">
        <f>CONCATENATE(Table1[[#This Row],[year]],"-",Table1[[#This Row],[Quarter]])</f>
        <v>2014-Q4</v>
      </c>
      <c r="U555" s="6" t="str">
        <f>IF(H554="","Pending",IF(Table1[[#This Row],[Days to ship]]&lt;Table1[[#This Row],[RequiredDate]],"On Time","Late"))</f>
        <v>On Time</v>
      </c>
      <c r="V555">
        <f>_xlfn.XLOOKUP(Table1[[#This Row],[orderID]],Table3[orderID],Table3[unitPrice])</f>
        <v>39</v>
      </c>
    </row>
    <row r="556" spans="1:22" x14ac:dyDescent="0.45">
      <c r="A556" s="3">
        <v>10802</v>
      </c>
      <c r="B556" s="6" t="s">
        <v>156</v>
      </c>
      <c r="C556" s="3">
        <v>4</v>
      </c>
      <c r="D556" s="6" t="str">
        <f>_xlfn.XLOOKUP(Table1[[#This Row],[EmployeeID]],Table4[employeeID],Table4[employeeName])</f>
        <v>Margaret Peacock</v>
      </c>
      <c r="E556" s="1">
        <v>42002</v>
      </c>
      <c r="F556" s="1">
        <v>42030</v>
      </c>
      <c r="G556" s="1">
        <v>42006</v>
      </c>
      <c r="H556" s="3">
        <f>IF(Table1[[#This Row],[ShippedDate]]="","",IF(Table1[[#This Row],[OrderDate]]="","",Table1[[#This Row],[ShippedDate]]-Table1[[#This Row],[OrderDate]]))</f>
        <v>4</v>
      </c>
      <c r="I556" s="3">
        <v>2</v>
      </c>
      <c r="J556" s="2">
        <v>257.26</v>
      </c>
      <c r="K556" s="2">
        <f>SUMIF(order_details!A:A,Table1[[#This Row],[orderID]],order_details!F:F)</f>
        <v>2942.8125</v>
      </c>
      <c r="L556" s="9">
        <f>_xlfn.XLOOKUP(Table1[[#This Row],[orderID]],Table3[orderID],Table3[discount])</f>
        <v>0.25</v>
      </c>
      <c r="M556" s="2">
        <f>SUM(Table1[[#This Row],[Sales]],Table1[[#This Row],[freight]])</f>
        <v>3200.0725000000002</v>
      </c>
      <c r="N556" s="3">
        <f>_xlfn.XLOOKUP(Table1[[#This Row],[orderID]],Table3[orderID],Table3[quantity])</f>
        <v>25</v>
      </c>
      <c r="O556" s="6" t="str">
        <f>_xlfn.XLOOKUP(Table1[[#This Row],[CustomerID]],customers!A:A,customers!B:B)</f>
        <v>Simons bistro</v>
      </c>
      <c r="P556" s="6" t="str">
        <f>_xlfn.XLOOKUP(Table1[[#This Row],[shipperID]],Table6[shipperID],Table6[companyName])</f>
        <v>United Package</v>
      </c>
      <c r="Q556">
        <f>YEAR(Table1[[#This Row],[OrderDate]])</f>
        <v>2014</v>
      </c>
      <c r="R556">
        <f>MONTH(Table1[[#This Row],[OrderDate]])</f>
        <v>12</v>
      </c>
      <c r="S556" t="str">
        <f>"Q"&amp;ROUNDUP(Table1[[#This Row],[month]]/3,0)</f>
        <v>Q4</v>
      </c>
      <c r="T556" t="str">
        <f>CONCATENATE(Table1[[#This Row],[year]],"-",Table1[[#This Row],[Quarter]])</f>
        <v>2014-Q4</v>
      </c>
      <c r="U556" s="6" t="str">
        <f>IF(H555="","Pending",IF(Table1[[#This Row],[Days to ship]]&lt;Table1[[#This Row],[RequiredDate]],"On Time","Late"))</f>
        <v>On Time</v>
      </c>
      <c r="V556">
        <f>_xlfn.XLOOKUP(Table1[[#This Row],[orderID]],Table3[orderID],Table3[unitPrice])</f>
        <v>25.89</v>
      </c>
    </row>
    <row r="557" spans="1:22" x14ac:dyDescent="0.45">
      <c r="A557" s="3">
        <v>10803</v>
      </c>
      <c r="B557" s="6" t="s">
        <v>219</v>
      </c>
      <c r="C557" s="3">
        <v>4</v>
      </c>
      <c r="D557" s="6" t="str">
        <f>_xlfn.XLOOKUP(Table1[[#This Row],[EmployeeID]],Table4[employeeID],Table4[employeeName])</f>
        <v>Margaret Peacock</v>
      </c>
      <c r="E557" s="1">
        <v>42003</v>
      </c>
      <c r="F557" s="1">
        <v>42031</v>
      </c>
      <c r="G557" s="1">
        <v>42010</v>
      </c>
      <c r="H557" s="3">
        <f>IF(Table1[[#This Row],[ShippedDate]]="","",IF(Table1[[#This Row],[OrderDate]]="","",Table1[[#This Row],[ShippedDate]]-Table1[[#This Row],[OrderDate]]))</f>
        <v>7</v>
      </c>
      <c r="I557" s="3">
        <v>1</v>
      </c>
      <c r="J557" s="2">
        <v>55.23</v>
      </c>
      <c r="K557" s="2">
        <f>SUMIF(order_details!A:A,Table1[[#This Row],[orderID]],order_details!F:F)</f>
        <v>1193.01</v>
      </c>
      <c r="L557" s="9">
        <f>_xlfn.XLOOKUP(Table1[[#This Row],[orderID]],Table3[orderID],Table3[discount])</f>
        <v>0.05</v>
      </c>
      <c r="M557" s="2">
        <f>SUM(Table1[[#This Row],[Sales]],Table1[[#This Row],[freight]])</f>
        <v>1248.24</v>
      </c>
      <c r="N557" s="3">
        <f>_xlfn.XLOOKUP(Table1[[#This Row],[orderID]],Table3[orderID],Table3[quantity])</f>
        <v>24</v>
      </c>
      <c r="O557" s="6" t="str">
        <f>_xlfn.XLOOKUP(Table1[[#This Row],[CustomerID]],customers!A:A,customers!B:B)</f>
        <v>Wellington Importadora</v>
      </c>
      <c r="P557" s="6" t="str">
        <f>_xlfn.XLOOKUP(Table1[[#This Row],[shipperID]],Table6[shipperID],Table6[companyName])</f>
        <v>Speedy Express</v>
      </c>
      <c r="Q557">
        <f>YEAR(Table1[[#This Row],[OrderDate]])</f>
        <v>2014</v>
      </c>
      <c r="R557">
        <f>MONTH(Table1[[#This Row],[OrderDate]])</f>
        <v>12</v>
      </c>
      <c r="S557" t="str">
        <f>"Q"&amp;ROUNDUP(Table1[[#This Row],[month]]/3,0)</f>
        <v>Q4</v>
      </c>
      <c r="T557" t="str">
        <f>CONCATENATE(Table1[[#This Row],[year]],"-",Table1[[#This Row],[Quarter]])</f>
        <v>2014-Q4</v>
      </c>
      <c r="U557" s="6" t="str">
        <f>IF(H556="","Pending",IF(Table1[[#This Row],[Days to ship]]&lt;Table1[[#This Row],[RequiredDate]],"On Time","Late"))</f>
        <v>On Time</v>
      </c>
      <c r="V557">
        <f>_xlfn.XLOOKUP(Table1[[#This Row],[orderID]],Table3[orderID],Table3[unitPrice])</f>
        <v>9.1999999999999993</v>
      </c>
    </row>
    <row r="558" spans="1:22" x14ac:dyDescent="0.45">
      <c r="A558" s="3">
        <v>10804</v>
      </c>
      <c r="B558" s="6" t="s">
        <v>226</v>
      </c>
      <c r="C558" s="3">
        <v>6</v>
      </c>
      <c r="D558" s="6" t="str">
        <f>_xlfn.XLOOKUP(Table1[[#This Row],[EmployeeID]],Table4[employeeID],Table4[employeeName])</f>
        <v>Michael Suyama</v>
      </c>
      <c r="E558" s="1">
        <v>42003</v>
      </c>
      <c r="F558" s="1">
        <v>42031</v>
      </c>
      <c r="G558" s="1">
        <v>42011</v>
      </c>
      <c r="H558" s="3">
        <f>IF(Table1[[#This Row],[ShippedDate]]="","",IF(Table1[[#This Row],[OrderDate]]="","",Table1[[#This Row],[ShippedDate]]-Table1[[#This Row],[OrderDate]]))</f>
        <v>8</v>
      </c>
      <c r="I558" s="3">
        <v>2</v>
      </c>
      <c r="J558" s="2">
        <v>27.33</v>
      </c>
      <c r="K558" s="2">
        <f>SUMIF(order_details!A:A,Table1[[#This Row],[orderID]],order_details!F:F)</f>
        <v>2278.4</v>
      </c>
      <c r="L558" s="9">
        <f>_xlfn.XLOOKUP(Table1[[#This Row],[orderID]],Table3[orderID],Table3[discount])</f>
        <v>0</v>
      </c>
      <c r="M558" s="2">
        <f>SUM(Table1[[#This Row],[Sales]],Table1[[#This Row],[freight]])</f>
        <v>2305.73</v>
      </c>
      <c r="N558" s="3">
        <f>_xlfn.XLOOKUP(Table1[[#This Row],[orderID]],Table3[orderID],Table3[quantity])</f>
        <v>36</v>
      </c>
      <c r="O558" s="6" t="str">
        <f>_xlfn.XLOOKUP(Table1[[#This Row],[CustomerID]],customers!A:A,customers!B:B)</f>
        <v>Seven Seas Imports</v>
      </c>
      <c r="P558" s="6" t="str">
        <f>_xlfn.XLOOKUP(Table1[[#This Row],[shipperID]],Table6[shipperID],Table6[companyName])</f>
        <v>United Package</v>
      </c>
      <c r="Q558">
        <f>YEAR(Table1[[#This Row],[OrderDate]])</f>
        <v>2014</v>
      </c>
      <c r="R558">
        <f>MONTH(Table1[[#This Row],[OrderDate]])</f>
        <v>12</v>
      </c>
      <c r="S558" t="str">
        <f>"Q"&amp;ROUNDUP(Table1[[#This Row],[month]]/3,0)</f>
        <v>Q4</v>
      </c>
      <c r="T558" t="str">
        <f>CONCATENATE(Table1[[#This Row],[year]],"-",Table1[[#This Row],[Quarter]])</f>
        <v>2014-Q4</v>
      </c>
      <c r="U558" s="6" t="str">
        <f>IF(H557="","Pending",IF(Table1[[#This Row],[Days to ship]]&lt;Table1[[#This Row],[RequiredDate]],"On Time","Late"))</f>
        <v>On Time</v>
      </c>
      <c r="V558">
        <f>_xlfn.XLOOKUP(Table1[[#This Row],[orderID]],Table3[orderID],Table3[unitPrice])</f>
        <v>31</v>
      </c>
    </row>
    <row r="559" spans="1:22" x14ac:dyDescent="0.45">
      <c r="A559" s="3">
        <v>10805</v>
      </c>
      <c r="B559" s="6" t="s">
        <v>208</v>
      </c>
      <c r="C559" s="3">
        <v>2</v>
      </c>
      <c r="D559" s="6" t="str">
        <f>_xlfn.XLOOKUP(Table1[[#This Row],[EmployeeID]],Table4[employeeID],Table4[employeeName])</f>
        <v>Andrew Fuller</v>
      </c>
      <c r="E559" s="1">
        <v>42003</v>
      </c>
      <c r="F559" s="1">
        <v>42031</v>
      </c>
      <c r="G559" s="1">
        <v>42013</v>
      </c>
      <c r="H559" s="3">
        <f>IF(Table1[[#This Row],[ShippedDate]]="","",IF(Table1[[#This Row],[OrderDate]]="","",Table1[[#This Row],[ShippedDate]]-Table1[[#This Row],[OrderDate]]))</f>
        <v>10</v>
      </c>
      <c r="I559" s="3">
        <v>3</v>
      </c>
      <c r="J559" s="2">
        <v>237.34</v>
      </c>
      <c r="K559" s="2">
        <f>SUMIF(order_details!A:A,Table1[[#This Row],[orderID]],order_details!F:F)</f>
        <v>2775</v>
      </c>
      <c r="L559" s="9">
        <f>_xlfn.XLOOKUP(Table1[[#This Row],[orderID]],Table3[orderID],Table3[discount])</f>
        <v>0</v>
      </c>
      <c r="M559" s="2">
        <f>SUM(Table1[[#This Row],[Sales]],Table1[[#This Row],[freight]])</f>
        <v>3012.34</v>
      </c>
      <c r="N559" s="3">
        <f>_xlfn.XLOOKUP(Table1[[#This Row],[orderID]],Table3[orderID],Table3[quantity])</f>
        <v>10</v>
      </c>
      <c r="O559" s="6" t="str">
        <f>_xlfn.XLOOKUP(Table1[[#This Row],[CustomerID]],customers!A:A,customers!B:B)</f>
        <v>The Big Cheese</v>
      </c>
      <c r="P559" s="6" t="str">
        <f>_xlfn.XLOOKUP(Table1[[#This Row],[shipperID]],Table6[shipperID],Table6[companyName])</f>
        <v>Federal Shipping</v>
      </c>
      <c r="Q559">
        <f>YEAR(Table1[[#This Row],[OrderDate]])</f>
        <v>2014</v>
      </c>
      <c r="R559">
        <f>MONTH(Table1[[#This Row],[OrderDate]])</f>
        <v>12</v>
      </c>
      <c r="S559" t="str">
        <f>"Q"&amp;ROUNDUP(Table1[[#This Row],[month]]/3,0)</f>
        <v>Q4</v>
      </c>
      <c r="T559" t="str">
        <f>CONCATENATE(Table1[[#This Row],[year]],"-",Table1[[#This Row],[Quarter]])</f>
        <v>2014-Q4</v>
      </c>
      <c r="U559" s="6" t="str">
        <f>IF(H558="","Pending",IF(Table1[[#This Row],[Days to ship]]&lt;Table1[[#This Row],[RequiredDate]],"On Time","Late"))</f>
        <v>On Time</v>
      </c>
      <c r="V559">
        <f>_xlfn.XLOOKUP(Table1[[#This Row],[orderID]],Table3[orderID],Table3[unitPrice])</f>
        <v>14</v>
      </c>
    </row>
    <row r="560" spans="1:22" x14ac:dyDescent="0.45">
      <c r="A560" s="3">
        <v>10806</v>
      </c>
      <c r="B560" s="6" t="s">
        <v>228</v>
      </c>
      <c r="C560" s="3">
        <v>3</v>
      </c>
      <c r="D560" s="6" t="str">
        <f>_xlfn.XLOOKUP(Table1[[#This Row],[EmployeeID]],Table4[employeeID],Table4[employeeName])</f>
        <v>Janet Leverling</v>
      </c>
      <c r="E560" s="1">
        <v>42004</v>
      </c>
      <c r="F560" s="1">
        <v>42032</v>
      </c>
      <c r="G560" s="1">
        <v>42009</v>
      </c>
      <c r="H560" s="3">
        <f>IF(Table1[[#This Row],[ShippedDate]]="","",IF(Table1[[#This Row],[OrderDate]]="","",Table1[[#This Row],[ShippedDate]]-Table1[[#This Row],[OrderDate]]))</f>
        <v>5</v>
      </c>
      <c r="I560" s="3">
        <v>2</v>
      </c>
      <c r="J560" s="2">
        <v>22.11</v>
      </c>
      <c r="K560" s="2">
        <f>SUMIF(order_details!A:A,Table1[[#This Row],[orderID]],order_details!F:F)</f>
        <v>439.6</v>
      </c>
      <c r="L560" s="9">
        <f>_xlfn.XLOOKUP(Table1[[#This Row],[orderID]],Table3[orderID],Table3[discount])</f>
        <v>0.25</v>
      </c>
      <c r="M560" s="2">
        <f>SUM(Table1[[#This Row],[Sales]],Table1[[#This Row],[freight]])</f>
        <v>461.71000000000004</v>
      </c>
      <c r="N560" s="3">
        <f>_xlfn.XLOOKUP(Table1[[#This Row],[orderID]],Table3[orderID],Table3[quantity])</f>
        <v>20</v>
      </c>
      <c r="O560" s="6" t="str">
        <f>_xlfn.XLOOKUP(Table1[[#This Row],[CustomerID]],customers!A:A,customers!B:B)</f>
        <v>Victuailles en stock</v>
      </c>
      <c r="P560" s="6" t="str">
        <f>_xlfn.XLOOKUP(Table1[[#This Row],[shipperID]],Table6[shipperID],Table6[companyName])</f>
        <v>United Package</v>
      </c>
      <c r="Q560">
        <f>YEAR(Table1[[#This Row],[OrderDate]])</f>
        <v>2014</v>
      </c>
      <c r="R560">
        <f>MONTH(Table1[[#This Row],[OrderDate]])</f>
        <v>12</v>
      </c>
      <c r="S560" t="str">
        <f>"Q"&amp;ROUNDUP(Table1[[#This Row],[month]]/3,0)</f>
        <v>Q4</v>
      </c>
      <c r="T560" t="str">
        <f>CONCATENATE(Table1[[#This Row],[year]],"-",Table1[[#This Row],[Quarter]])</f>
        <v>2014-Q4</v>
      </c>
      <c r="U560" s="6" t="str">
        <f>IF(H559="","Pending",IF(Table1[[#This Row],[Days to ship]]&lt;Table1[[#This Row],[RequiredDate]],"On Time","Late"))</f>
        <v>On Time</v>
      </c>
      <c r="V560">
        <f>_xlfn.XLOOKUP(Table1[[#This Row],[orderID]],Table3[orderID],Table3[unitPrice])</f>
        <v>19</v>
      </c>
    </row>
    <row r="561" spans="1:22" x14ac:dyDescent="0.45">
      <c r="A561" s="3">
        <v>10807</v>
      </c>
      <c r="B561" s="6" t="s">
        <v>169</v>
      </c>
      <c r="C561" s="3">
        <v>4</v>
      </c>
      <c r="D561" s="6" t="str">
        <f>_xlfn.XLOOKUP(Table1[[#This Row],[EmployeeID]],Table4[employeeID],Table4[employeeName])</f>
        <v>Margaret Peacock</v>
      </c>
      <c r="E561" s="1">
        <v>42004</v>
      </c>
      <c r="F561" s="1">
        <v>42032</v>
      </c>
      <c r="G561" s="1">
        <v>42034</v>
      </c>
      <c r="H561" s="3">
        <f>IF(Table1[[#This Row],[ShippedDate]]="","",IF(Table1[[#This Row],[OrderDate]]="","",Table1[[#This Row],[ShippedDate]]-Table1[[#This Row],[OrderDate]]))</f>
        <v>30</v>
      </c>
      <c r="I561" s="3">
        <v>1</v>
      </c>
      <c r="J561" s="2">
        <v>1.36</v>
      </c>
      <c r="K561" s="2">
        <f>SUMIF(order_details!A:A,Table1[[#This Row],[orderID]],order_details!F:F)</f>
        <v>18.399999999999999</v>
      </c>
      <c r="L561" s="9">
        <f>_xlfn.XLOOKUP(Table1[[#This Row],[orderID]],Table3[orderID],Table3[discount])</f>
        <v>0</v>
      </c>
      <c r="M561" s="2">
        <f>SUM(Table1[[#This Row],[Sales]],Table1[[#This Row],[freight]])</f>
        <v>19.759999999999998</v>
      </c>
      <c r="N561" s="3">
        <f>_xlfn.XLOOKUP(Table1[[#This Row],[orderID]],Table3[orderID],Table3[quantity])</f>
        <v>1</v>
      </c>
      <c r="O561" s="6" t="str">
        <f>_xlfn.XLOOKUP(Table1[[#This Row],[CustomerID]],customers!A:A,customers!B:B)</f>
        <v>Franchi S.p.A.</v>
      </c>
      <c r="P561" s="6" t="str">
        <f>_xlfn.XLOOKUP(Table1[[#This Row],[shipperID]],Table6[shipperID],Table6[companyName])</f>
        <v>Speedy Express</v>
      </c>
      <c r="Q561">
        <f>YEAR(Table1[[#This Row],[OrderDate]])</f>
        <v>2014</v>
      </c>
      <c r="R561">
        <f>MONTH(Table1[[#This Row],[OrderDate]])</f>
        <v>12</v>
      </c>
      <c r="S561" t="str">
        <f>"Q"&amp;ROUNDUP(Table1[[#This Row],[month]]/3,0)</f>
        <v>Q4</v>
      </c>
      <c r="T561" t="str">
        <f>CONCATENATE(Table1[[#This Row],[year]],"-",Table1[[#This Row],[Quarter]])</f>
        <v>2014-Q4</v>
      </c>
      <c r="U561" s="6" t="str">
        <f>IF(H560="","Pending",IF(Table1[[#This Row],[Days to ship]]&lt;Table1[[#This Row],[RequiredDate]],"On Time","Late"))</f>
        <v>On Time</v>
      </c>
      <c r="V561">
        <f>_xlfn.XLOOKUP(Table1[[#This Row],[orderID]],Table3[orderID],Table3[unitPrice])</f>
        <v>18.399999999999999</v>
      </c>
    </row>
    <row r="562" spans="1:22" x14ac:dyDescent="0.45">
      <c r="A562" s="3">
        <v>10808</v>
      </c>
      <c r="B562" s="6" t="s">
        <v>190</v>
      </c>
      <c r="C562" s="3">
        <v>2</v>
      </c>
      <c r="D562" s="6" t="str">
        <f>_xlfn.XLOOKUP(Table1[[#This Row],[EmployeeID]],Table4[employeeID],Table4[employeeName])</f>
        <v>Andrew Fuller</v>
      </c>
      <c r="E562" s="1">
        <v>42005</v>
      </c>
      <c r="F562" s="1">
        <v>42033</v>
      </c>
      <c r="G562" s="1">
        <v>42013</v>
      </c>
      <c r="H562" s="3">
        <f>IF(Table1[[#This Row],[ShippedDate]]="","",IF(Table1[[#This Row],[OrderDate]]="","",Table1[[#This Row],[ShippedDate]]-Table1[[#This Row],[OrderDate]]))</f>
        <v>8</v>
      </c>
      <c r="I562" s="3">
        <v>3</v>
      </c>
      <c r="J562" s="2">
        <v>45.53</v>
      </c>
      <c r="K562" s="2">
        <f>SUMIF(order_details!A:A,Table1[[#This Row],[orderID]],order_details!F:F)</f>
        <v>1411</v>
      </c>
      <c r="L562" s="9">
        <f>_xlfn.XLOOKUP(Table1[[#This Row],[orderID]],Table3[orderID],Table3[discount])</f>
        <v>0.15</v>
      </c>
      <c r="M562" s="2">
        <f>SUM(Table1[[#This Row],[Sales]],Table1[[#This Row],[freight]])</f>
        <v>1456.53</v>
      </c>
      <c r="N562" s="3">
        <f>_xlfn.XLOOKUP(Table1[[#This Row],[orderID]],Table3[orderID],Table3[quantity])</f>
        <v>20</v>
      </c>
      <c r="O562" s="6" t="str">
        <f>_xlfn.XLOOKUP(Table1[[#This Row],[CustomerID]],customers!A:A,customers!B:B)</f>
        <v>Old World Delicatessen</v>
      </c>
      <c r="P562" s="6" t="str">
        <f>_xlfn.XLOOKUP(Table1[[#This Row],[shipperID]],Table6[shipperID],Table6[companyName])</f>
        <v>Federal Shipping</v>
      </c>
      <c r="Q562">
        <f>YEAR(Table1[[#This Row],[OrderDate]])</f>
        <v>2015</v>
      </c>
      <c r="R562">
        <f>MONTH(Table1[[#This Row],[OrderDate]])</f>
        <v>1</v>
      </c>
      <c r="S562" t="str">
        <f>"Q"&amp;ROUNDUP(Table1[[#This Row],[month]]/3,0)</f>
        <v>Q1</v>
      </c>
      <c r="T562" t="str">
        <f>CONCATENATE(Table1[[#This Row],[year]],"-",Table1[[#This Row],[Quarter]])</f>
        <v>2015-Q1</v>
      </c>
      <c r="U562" s="6" t="str">
        <f>IF(H561="","Pending",IF(Table1[[#This Row],[Days to ship]]&lt;Table1[[#This Row],[RequiredDate]],"On Time","Late"))</f>
        <v>On Time</v>
      </c>
      <c r="V562">
        <f>_xlfn.XLOOKUP(Table1[[#This Row],[orderID]],Table3[orderID],Table3[unitPrice])</f>
        <v>38</v>
      </c>
    </row>
    <row r="563" spans="1:22" x14ac:dyDescent="0.45">
      <c r="A563" s="3">
        <v>10809</v>
      </c>
      <c r="B563" s="6" t="s">
        <v>219</v>
      </c>
      <c r="C563" s="3">
        <v>7</v>
      </c>
      <c r="D563" s="6" t="str">
        <f>_xlfn.XLOOKUP(Table1[[#This Row],[EmployeeID]],Table4[employeeID],Table4[employeeName])</f>
        <v>Robert King</v>
      </c>
      <c r="E563" s="1">
        <v>42005</v>
      </c>
      <c r="F563" s="1">
        <v>42033</v>
      </c>
      <c r="G563" s="1">
        <v>42011</v>
      </c>
      <c r="H563" s="3">
        <f>IF(Table1[[#This Row],[ShippedDate]]="","",IF(Table1[[#This Row],[OrderDate]]="","",Table1[[#This Row],[ShippedDate]]-Table1[[#This Row],[OrderDate]]))</f>
        <v>6</v>
      </c>
      <c r="I563" s="3">
        <v>1</v>
      </c>
      <c r="J563" s="2">
        <v>4.87</v>
      </c>
      <c r="K563" s="2">
        <f>SUMIF(order_details!A:A,Table1[[#This Row],[orderID]],order_details!F:F)</f>
        <v>140</v>
      </c>
      <c r="L563" s="9">
        <f>_xlfn.XLOOKUP(Table1[[#This Row],[orderID]],Table3[orderID],Table3[discount])</f>
        <v>0</v>
      </c>
      <c r="M563" s="2">
        <f>SUM(Table1[[#This Row],[Sales]],Table1[[#This Row],[freight]])</f>
        <v>144.87</v>
      </c>
      <c r="N563" s="3">
        <f>_xlfn.XLOOKUP(Table1[[#This Row],[orderID]],Table3[orderID],Table3[quantity])</f>
        <v>20</v>
      </c>
      <c r="O563" s="6" t="str">
        <f>_xlfn.XLOOKUP(Table1[[#This Row],[CustomerID]],customers!A:A,customers!B:B)</f>
        <v>Wellington Importadora</v>
      </c>
      <c r="P563" s="6" t="str">
        <f>_xlfn.XLOOKUP(Table1[[#This Row],[shipperID]],Table6[shipperID],Table6[companyName])</f>
        <v>Speedy Express</v>
      </c>
      <c r="Q563">
        <f>YEAR(Table1[[#This Row],[OrderDate]])</f>
        <v>2015</v>
      </c>
      <c r="R563">
        <f>MONTH(Table1[[#This Row],[OrderDate]])</f>
        <v>1</v>
      </c>
      <c r="S563" t="str">
        <f>"Q"&amp;ROUNDUP(Table1[[#This Row],[month]]/3,0)</f>
        <v>Q1</v>
      </c>
      <c r="T563" t="str">
        <f>CONCATENATE(Table1[[#This Row],[year]],"-",Table1[[#This Row],[Quarter]])</f>
        <v>2015-Q1</v>
      </c>
      <c r="U563" s="6" t="str">
        <f>IF(H562="","Pending",IF(Table1[[#This Row],[Days to ship]]&lt;Table1[[#This Row],[RequiredDate]],"On Time","Late"))</f>
        <v>On Time</v>
      </c>
      <c r="V563">
        <f>_xlfn.XLOOKUP(Table1[[#This Row],[orderID]],Table3[orderID],Table3[unitPrice])</f>
        <v>7</v>
      </c>
    </row>
    <row r="564" spans="1:22" x14ac:dyDescent="0.45">
      <c r="A564" s="3">
        <v>10810</v>
      </c>
      <c r="B564" s="6" t="s">
        <v>233</v>
      </c>
      <c r="C564" s="3">
        <v>2</v>
      </c>
      <c r="D564" s="6" t="str">
        <f>_xlfn.XLOOKUP(Table1[[#This Row],[EmployeeID]],Table4[employeeID],Table4[employeeName])</f>
        <v>Andrew Fuller</v>
      </c>
      <c r="E564" s="1">
        <v>42005</v>
      </c>
      <c r="F564" s="1">
        <v>42033</v>
      </c>
      <c r="G564" s="1">
        <v>42011</v>
      </c>
      <c r="H564" s="3">
        <f>IF(Table1[[#This Row],[ShippedDate]]="","",IF(Table1[[#This Row],[OrderDate]]="","",Table1[[#This Row],[ShippedDate]]-Table1[[#This Row],[OrderDate]]))</f>
        <v>6</v>
      </c>
      <c r="I564" s="3">
        <v>3</v>
      </c>
      <c r="J564" s="2">
        <v>4.33</v>
      </c>
      <c r="K564" s="2">
        <f>SUMIF(order_details!A:A,Table1[[#This Row],[orderID]],order_details!F:F)</f>
        <v>187</v>
      </c>
      <c r="L564" s="9">
        <f>_xlfn.XLOOKUP(Table1[[#This Row],[orderID]],Table3[orderID],Table3[discount])</f>
        <v>0</v>
      </c>
      <c r="M564" s="2">
        <f>SUM(Table1[[#This Row],[Sales]],Table1[[#This Row],[freight]])</f>
        <v>191.33</v>
      </c>
      <c r="N564" s="3">
        <f>_xlfn.XLOOKUP(Table1[[#This Row],[orderID]],Table3[orderID],Table3[quantity])</f>
        <v>7</v>
      </c>
      <c r="O564" s="6" t="str">
        <f>_xlfn.XLOOKUP(Table1[[#This Row],[CustomerID]],customers!A:A,customers!B:B)</f>
        <v>Laughing Bacchus Wine Cellars</v>
      </c>
      <c r="P564" s="6" t="str">
        <f>_xlfn.XLOOKUP(Table1[[#This Row],[shipperID]],Table6[shipperID],Table6[companyName])</f>
        <v>Federal Shipping</v>
      </c>
      <c r="Q564">
        <f>YEAR(Table1[[#This Row],[OrderDate]])</f>
        <v>2015</v>
      </c>
      <c r="R564">
        <f>MONTH(Table1[[#This Row],[OrderDate]])</f>
        <v>1</v>
      </c>
      <c r="S564" t="str">
        <f>"Q"&amp;ROUNDUP(Table1[[#This Row],[month]]/3,0)</f>
        <v>Q1</v>
      </c>
      <c r="T564" t="str">
        <f>CONCATENATE(Table1[[#This Row],[year]],"-",Table1[[#This Row],[Quarter]])</f>
        <v>2015-Q1</v>
      </c>
      <c r="U564" s="6" t="str">
        <f>IF(H563="","Pending",IF(Table1[[#This Row],[Days to ship]]&lt;Table1[[#This Row],[RequiredDate]],"On Time","Late"))</f>
        <v>On Time</v>
      </c>
      <c r="V564">
        <f>_xlfn.XLOOKUP(Table1[[#This Row],[orderID]],Table3[orderID],Table3[unitPrice])</f>
        <v>6</v>
      </c>
    </row>
    <row r="565" spans="1:22" x14ac:dyDescent="0.45">
      <c r="A565" s="3">
        <v>10811</v>
      </c>
      <c r="B565" s="6" t="s">
        <v>187</v>
      </c>
      <c r="C565" s="3">
        <v>8</v>
      </c>
      <c r="D565" s="6" t="str">
        <f>_xlfn.XLOOKUP(Table1[[#This Row],[EmployeeID]],Table4[employeeID],Table4[employeeName])</f>
        <v>Laura Callahan</v>
      </c>
      <c r="E565" s="1">
        <v>42006</v>
      </c>
      <c r="F565" s="1">
        <v>42034</v>
      </c>
      <c r="G565" s="1">
        <v>42012</v>
      </c>
      <c r="H565" s="3">
        <f>IF(Table1[[#This Row],[ShippedDate]]="","",IF(Table1[[#This Row],[OrderDate]]="","",Table1[[#This Row],[ShippedDate]]-Table1[[#This Row],[OrderDate]]))</f>
        <v>6</v>
      </c>
      <c r="I565" s="3">
        <v>1</v>
      </c>
      <c r="J565" s="2">
        <v>31.22</v>
      </c>
      <c r="K565" s="2">
        <f>SUMIF(order_details!A:A,Table1[[#This Row],[orderID]],order_details!F:F)</f>
        <v>852</v>
      </c>
      <c r="L565" s="9">
        <f>_xlfn.XLOOKUP(Table1[[#This Row],[orderID]],Table3[orderID],Table3[discount])</f>
        <v>0</v>
      </c>
      <c r="M565" s="2">
        <f>SUM(Table1[[#This Row],[Sales]],Table1[[#This Row],[freight]])</f>
        <v>883.22</v>
      </c>
      <c r="N565" s="3">
        <f>_xlfn.XLOOKUP(Table1[[#This Row],[orderID]],Table3[orderID],Table3[quantity])</f>
        <v>15</v>
      </c>
      <c r="O565" s="6" t="str">
        <f>_xlfn.XLOOKUP(Table1[[#This Row],[CustomerID]],customers!A:A,customers!B:B)</f>
        <v>LINO-Delicateses</v>
      </c>
      <c r="P565" s="6" t="str">
        <f>_xlfn.XLOOKUP(Table1[[#This Row],[shipperID]],Table6[shipperID],Table6[companyName])</f>
        <v>Speedy Express</v>
      </c>
      <c r="Q565">
        <f>YEAR(Table1[[#This Row],[OrderDate]])</f>
        <v>2015</v>
      </c>
      <c r="R565">
        <f>MONTH(Table1[[#This Row],[OrderDate]])</f>
        <v>1</v>
      </c>
      <c r="S565" t="str">
        <f>"Q"&amp;ROUNDUP(Table1[[#This Row],[month]]/3,0)</f>
        <v>Q1</v>
      </c>
      <c r="T565" t="str">
        <f>CONCATENATE(Table1[[#This Row],[year]],"-",Table1[[#This Row],[Quarter]])</f>
        <v>2015-Q1</v>
      </c>
      <c r="U565" s="6" t="str">
        <f>IF(H564="","Pending",IF(Table1[[#This Row],[Days to ship]]&lt;Table1[[#This Row],[RequiredDate]],"On Time","Late"))</f>
        <v>On Time</v>
      </c>
      <c r="V565">
        <f>_xlfn.XLOOKUP(Table1[[#This Row],[orderID]],Table3[orderID],Table3[unitPrice])</f>
        <v>9.1999999999999993</v>
      </c>
    </row>
    <row r="566" spans="1:22" x14ac:dyDescent="0.45">
      <c r="A566" s="3">
        <v>10812</v>
      </c>
      <c r="B566" s="6" t="s">
        <v>167</v>
      </c>
      <c r="C566" s="3">
        <v>5</v>
      </c>
      <c r="D566" s="6" t="str">
        <f>_xlfn.XLOOKUP(Table1[[#This Row],[EmployeeID]],Table4[employeeID],Table4[employeeName])</f>
        <v>Steven Buchanan</v>
      </c>
      <c r="E566" s="1">
        <v>42006</v>
      </c>
      <c r="F566" s="1">
        <v>42034</v>
      </c>
      <c r="G566" s="1">
        <v>42016</v>
      </c>
      <c r="H566" s="3">
        <f>IF(Table1[[#This Row],[ShippedDate]]="","",IF(Table1[[#This Row],[OrderDate]]="","",Table1[[#This Row],[ShippedDate]]-Table1[[#This Row],[OrderDate]]))</f>
        <v>10</v>
      </c>
      <c r="I566" s="3">
        <v>1</v>
      </c>
      <c r="J566" s="2">
        <v>59.78</v>
      </c>
      <c r="K566" s="2">
        <f>SUMIF(order_details!A:A,Table1[[#This Row],[orderID]],order_details!F:F)</f>
        <v>1692.8</v>
      </c>
      <c r="L566" s="9">
        <f>_xlfn.XLOOKUP(Table1[[#This Row],[orderID]],Table3[orderID],Table3[discount])</f>
        <v>0.1</v>
      </c>
      <c r="M566" s="2">
        <f>SUM(Table1[[#This Row],[Sales]],Table1[[#This Row],[freight]])</f>
        <v>1752.58</v>
      </c>
      <c r="N566" s="3">
        <f>_xlfn.XLOOKUP(Table1[[#This Row],[orderID]],Table3[orderID],Table3[quantity])</f>
        <v>16</v>
      </c>
      <c r="O566" s="6" t="str">
        <f>_xlfn.XLOOKUP(Table1[[#This Row],[CustomerID]],customers!A:A,customers!B:B)</f>
        <v>Reggiani Caseifici</v>
      </c>
      <c r="P566" s="6" t="str">
        <f>_xlfn.XLOOKUP(Table1[[#This Row],[shipperID]],Table6[shipperID],Table6[companyName])</f>
        <v>Speedy Express</v>
      </c>
      <c r="Q566">
        <f>YEAR(Table1[[#This Row],[OrderDate]])</f>
        <v>2015</v>
      </c>
      <c r="R566">
        <f>MONTH(Table1[[#This Row],[OrderDate]])</f>
        <v>1</v>
      </c>
      <c r="S566" t="str">
        <f>"Q"&amp;ROUNDUP(Table1[[#This Row],[month]]/3,0)</f>
        <v>Q1</v>
      </c>
      <c r="T566" t="str">
        <f>CONCATENATE(Table1[[#This Row],[year]],"-",Table1[[#This Row],[Quarter]])</f>
        <v>2015-Q1</v>
      </c>
      <c r="U566" s="6" t="str">
        <f>IF(H565="","Pending",IF(Table1[[#This Row],[Days to ship]]&lt;Table1[[#This Row],[RequiredDate]],"On Time","Late"))</f>
        <v>On Time</v>
      </c>
      <c r="V566">
        <f>_xlfn.XLOOKUP(Table1[[#This Row],[orderID]],Table3[orderID],Table3[unitPrice])</f>
        <v>12.5</v>
      </c>
    </row>
    <row r="567" spans="1:22" x14ac:dyDescent="0.45">
      <c r="A567" s="3">
        <v>10813</v>
      </c>
      <c r="B567" s="6" t="s">
        <v>170</v>
      </c>
      <c r="C567" s="3">
        <v>1</v>
      </c>
      <c r="D567" s="6" t="str">
        <f>_xlfn.XLOOKUP(Table1[[#This Row],[EmployeeID]],Table4[employeeID],Table4[employeeName])</f>
        <v>Nancy Davolio</v>
      </c>
      <c r="E567" s="1">
        <v>42009</v>
      </c>
      <c r="F567" s="1">
        <v>42037</v>
      </c>
      <c r="G567" s="1">
        <v>42013</v>
      </c>
      <c r="H567" s="3">
        <f>IF(Table1[[#This Row],[ShippedDate]]="","",IF(Table1[[#This Row],[OrderDate]]="","",Table1[[#This Row],[ShippedDate]]-Table1[[#This Row],[OrderDate]]))</f>
        <v>4</v>
      </c>
      <c r="I567" s="3">
        <v>1</v>
      </c>
      <c r="J567" s="2">
        <v>47.38</v>
      </c>
      <c r="K567" s="2">
        <f>SUMIF(order_details!A:A,Table1[[#This Row],[orderID]],order_details!F:F)</f>
        <v>602.4</v>
      </c>
      <c r="L567" s="9">
        <f>_xlfn.XLOOKUP(Table1[[#This Row],[orderID]],Table3[orderID],Table3[discount])</f>
        <v>0.2</v>
      </c>
      <c r="M567" s="2">
        <f>SUM(Table1[[#This Row],[Sales]],Table1[[#This Row],[freight]])</f>
        <v>649.78</v>
      </c>
      <c r="N567" s="3">
        <f>_xlfn.XLOOKUP(Table1[[#This Row],[orderID]],Table3[orderID],Table3[quantity])</f>
        <v>12</v>
      </c>
      <c r="O567" s="6" t="str">
        <f>_xlfn.XLOOKUP(Table1[[#This Row],[CustomerID]],customers!A:A,customers!B:B)</f>
        <v>Ricardo Adocicados</v>
      </c>
      <c r="P567" s="6" t="str">
        <f>_xlfn.XLOOKUP(Table1[[#This Row],[shipperID]],Table6[shipperID],Table6[companyName])</f>
        <v>Speedy Express</v>
      </c>
      <c r="Q567">
        <f>YEAR(Table1[[#This Row],[OrderDate]])</f>
        <v>2015</v>
      </c>
      <c r="R567">
        <f>MONTH(Table1[[#This Row],[OrderDate]])</f>
        <v>1</v>
      </c>
      <c r="S567" t="str">
        <f>"Q"&amp;ROUNDUP(Table1[[#This Row],[month]]/3,0)</f>
        <v>Q1</v>
      </c>
      <c r="T567" t="str">
        <f>CONCATENATE(Table1[[#This Row],[year]],"-",Table1[[#This Row],[Quarter]])</f>
        <v>2015-Q1</v>
      </c>
      <c r="U567" s="6" t="str">
        <f>IF(H566="","Pending",IF(Table1[[#This Row],[Days to ship]]&lt;Table1[[#This Row],[RequiredDate]],"On Time","Late"))</f>
        <v>On Time</v>
      </c>
      <c r="V567">
        <f>_xlfn.XLOOKUP(Table1[[#This Row],[orderID]],Table3[orderID],Table3[unitPrice])</f>
        <v>19</v>
      </c>
    </row>
    <row r="568" spans="1:22" x14ac:dyDescent="0.45">
      <c r="A568" s="3">
        <v>10814</v>
      </c>
      <c r="B568" s="6" t="s">
        <v>228</v>
      </c>
      <c r="C568" s="3">
        <v>3</v>
      </c>
      <c r="D568" s="6" t="str">
        <f>_xlfn.XLOOKUP(Table1[[#This Row],[EmployeeID]],Table4[employeeID],Table4[employeeName])</f>
        <v>Janet Leverling</v>
      </c>
      <c r="E568" s="1">
        <v>42009</v>
      </c>
      <c r="F568" s="1">
        <v>42037</v>
      </c>
      <c r="G568" s="1">
        <v>42018</v>
      </c>
      <c r="H568" s="3">
        <f>IF(Table1[[#This Row],[ShippedDate]]="","",IF(Table1[[#This Row],[OrderDate]]="","",Table1[[#This Row],[ShippedDate]]-Table1[[#This Row],[OrderDate]]))</f>
        <v>9</v>
      </c>
      <c r="I568" s="3">
        <v>3</v>
      </c>
      <c r="J568" s="2">
        <v>130.94</v>
      </c>
      <c r="K568" s="2">
        <f>SUMIF(order_details!A:A,Table1[[#This Row],[orderID]],order_details!F:F)</f>
        <v>1788.45</v>
      </c>
      <c r="L568" s="9">
        <f>_xlfn.XLOOKUP(Table1[[#This Row],[orderID]],Table3[orderID],Table3[discount])</f>
        <v>0</v>
      </c>
      <c r="M568" s="2">
        <f>SUM(Table1[[#This Row],[Sales]],Table1[[#This Row],[freight]])</f>
        <v>1919.39</v>
      </c>
      <c r="N568" s="3">
        <f>_xlfn.XLOOKUP(Table1[[#This Row],[orderID]],Table3[orderID],Table3[quantity])</f>
        <v>20</v>
      </c>
      <c r="O568" s="6" t="str">
        <f>_xlfn.XLOOKUP(Table1[[#This Row],[CustomerID]],customers!A:A,customers!B:B)</f>
        <v>Victuailles en stock</v>
      </c>
      <c r="P568" s="6" t="str">
        <f>_xlfn.XLOOKUP(Table1[[#This Row],[shipperID]],Table6[shipperID],Table6[companyName])</f>
        <v>Federal Shipping</v>
      </c>
      <c r="Q568">
        <f>YEAR(Table1[[#This Row],[OrderDate]])</f>
        <v>2015</v>
      </c>
      <c r="R568">
        <f>MONTH(Table1[[#This Row],[OrderDate]])</f>
        <v>1</v>
      </c>
      <c r="S568" t="str">
        <f>"Q"&amp;ROUNDUP(Table1[[#This Row],[month]]/3,0)</f>
        <v>Q1</v>
      </c>
      <c r="T568" t="str">
        <f>CONCATENATE(Table1[[#This Row],[year]],"-",Table1[[#This Row],[Quarter]])</f>
        <v>2015-Q1</v>
      </c>
      <c r="U568" s="6" t="str">
        <f>IF(H567="","Pending",IF(Table1[[#This Row],[Days to ship]]&lt;Table1[[#This Row],[RequiredDate]],"On Time","Late"))</f>
        <v>On Time</v>
      </c>
      <c r="V568">
        <f>_xlfn.XLOOKUP(Table1[[#This Row],[orderID]],Table3[orderID],Table3[unitPrice])</f>
        <v>9.65</v>
      </c>
    </row>
    <row r="569" spans="1:22" x14ac:dyDescent="0.45">
      <c r="A569" s="3">
        <v>10815</v>
      </c>
      <c r="B569" s="6" t="s">
        <v>165</v>
      </c>
      <c r="C569" s="3">
        <v>2</v>
      </c>
      <c r="D569" s="6" t="str">
        <f>_xlfn.XLOOKUP(Table1[[#This Row],[EmployeeID]],Table4[employeeID],Table4[employeeName])</f>
        <v>Andrew Fuller</v>
      </c>
      <c r="E569" s="1">
        <v>42009</v>
      </c>
      <c r="F569" s="1">
        <v>42037</v>
      </c>
      <c r="G569" s="1">
        <v>42018</v>
      </c>
      <c r="H569" s="3">
        <f>IF(Table1[[#This Row],[ShippedDate]]="","",IF(Table1[[#This Row],[OrderDate]]="","",Table1[[#This Row],[ShippedDate]]-Table1[[#This Row],[OrderDate]]))</f>
        <v>9</v>
      </c>
      <c r="I569" s="3">
        <v>3</v>
      </c>
      <c r="J569" s="2">
        <v>14.62</v>
      </c>
      <c r="K569" s="2">
        <f>SUMIF(order_details!A:A,Table1[[#This Row],[orderID]],order_details!F:F)</f>
        <v>40</v>
      </c>
      <c r="L569" s="9">
        <f>_xlfn.XLOOKUP(Table1[[#This Row],[orderID]],Table3[orderID],Table3[discount])</f>
        <v>0</v>
      </c>
      <c r="M569" s="2">
        <f>SUM(Table1[[#This Row],[Sales]],Table1[[#This Row],[freight]])</f>
        <v>54.62</v>
      </c>
      <c r="N569" s="3">
        <f>_xlfn.XLOOKUP(Table1[[#This Row],[orderID]],Table3[orderID],Table3[quantity])</f>
        <v>16</v>
      </c>
      <c r="O569" s="6" t="str">
        <f>_xlfn.XLOOKUP(Table1[[#This Row],[CustomerID]],customers!A:A,customers!B:B)</f>
        <v>Save-a-lot Markets</v>
      </c>
      <c r="P569" s="6" t="str">
        <f>_xlfn.XLOOKUP(Table1[[#This Row],[shipperID]],Table6[shipperID],Table6[companyName])</f>
        <v>Federal Shipping</v>
      </c>
      <c r="Q569">
        <f>YEAR(Table1[[#This Row],[OrderDate]])</f>
        <v>2015</v>
      </c>
      <c r="R569">
        <f>MONTH(Table1[[#This Row],[OrderDate]])</f>
        <v>1</v>
      </c>
      <c r="S569" t="str">
        <f>"Q"&amp;ROUNDUP(Table1[[#This Row],[month]]/3,0)</f>
        <v>Q1</v>
      </c>
      <c r="T569" t="str">
        <f>CONCATENATE(Table1[[#This Row],[year]],"-",Table1[[#This Row],[Quarter]])</f>
        <v>2015-Q1</v>
      </c>
      <c r="U569" s="6" t="str">
        <f>IF(H568="","Pending",IF(Table1[[#This Row],[Days to ship]]&lt;Table1[[#This Row],[RequiredDate]],"On Time","Late"))</f>
        <v>On Time</v>
      </c>
      <c r="V569">
        <f>_xlfn.XLOOKUP(Table1[[#This Row],[orderID]],Table3[orderID],Table3[unitPrice])</f>
        <v>2.5</v>
      </c>
    </row>
    <row r="570" spans="1:22" x14ac:dyDescent="0.45">
      <c r="A570" s="3">
        <v>10816</v>
      </c>
      <c r="B570" s="6" t="s">
        <v>168</v>
      </c>
      <c r="C570" s="3">
        <v>4</v>
      </c>
      <c r="D570" s="6" t="str">
        <f>_xlfn.XLOOKUP(Table1[[#This Row],[EmployeeID]],Table4[employeeID],Table4[employeeName])</f>
        <v>Margaret Peacock</v>
      </c>
      <c r="E570" s="1">
        <v>42010</v>
      </c>
      <c r="F570" s="1">
        <v>42038</v>
      </c>
      <c r="G570" s="1">
        <v>42039</v>
      </c>
      <c r="H570" s="3">
        <f>IF(Table1[[#This Row],[ShippedDate]]="","",IF(Table1[[#This Row],[OrderDate]]="","",Table1[[#This Row],[ShippedDate]]-Table1[[#This Row],[OrderDate]]))</f>
        <v>29</v>
      </c>
      <c r="I570" s="3">
        <v>2</v>
      </c>
      <c r="J570" s="2">
        <v>719.78</v>
      </c>
      <c r="K570" s="2">
        <f>SUMIF(order_details!A:A,Table1[[#This Row],[orderID]],order_details!F:F)</f>
        <v>8446.4500000000007</v>
      </c>
      <c r="L570" s="9">
        <f>_xlfn.XLOOKUP(Table1[[#This Row],[orderID]],Table3[orderID],Table3[discount])</f>
        <v>0.05</v>
      </c>
      <c r="M570" s="2">
        <f>SUM(Table1[[#This Row],[Sales]],Table1[[#This Row],[freight]])</f>
        <v>9166.2300000000014</v>
      </c>
      <c r="N570" s="3">
        <f>_xlfn.XLOOKUP(Table1[[#This Row],[orderID]],Table3[orderID],Table3[quantity])</f>
        <v>30</v>
      </c>
      <c r="O570" s="6" t="str">
        <f>_xlfn.XLOOKUP(Table1[[#This Row],[CustomerID]],customers!A:A,customers!B:B)</f>
        <v>Great Lakes Food Market</v>
      </c>
      <c r="P570" s="6" t="str">
        <f>_xlfn.XLOOKUP(Table1[[#This Row],[shipperID]],Table6[shipperID],Table6[companyName])</f>
        <v>United Package</v>
      </c>
      <c r="Q570">
        <f>YEAR(Table1[[#This Row],[OrderDate]])</f>
        <v>2015</v>
      </c>
      <c r="R570">
        <f>MONTH(Table1[[#This Row],[OrderDate]])</f>
        <v>1</v>
      </c>
      <c r="S570" t="str">
        <f>"Q"&amp;ROUNDUP(Table1[[#This Row],[month]]/3,0)</f>
        <v>Q1</v>
      </c>
      <c r="T570" t="str">
        <f>CONCATENATE(Table1[[#This Row],[year]],"-",Table1[[#This Row],[Quarter]])</f>
        <v>2015-Q1</v>
      </c>
      <c r="U570" s="6" t="str">
        <f>IF(H569="","Pending",IF(Table1[[#This Row],[Days to ship]]&lt;Table1[[#This Row],[RequiredDate]],"On Time","Late"))</f>
        <v>On Time</v>
      </c>
      <c r="V570">
        <f>_xlfn.XLOOKUP(Table1[[#This Row],[orderID]],Table3[orderID],Table3[unitPrice])</f>
        <v>263.5</v>
      </c>
    </row>
    <row r="571" spans="1:22" x14ac:dyDescent="0.45">
      <c r="A571" s="3">
        <v>10817</v>
      </c>
      <c r="B571" s="6" t="s">
        <v>191</v>
      </c>
      <c r="C571" s="3">
        <v>3</v>
      </c>
      <c r="D571" s="6" t="str">
        <f>_xlfn.XLOOKUP(Table1[[#This Row],[EmployeeID]],Table4[employeeID],Table4[employeeName])</f>
        <v>Janet Leverling</v>
      </c>
      <c r="E571" s="1">
        <v>42010</v>
      </c>
      <c r="F571" s="1">
        <v>42024</v>
      </c>
      <c r="G571" s="1">
        <v>42017</v>
      </c>
      <c r="H571" s="3">
        <f>IF(Table1[[#This Row],[ShippedDate]]="","",IF(Table1[[#This Row],[OrderDate]]="","",Table1[[#This Row],[ShippedDate]]-Table1[[#This Row],[OrderDate]]))</f>
        <v>7</v>
      </c>
      <c r="I571" s="3">
        <v>2</v>
      </c>
      <c r="J571" s="2">
        <v>306.07</v>
      </c>
      <c r="K571" s="2">
        <f>SUMIF(order_details!A:A,Table1[[#This Row],[orderID]],order_details!F:F)</f>
        <v>10952.844999999999</v>
      </c>
      <c r="L571" s="9">
        <f>_xlfn.XLOOKUP(Table1[[#This Row],[orderID]],Table3[orderID],Table3[discount])</f>
        <v>0.15</v>
      </c>
      <c r="M571" s="2">
        <f>SUM(Table1[[#This Row],[Sales]],Table1[[#This Row],[freight]])</f>
        <v>11258.914999999999</v>
      </c>
      <c r="N571" s="3">
        <f>_xlfn.XLOOKUP(Table1[[#This Row],[orderID]],Table3[orderID],Table3[quantity])</f>
        <v>40</v>
      </c>
      <c r="O571" s="6" t="str">
        <f>_xlfn.XLOOKUP(Table1[[#This Row],[CustomerID]],customers!A:A,customers!B:B)</f>
        <v>Königlich Essen</v>
      </c>
      <c r="P571" s="6" t="str">
        <f>_xlfn.XLOOKUP(Table1[[#This Row],[shipperID]],Table6[shipperID],Table6[companyName])</f>
        <v>United Package</v>
      </c>
      <c r="Q571">
        <f>YEAR(Table1[[#This Row],[OrderDate]])</f>
        <v>2015</v>
      </c>
      <c r="R571">
        <f>MONTH(Table1[[#This Row],[OrderDate]])</f>
        <v>1</v>
      </c>
      <c r="S571" t="str">
        <f>"Q"&amp;ROUNDUP(Table1[[#This Row],[month]]/3,0)</f>
        <v>Q1</v>
      </c>
      <c r="T571" t="str">
        <f>CONCATENATE(Table1[[#This Row],[year]],"-",Table1[[#This Row],[Quarter]])</f>
        <v>2015-Q1</v>
      </c>
      <c r="U571" s="6" t="str">
        <f>IF(H570="","Pending",IF(Table1[[#This Row],[Days to ship]]&lt;Table1[[#This Row],[RequiredDate]],"On Time","Late"))</f>
        <v>On Time</v>
      </c>
      <c r="V571">
        <f>_xlfn.XLOOKUP(Table1[[#This Row],[orderID]],Table3[orderID],Table3[unitPrice])</f>
        <v>31.23</v>
      </c>
    </row>
    <row r="572" spans="1:22" x14ac:dyDescent="0.45">
      <c r="A572" s="3">
        <v>10818</v>
      </c>
      <c r="B572" s="6" t="s">
        <v>217</v>
      </c>
      <c r="C572" s="3">
        <v>7</v>
      </c>
      <c r="D572" s="6" t="str">
        <f>_xlfn.XLOOKUP(Table1[[#This Row],[EmployeeID]],Table4[employeeID],Table4[employeeName])</f>
        <v>Robert King</v>
      </c>
      <c r="E572" s="1">
        <v>42011</v>
      </c>
      <c r="F572" s="1">
        <v>42039</v>
      </c>
      <c r="G572" s="1">
        <v>42016</v>
      </c>
      <c r="H572" s="3">
        <f>IF(Table1[[#This Row],[ShippedDate]]="","",IF(Table1[[#This Row],[OrderDate]]="","",Table1[[#This Row],[ShippedDate]]-Table1[[#This Row],[OrderDate]]))</f>
        <v>5</v>
      </c>
      <c r="I572" s="3">
        <v>3</v>
      </c>
      <c r="J572" s="2">
        <v>65.48</v>
      </c>
      <c r="K572" s="2">
        <f>SUMIF(order_details!A:A,Table1[[#This Row],[orderID]],order_details!F:F)</f>
        <v>833</v>
      </c>
      <c r="L572" s="9">
        <f>_xlfn.XLOOKUP(Table1[[#This Row],[orderID]],Table3[orderID],Table3[discount])</f>
        <v>0</v>
      </c>
      <c r="M572" s="2">
        <f>SUM(Table1[[#This Row],[Sales]],Table1[[#This Row],[freight]])</f>
        <v>898.48</v>
      </c>
      <c r="N572" s="3">
        <f>_xlfn.XLOOKUP(Table1[[#This Row],[orderID]],Table3[orderID],Table3[quantity])</f>
        <v>20</v>
      </c>
      <c r="O572" s="6" t="str">
        <f>_xlfn.XLOOKUP(Table1[[#This Row],[CustomerID]],customers!A:A,customers!B:B)</f>
        <v>Magazzini Alimentari Riuniti</v>
      </c>
      <c r="P572" s="6" t="str">
        <f>_xlfn.XLOOKUP(Table1[[#This Row],[shipperID]],Table6[shipperID],Table6[companyName])</f>
        <v>Federal Shipping</v>
      </c>
      <c r="Q572">
        <f>YEAR(Table1[[#This Row],[OrderDate]])</f>
        <v>2015</v>
      </c>
      <c r="R572">
        <f>MONTH(Table1[[#This Row],[OrderDate]])</f>
        <v>1</v>
      </c>
      <c r="S572" t="str">
        <f>"Q"&amp;ROUNDUP(Table1[[#This Row],[month]]/3,0)</f>
        <v>Q1</v>
      </c>
      <c r="T572" t="str">
        <f>CONCATENATE(Table1[[#This Row],[year]],"-",Table1[[#This Row],[Quarter]])</f>
        <v>2015-Q1</v>
      </c>
      <c r="U572" s="6" t="str">
        <f>IF(H571="","Pending",IF(Table1[[#This Row],[Days to ship]]&lt;Table1[[#This Row],[RequiredDate]],"On Time","Late"))</f>
        <v>On Time</v>
      </c>
      <c r="V572">
        <f>_xlfn.XLOOKUP(Table1[[#This Row],[orderID]],Table3[orderID],Table3[unitPrice])</f>
        <v>32</v>
      </c>
    </row>
    <row r="573" spans="1:22" x14ac:dyDescent="0.45">
      <c r="A573" s="3">
        <v>10819</v>
      </c>
      <c r="B573" s="6" t="s">
        <v>175</v>
      </c>
      <c r="C573" s="3">
        <v>2</v>
      </c>
      <c r="D573" s="6" t="str">
        <f>_xlfn.XLOOKUP(Table1[[#This Row],[EmployeeID]],Table4[employeeID],Table4[employeeName])</f>
        <v>Andrew Fuller</v>
      </c>
      <c r="E573" s="1">
        <v>42011</v>
      </c>
      <c r="F573" s="1">
        <v>42039</v>
      </c>
      <c r="G573" s="1">
        <v>42020</v>
      </c>
      <c r="H573" s="3">
        <f>IF(Table1[[#This Row],[ShippedDate]]="","",IF(Table1[[#This Row],[OrderDate]]="","",Table1[[#This Row],[ShippedDate]]-Table1[[#This Row],[OrderDate]]))</f>
        <v>9</v>
      </c>
      <c r="I573" s="3">
        <v>3</v>
      </c>
      <c r="J573" s="2">
        <v>19.760000000000002</v>
      </c>
      <c r="K573" s="2">
        <f>SUMIF(order_details!A:A,Table1[[#This Row],[orderID]],order_details!F:F)</f>
        <v>477</v>
      </c>
      <c r="L573" s="9">
        <f>_xlfn.XLOOKUP(Table1[[#This Row],[orderID]],Table3[orderID],Table3[discount])</f>
        <v>0</v>
      </c>
      <c r="M573" s="2">
        <f>SUM(Table1[[#This Row],[Sales]],Table1[[#This Row],[freight]])</f>
        <v>496.76</v>
      </c>
      <c r="N573" s="3">
        <f>_xlfn.XLOOKUP(Table1[[#This Row],[orderID]],Table3[orderID],Table3[quantity])</f>
        <v>7</v>
      </c>
      <c r="O573" s="6" t="str">
        <f>_xlfn.XLOOKUP(Table1[[#This Row],[CustomerID]],customers!A:A,customers!B:B)</f>
        <v>Cactus Comidas para llevar</v>
      </c>
      <c r="P573" s="6" t="str">
        <f>_xlfn.XLOOKUP(Table1[[#This Row],[shipperID]],Table6[shipperID],Table6[companyName])</f>
        <v>Federal Shipping</v>
      </c>
      <c r="Q573">
        <f>YEAR(Table1[[#This Row],[OrderDate]])</f>
        <v>2015</v>
      </c>
      <c r="R573">
        <f>MONTH(Table1[[#This Row],[OrderDate]])</f>
        <v>1</v>
      </c>
      <c r="S573" t="str">
        <f>"Q"&amp;ROUNDUP(Table1[[#This Row],[month]]/3,0)</f>
        <v>Q1</v>
      </c>
      <c r="T573" t="str">
        <f>CONCATENATE(Table1[[#This Row],[year]],"-",Table1[[#This Row],[Quarter]])</f>
        <v>2015-Q1</v>
      </c>
      <c r="U573" s="6" t="str">
        <f>IF(H572="","Pending",IF(Table1[[#This Row],[Days to ship]]&lt;Table1[[#This Row],[RequiredDate]],"On Time","Late"))</f>
        <v>On Time</v>
      </c>
      <c r="V573">
        <f>_xlfn.XLOOKUP(Table1[[#This Row],[orderID]],Table3[orderID],Table3[unitPrice])</f>
        <v>46</v>
      </c>
    </row>
    <row r="574" spans="1:22" x14ac:dyDescent="0.45">
      <c r="A574" s="3">
        <v>10820</v>
      </c>
      <c r="B574" s="6" t="s">
        <v>153</v>
      </c>
      <c r="C574" s="3">
        <v>3</v>
      </c>
      <c r="D574" s="6" t="str">
        <f>_xlfn.XLOOKUP(Table1[[#This Row],[EmployeeID]],Table4[employeeID],Table4[employeeName])</f>
        <v>Janet Leverling</v>
      </c>
      <c r="E574" s="1">
        <v>42011</v>
      </c>
      <c r="F574" s="1">
        <v>42039</v>
      </c>
      <c r="G574" s="1">
        <v>42017</v>
      </c>
      <c r="H574" s="3">
        <f>IF(Table1[[#This Row],[ShippedDate]]="","",IF(Table1[[#This Row],[OrderDate]]="","",Table1[[#This Row],[ShippedDate]]-Table1[[#This Row],[OrderDate]]))</f>
        <v>6</v>
      </c>
      <c r="I574" s="3">
        <v>2</v>
      </c>
      <c r="J574" s="2">
        <v>37.520000000000003</v>
      </c>
      <c r="K574" s="2">
        <f>SUMIF(order_details!A:A,Table1[[#This Row],[orderID]],order_details!F:F)</f>
        <v>1140</v>
      </c>
      <c r="L574" s="9">
        <f>_xlfn.XLOOKUP(Table1[[#This Row],[orderID]],Table3[orderID],Table3[discount])</f>
        <v>0</v>
      </c>
      <c r="M574" s="2">
        <f>SUM(Table1[[#This Row],[Sales]],Table1[[#This Row],[freight]])</f>
        <v>1177.52</v>
      </c>
      <c r="N574" s="3">
        <f>_xlfn.XLOOKUP(Table1[[#This Row],[orderID]],Table3[orderID],Table3[quantity])</f>
        <v>30</v>
      </c>
      <c r="O574" s="6" t="str">
        <f>_xlfn.XLOOKUP(Table1[[#This Row],[CustomerID]],customers!A:A,customers!B:B)</f>
        <v>Rattlesnake Canyon Grocery</v>
      </c>
      <c r="P574" s="6" t="str">
        <f>_xlfn.XLOOKUP(Table1[[#This Row],[shipperID]],Table6[shipperID],Table6[companyName])</f>
        <v>United Package</v>
      </c>
      <c r="Q574">
        <f>YEAR(Table1[[#This Row],[OrderDate]])</f>
        <v>2015</v>
      </c>
      <c r="R574">
        <f>MONTH(Table1[[#This Row],[OrderDate]])</f>
        <v>1</v>
      </c>
      <c r="S574" t="str">
        <f>"Q"&amp;ROUNDUP(Table1[[#This Row],[month]]/3,0)</f>
        <v>Q1</v>
      </c>
      <c r="T574" t="str">
        <f>CONCATENATE(Table1[[#This Row],[year]],"-",Table1[[#This Row],[Quarter]])</f>
        <v>2015-Q1</v>
      </c>
      <c r="U574" s="6" t="str">
        <f>IF(H573="","Pending",IF(Table1[[#This Row],[Days to ship]]&lt;Table1[[#This Row],[RequiredDate]],"On Time","Late"))</f>
        <v>On Time</v>
      </c>
      <c r="V574">
        <f>_xlfn.XLOOKUP(Table1[[#This Row],[orderID]],Table3[orderID],Table3[unitPrice])</f>
        <v>38</v>
      </c>
    </row>
    <row r="575" spans="1:22" x14ac:dyDescent="0.45">
      <c r="A575" s="3">
        <v>10821</v>
      </c>
      <c r="B575" s="6" t="s">
        <v>211</v>
      </c>
      <c r="C575" s="3">
        <v>1</v>
      </c>
      <c r="D575" s="6" t="str">
        <f>_xlfn.XLOOKUP(Table1[[#This Row],[EmployeeID]],Table4[employeeID],Table4[employeeName])</f>
        <v>Nancy Davolio</v>
      </c>
      <c r="E575" s="1">
        <v>42012</v>
      </c>
      <c r="F575" s="1">
        <v>42040</v>
      </c>
      <c r="G575" s="1">
        <v>42019</v>
      </c>
      <c r="H575" s="3">
        <f>IF(Table1[[#This Row],[ShippedDate]]="","",IF(Table1[[#This Row],[OrderDate]]="","",Table1[[#This Row],[ShippedDate]]-Table1[[#This Row],[OrderDate]]))</f>
        <v>7</v>
      </c>
      <c r="I575" s="3">
        <v>1</v>
      </c>
      <c r="J575" s="2">
        <v>36.68</v>
      </c>
      <c r="K575" s="2">
        <f>SUMIF(order_details!A:A,Table1[[#This Row],[orderID]],order_details!F:F)</f>
        <v>678</v>
      </c>
      <c r="L575" s="9">
        <f>_xlfn.XLOOKUP(Table1[[#This Row],[orderID]],Table3[orderID],Table3[discount])</f>
        <v>0</v>
      </c>
      <c r="M575" s="2">
        <f>SUM(Table1[[#This Row],[Sales]],Table1[[#This Row],[freight]])</f>
        <v>714.68</v>
      </c>
      <c r="N575" s="3">
        <f>_xlfn.XLOOKUP(Table1[[#This Row],[orderID]],Table3[orderID],Table3[quantity])</f>
        <v>20</v>
      </c>
      <c r="O575" s="6" t="str">
        <f>_xlfn.XLOOKUP(Table1[[#This Row],[CustomerID]],customers!A:A,customers!B:B)</f>
        <v>Split Rail Beer &amp; Ale</v>
      </c>
      <c r="P575" s="6" t="str">
        <f>_xlfn.XLOOKUP(Table1[[#This Row],[shipperID]],Table6[shipperID],Table6[companyName])</f>
        <v>Speedy Express</v>
      </c>
      <c r="Q575">
        <f>YEAR(Table1[[#This Row],[OrderDate]])</f>
        <v>2015</v>
      </c>
      <c r="R575">
        <f>MONTH(Table1[[#This Row],[OrderDate]])</f>
        <v>1</v>
      </c>
      <c r="S575" t="str">
        <f>"Q"&amp;ROUNDUP(Table1[[#This Row],[month]]/3,0)</f>
        <v>Q1</v>
      </c>
      <c r="T575" t="str">
        <f>CONCATENATE(Table1[[#This Row],[year]],"-",Table1[[#This Row],[Quarter]])</f>
        <v>2015-Q1</v>
      </c>
      <c r="U575" s="6" t="str">
        <f>IF(H574="","Pending",IF(Table1[[#This Row],[Days to ship]]&lt;Table1[[#This Row],[RequiredDate]],"On Time","Late"))</f>
        <v>On Time</v>
      </c>
      <c r="V575">
        <f>_xlfn.XLOOKUP(Table1[[#This Row],[orderID]],Table3[orderID],Table3[unitPrice])</f>
        <v>18</v>
      </c>
    </row>
    <row r="576" spans="1:22" x14ac:dyDescent="0.45">
      <c r="A576" s="3">
        <v>10822</v>
      </c>
      <c r="B576" s="6" t="s">
        <v>232</v>
      </c>
      <c r="C576" s="3">
        <v>6</v>
      </c>
      <c r="D576" s="6" t="str">
        <f>_xlfn.XLOOKUP(Table1[[#This Row],[EmployeeID]],Table4[employeeID],Table4[employeeName])</f>
        <v>Michael Suyama</v>
      </c>
      <c r="E576" s="1">
        <v>42012</v>
      </c>
      <c r="F576" s="1">
        <v>42040</v>
      </c>
      <c r="G576" s="1">
        <v>42020</v>
      </c>
      <c r="H576" s="3">
        <f>IF(Table1[[#This Row],[ShippedDate]]="","",IF(Table1[[#This Row],[OrderDate]]="","",Table1[[#This Row],[ShippedDate]]-Table1[[#This Row],[OrderDate]]))</f>
        <v>8</v>
      </c>
      <c r="I576" s="3">
        <v>3</v>
      </c>
      <c r="J576" s="2">
        <v>7</v>
      </c>
      <c r="K576" s="2">
        <f>SUMIF(order_details!A:A,Table1[[#This Row],[orderID]],order_details!F:F)</f>
        <v>237.89999999999998</v>
      </c>
      <c r="L576" s="9">
        <f>_xlfn.XLOOKUP(Table1[[#This Row],[orderID]],Table3[orderID],Table3[discount])</f>
        <v>0</v>
      </c>
      <c r="M576" s="2">
        <f>SUM(Table1[[#This Row],[Sales]],Table1[[#This Row],[freight]])</f>
        <v>244.89999999999998</v>
      </c>
      <c r="N576" s="3">
        <f>_xlfn.XLOOKUP(Table1[[#This Row],[orderID]],Table3[orderID],Table3[quantity])</f>
        <v>3</v>
      </c>
      <c r="O576" s="6" t="str">
        <f>_xlfn.XLOOKUP(Table1[[#This Row],[CustomerID]],customers!A:A,customers!B:B)</f>
        <v>Trail's Head Gourmet Provisioners</v>
      </c>
      <c r="P576" s="6" t="str">
        <f>_xlfn.XLOOKUP(Table1[[#This Row],[shipperID]],Table6[shipperID],Table6[companyName])</f>
        <v>Federal Shipping</v>
      </c>
      <c r="Q576">
        <f>YEAR(Table1[[#This Row],[OrderDate]])</f>
        <v>2015</v>
      </c>
      <c r="R576">
        <f>MONTH(Table1[[#This Row],[OrderDate]])</f>
        <v>1</v>
      </c>
      <c r="S576" t="str">
        <f>"Q"&amp;ROUNDUP(Table1[[#This Row],[month]]/3,0)</f>
        <v>Q1</v>
      </c>
      <c r="T576" t="str">
        <f>CONCATENATE(Table1[[#This Row],[year]],"-",Table1[[#This Row],[Quarter]])</f>
        <v>2015-Q1</v>
      </c>
      <c r="U576" s="6" t="str">
        <f>IF(H575="","Pending",IF(Table1[[#This Row],[Days to ship]]&lt;Table1[[#This Row],[RequiredDate]],"On Time","Late"))</f>
        <v>On Time</v>
      </c>
      <c r="V576">
        <f>_xlfn.XLOOKUP(Table1[[#This Row],[orderID]],Table3[orderID],Table3[unitPrice])</f>
        <v>49.3</v>
      </c>
    </row>
    <row r="577" spans="1:22" x14ac:dyDescent="0.45">
      <c r="A577" s="3">
        <v>10823</v>
      </c>
      <c r="B577" s="6" t="s">
        <v>159</v>
      </c>
      <c r="C577" s="3">
        <v>5</v>
      </c>
      <c r="D577" s="6" t="str">
        <f>_xlfn.XLOOKUP(Table1[[#This Row],[EmployeeID]],Table4[employeeID],Table4[employeeName])</f>
        <v>Steven Buchanan</v>
      </c>
      <c r="E577" s="1">
        <v>42013</v>
      </c>
      <c r="F577" s="1">
        <v>42041</v>
      </c>
      <c r="G577" s="1">
        <v>42017</v>
      </c>
      <c r="H577" s="3">
        <f>IF(Table1[[#This Row],[ShippedDate]]="","",IF(Table1[[#This Row],[OrderDate]]="","",Table1[[#This Row],[ShippedDate]]-Table1[[#This Row],[OrderDate]]))</f>
        <v>4</v>
      </c>
      <c r="I577" s="3">
        <v>2</v>
      </c>
      <c r="J577" s="2">
        <v>163.97</v>
      </c>
      <c r="K577" s="2">
        <f>SUMIF(order_details!A:A,Table1[[#This Row],[orderID]],order_details!F:F)</f>
        <v>2826</v>
      </c>
      <c r="L577" s="9">
        <f>_xlfn.XLOOKUP(Table1[[#This Row],[orderID]],Table3[orderID],Table3[discount])</f>
        <v>0.1</v>
      </c>
      <c r="M577" s="2">
        <f>SUM(Table1[[#This Row],[Sales]],Table1[[#This Row],[freight]])</f>
        <v>2989.97</v>
      </c>
      <c r="N577" s="3">
        <f>_xlfn.XLOOKUP(Table1[[#This Row],[orderID]],Table3[orderID],Table3[quantity])</f>
        <v>20</v>
      </c>
      <c r="O577" s="6" t="str">
        <f>_xlfn.XLOOKUP(Table1[[#This Row],[CustomerID]],customers!A:A,customers!B:B)</f>
        <v>LILA-Supermercado</v>
      </c>
      <c r="P577" s="6" t="str">
        <f>_xlfn.XLOOKUP(Table1[[#This Row],[shipperID]],Table6[shipperID],Table6[companyName])</f>
        <v>United Package</v>
      </c>
      <c r="Q577">
        <f>YEAR(Table1[[#This Row],[OrderDate]])</f>
        <v>2015</v>
      </c>
      <c r="R577">
        <f>MONTH(Table1[[#This Row],[OrderDate]])</f>
        <v>1</v>
      </c>
      <c r="S577" t="str">
        <f>"Q"&amp;ROUNDUP(Table1[[#This Row],[month]]/3,0)</f>
        <v>Q1</v>
      </c>
      <c r="T577" t="str">
        <f>CONCATENATE(Table1[[#This Row],[year]],"-",Table1[[#This Row],[Quarter]])</f>
        <v>2015-Q1</v>
      </c>
      <c r="U577" s="6" t="str">
        <f>IF(H576="","Pending",IF(Table1[[#This Row],[Days to ship]]&lt;Table1[[#This Row],[RequiredDate]],"On Time","Late"))</f>
        <v>On Time</v>
      </c>
      <c r="V577">
        <f>_xlfn.XLOOKUP(Table1[[#This Row],[orderID]],Table3[orderID],Table3[unitPrice])</f>
        <v>21</v>
      </c>
    </row>
    <row r="578" spans="1:22" x14ac:dyDescent="0.45">
      <c r="A578" s="3">
        <v>10824</v>
      </c>
      <c r="B578" s="6" t="s">
        <v>179</v>
      </c>
      <c r="C578" s="3">
        <v>8</v>
      </c>
      <c r="D578" s="6" t="str">
        <f>_xlfn.XLOOKUP(Table1[[#This Row],[EmployeeID]],Table4[employeeID],Table4[employeeName])</f>
        <v>Laura Callahan</v>
      </c>
      <c r="E578" s="1">
        <v>42013</v>
      </c>
      <c r="F578" s="1">
        <v>42041</v>
      </c>
      <c r="G578" s="1">
        <v>42034</v>
      </c>
      <c r="H578" s="3">
        <f>IF(Table1[[#This Row],[ShippedDate]]="","",IF(Table1[[#This Row],[OrderDate]]="","",Table1[[#This Row],[ShippedDate]]-Table1[[#This Row],[OrderDate]]))</f>
        <v>21</v>
      </c>
      <c r="I578" s="3">
        <v>1</v>
      </c>
      <c r="J578" s="2">
        <v>1.23</v>
      </c>
      <c r="K578" s="2">
        <f>SUMIF(order_details!A:A,Table1[[#This Row],[orderID]],order_details!F:F)</f>
        <v>250.8</v>
      </c>
      <c r="L578" s="9">
        <f>_xlfn.XLOOKUP(Table1[[#This Row],[orderID]],Table3[orderID],Table3[discount])</f>
        <v>0</v>
      </c>
      <c r="M578" s="2">
        <f>SUM(Table1[[#This Row],[Sales]],Table1[[#This Row],[freight]])</f>
        <v>252.03</v>
      </c>
      <c r="N578" s="3">
        <f>_xlfn.XLOOKUP(Table1[[#This Row],[orderID]],Table3[orderID],Table3[quantity])</f>
        <v>12</v>
      </c>
      <c r="O578" s="6" t="str">
        <f>_xlfn.XLOOKUP(Table1[[#This Row],[CustomerID]],customers!A:A,customers!B:B)</f>
        <v>Folk och fä HB</v>
      </c>
      <c r="P578" s="6" t="str">
        <f>_xlfn.XLOOKUP(Table1[[#This Row],[shipperID]],Table6[shipperID],Table6[companyName])</f>
        <v>Speedy Express</v>
      </c>
      <c r="Q578">
        <f>YEAR(Table1[[#This Row],[OrderDate]])</f>
        <v>2015</v>
      </c>
      <c r="R578">
        <f>MONTH(Table1[[#This Row],[OrderDate]])</f>
        <v>1</v>
      </c>
      <c r="S578" t="str">
        <f>"Q"&amp;ROUNDUP(Table1[[#This Row],[month]]/3,0)</f>
        <v>Q1</v>
      </c>
      <c r="T578" t="str">
        <f>CONCATENATE(Table1[[#This Row],[year]],"-",Table1[[#This Row],[Quarter]])</f>
        <v>2015-Q1</v>
      </c>
      <c r="U578" s="6" t="str">
        <f>IF(H577="","Pending",IF(Table1[[#This Row],[Days to ship]]&lt;Table1[[#This Row],[RequiredDate]],"On Time","Late"))</f>
        <v>On Time</v>
      </c>
      <c r="V578">
        <f>_xlfn.XLOOKUP(Table1[[#This Row],[orderID]],Table3[orderID],Table3[unitPrice])</f>
        <v>9.65</v>
      </c>
    </row>
    <row r="579" spans="1:22" x14ac:dyDescent="0.45">
      <c r="A579" s="3">
        <v>10825</v>
      </c>
      <c r="B579" s="6" t="s">
        <v>163</v>
      </c>
      <c r="C579" s="3">
        <v>1</v>
      </c>
      <c r="D579" s="6" t="str">
        <f>_xlfn.XLOOKUP(Table1[[#This Row],[EmployeeID]],Table4[employeeID],Table4[employeeName])</f>
        <v>Nancy Davolio</v>
      </c>
      <c r="E579" s="1">
        <v>42013</v>
      </c>
      <c r="F579" s="1">
        <v>42041</v>
      </c>
      <c r="G579" s="1">
        <v>42018</v>
      </c>
      <c r="H579" s="3">
        <f>IF(Table1[[#This Row],[ShippedDate]]="","",IF(Table1[[#This Row],[OrderDate]]="","",Table1[[#This Row],[ShippedDate]]-Table1[[#This Row],[OrderDate]]))</f>
        <v>5</v>
      </c>
      <c r="I579" s="3">
        <v>1</v>
      </c>
      <c r="J579" s="2">
        <v>79.25</v>
      </c>
      <c r="K579" s="2">
        <f>SUMIF(order_details!A:A,Table1[[#This Row],[orderID]],order_details!F:F)</f>
        <v>1030.76</v>
      </c>
      <c r="L579" s="9">
        <f>_xlfn.XLOOKUP(Table1[[#This Row],[orderID]],Table3[orderID],Table3[discount])</f>
        <v>0</v>
      </c>
      <c r="M579" s="2">
        <f>SUM(Table1[[#This Row],[Sales]],Table1[[#This Row],[freight]])</f>
        <v>1110.01</v>
      </c>
      <c r="N579" s="3">
        <f>_xlfn.XLOOKUP(Table1[[#This Row],[orderID]],Table3[orderID],Table3[quantity])</f>
        <v>12</v>
      </c>
      <c r="O579" s="6" t="str">
        <f>_xlfn.XLOOKUP(Table1[[#This Row],[CustomerID]],customers!A:A,customers!B:B)</f>
        <v>Drachenblut Delikatessen</v>
      </c>
      <c r="P579" s="6" t="str">
        <f>_xlfn.XLOOKUP(Table1[[#This Row],[shipperID]],Table6[shipperID],Table6[companyName])</f>
        <v>Speedy Express</v>
      </c>
      <c r="Q579">
        <f>YEAR(Table1[[#This Row],[OrderDate]])</f>
        <v>2015</v>
      </c>
      <c r="R579">
        <f>MONTH(Table1[[#This Row],[OrderDate]])</f>
        <v>1</v>
      </c>
      <c r="S579" t="str">
        <f>"Q"&amp;ROUNDUP(Table1[[#This Row],[month]]/3,0)</f>
        <v>Q1</v>
      </c>
      <c r="T579" t="str">
        <f>CONCATENATE(Table1[[#This Row],[year]],"-",Table1[[#This Row],[Quarter]])</f>
        <v>2015-Q1</v>
      </c>
      <c r="U579" s="6" t="str">
        <f>IF(H578="","Pending",IF(Table1[[#This Row],[Days to ship]]&lt;Table1[[#This Row],[RequiredDate]],"On Time","Late"))</f>
        <v>On Time</v>
      </c>
      <c r="V579">
        <f>_xlfn.XLOOKUP(Table1[[#This Row],[orderID]],Table3[orderID],Table3[unitPrice])</f>
        <v>31.23</v>
      </c>
    </row>
    <row r="580" spans="1:22" x14ac:dyDescent="0.45">
      <c r="A580" s="3">
        <v>10826</v>
      </c>
      <c r="B580" s="6" t="s">
        <v>231</v>
      </c>
      <c r="C580" s="3">
        <v>6</v>
      </c>
      <c r="D580" s="6" t="str">
        <f>_xlfn.XLOOKUP(Table1[[#This Row],[EmployeeID]],Table4[employeeID],Table4[employeeName])</f>
        <v>Michael Suyama</v>
      </c>
      <c r="E580" s="1">
        <v>42016</v>
      </c>
      <c r="F580" s="1">
        <v>42044</v>
      </c>
      <c r="G580" s="1">
        <v>42041</v>
      </c>
      <c r="H580" s="3">
        <f>IF(Table1[[#This Row],[ShippedDate]]="","",IF(Table1[[#This Row],[OrderDate]]="","",Table1[[#This Row],[ShippedDate]]-Table1[[#This Row],[OrderDate]]))</f>
        <v>25</v>
      </c>
      <c r="I580" s="3">
        <v>1</v>
      </c>
      <c r="J580" s="2">
        <v>7.09</v>
      </c>
      <c r="K580" s="2">
        <f>SUMIF(order_details!A:A,Table1[[#This Row],[orderID]],order_details!F:F)</f>
        <v>730</v>
      </c>
      <c r="L580" s="9">
        <f>_xlfn.XLOOKUP(Table1[[#This Row],[orderID]],Table3[orderID],Table3[discount])</f>
        <v>0</v>
      </c>
      <c r="M580" s="2">
        <f>SUM(Table1[[#This Row],[Sales]],Table1[[#This Row],[freight]])</f>
        <v>737.09</v>
      </c>
      <c r="N580" s="3">
        <f>_xlfn.XLOOKUP(Table1[[#This Row],[orderID]],Table3[orderID],Table3[quantity])</f>
        <v>35</v>
      </c>
      <c r="O580" s="6" t="str">
        <f>_xlfn.XLOOKUP(Table1[[#This Row],[CustomerID]],customers!A:A,customers!B:B)</f>
        <v>Blondesddsl père et fils</v>
      </c>
      <c r="P580" s="6" t="str">
        <f>_xlfn.XLOOKUP(Table1[[#This Row],[shipperID]],Table6[shipperID],Table6[companyName])</f>
        <v>Speedy Express</v>
      </c>
      <c r="Q580">
        <f>YEAR(Table1[[#This Row],[OrderDate]])</f>
        <v>2015</v>
      </c>
      <c r="R580">
        <f>MONTH(Table1[[#This Row],[OrderDate]])</f>
        <v>1</v>
      </c>
      <c r="S580" t="str">
        <f>"Q"&amp;ROUNDUP(Table1[[#This Row],[month]]/3,0)</f>
        <v>Q1</v>
      </c>
      <c r="T580" t="str">
        <f>CONCATENATE(Table1[[#This Row],[year]],"-",Table1[[#This Row],[Quarter]])</f>
        <v>2015-Q1</v>
      </c>
      <c r="U580" s="6" t="str">
        <f>IF(H579="","Pending",IF(Table1[[#This Row],[Days to ship]]&lt;Table1[[#This Row],[RequiredDate]],"On Time","Late"))</f>
        <v>On Time</v>
      </c>
      <c r="V580">
        <f>_xlfn.XLOOKUP(Table1[[#This Row],[orderID]],Table3[orderID],Table3[unitPrice])</f>
        <v>12.5</v>
      </c>
    </row>
    <row r="581" spans="1:22" x14ac:dyDescent="0.45">
      <c r="A581" s="3">
        <v>10827</v>
      </c>
      <c r="B581" s="6" t="s">
        <v>154</v>
      </c>
      <c r="C581" s="3">
        <v>1</v>
      </c>
      <c r="D581" s="6" t="str">
        <f>_xlfn.XLOOKUP(Table1[[#This Row],[EmployeeID]],Table4[employeeID],Table4[employeeName])</f>
        <v>Nancy Davolio</v>
      </c>
      <c r="E581" s="1">
        <v>42016</v>
      </c>
      <c r="F581" s="1">
        <v>42030</v>
      </c>
      <c r="G581" s="1">
        <v>42041</v>
      </c>
      <c r="H581" s="3">
        <f>IF(Table1[[#This Row],[ShippedDate]]="","",IF(Table1[[#This Row],[OrderDate]]="","",Table1[[#This Row],[ShippedDate]]-Table1[[#This Row],[OrderDate]]))</f>
        <v>25</v>
      </c>
      <c r="I581" s="3">
        <v>2</v>
      </c>
      <c r="J581" s="2">
        <v>63.54</v>
      </c>
      <c r="K581" s="2">
        <f>SUMIF(order_details!A:A,Table1[[#This Row],[orderID]],order_details!F:F)</f>
        <v>843</v>
      </c>
      <c r="L581" s="9">
        <f>_xlfn.XLOOKUP(Table1[[#This Row],[orderID]],Table3[orderID],Table3[discount])</f>
        <v>0</v>
      </c>
      <c r="M581" s="2">
        <f>SUM(Table1[[#This Row],[Sales]],Table1[[#This Row],[freight]])</f>
        <v>906.54</v>
      </c>
      <c r="N581" s="3">
        <f>_xlfn.XLOOKUP(Table1[[#This Row],[orderID]],Table3[orderID],Table3[quantity])</f>
        <v>15</v>
      </c>
      <c r="O581" s="6" t="str">
        <f>_xlfn.XLOOKUP(Table1[[#This Row],[CustomerID]],customers!A:A,customers!B:B)</f>
        <v>Bon app'</v>
      </c>
      <c r="P581" s="6" t="str">
        <f>_xlfn.XLOOKUP(Table1[[#This Row],[shipperID]],Table6[shipperID],Table6[companyName])</f>
        <v>United Package</v>
      </c>
      <c r="Q581">
        <f>YEAR(Table1[[#This Row],[OrderDate]])</f>
        <v>2015</v>
      </c>
      <c r="R581">
        <f>MONTH(Table1[[#This Row],[OrderDate]])</f>
        <v>1</v>
      </c>
      <c r="S581" t="str">
        <f>"Q"&amp;ROUNDUP(Table1[[#This Row],[month]]/3,0)</f>
        <v>Q1</v>
      </c>
      <c r="T581" t="str">
        <f>CONCATENATE(Table1[[#This Row],[year]],"-",Table1[[#This Row],[Quarter]])</f>
        <v>2015-Q1</v>
      </c>
      <c r="U581" s="6" t="str">
        <f>IF(H580="","Pending",IF(Table1[[#This Row],[Days to ship]]&lt;Table1[[#This Row],[RequiredDate]],"On Time","Late"))</f>
        <v>On Time</v>
      </c>
      <c r="V581">
        <f>_xlfn.XLOOKUP(Table1[[#This Row],[orderID]],Table3[orderID],Table3[unitPrice])</f>
        <v>31</v>
      </c>
    </row>
    <row r="582" spans="1:22" x14ac:dyDescent="0.45">
      <c r="A582" s="3">
        <v>10828</v>
      </c>
      <c r="B582" s="6" t="s">
        <v>196</v>
      </c>
      <c r="C582" s="3">
        <v>9</v>
      </c>
      <c r="D582" s="6" t="str">
        <f>_xlfn.XLOOKUP(Table1[[#This Row],[EmployeeID]],Table4[employeeID],Table4[employeeName])</f>
        <v>Anne Dodsworth</v>
      </c>
      <c r="E582" s="1">
        <v>42017</v>
      </c>
      <c r="F582" s="1">
        <v>42031</v>
      </c>
      <c r="G582" s="1">
        <v>42039</v>
      </c>
      <c r="H582" s="3">
        <f>IF(Table1[[#This Row],[ShippedDate]]="","",IF(Table1[[#This Row],[OrderDate]]="","",Table1[[#This Row],[ShippedDate]]-Table1[[#This Row],[OrderDate]]))</f>
        <v>22</v>
      </c>
      <c r="I582" s="3">
        <v>1</v>
      </c>
      <c r="J582" s="2">
        <v>90.85</v>
      </c>
      <c r="K582" s="2">
        <f>SUMIF(order_details!A:A,Table1[[#This Row],[orderID]],order_details!F:F)</f>
        <v>932</v>
      </c>
      <c r="L582" s="9">
        <f>_xlfn.XLOOKUP(Table1[[#This Row],[orderID]],Table3[orderID],Table3[discount])</f>
        <v>0</v>
      </c>
      <c r="M582" s="2">
        <f>SUM(Table1[[#This Row],[Sales]],Table1[[#This Row],[freight]])</f>
        <v>1022.85</v>
      </c>
      <c r="N582" s="3">
        <f>_xlfn.XLOOKUP(Table1[[#This Row],[orderID]],Table3[orderID],Table3[quantity])</f>
        <v>5</v>
      </c>
      <c r="O582" s="6" t="str">
        <f>_xlfn.XLOOKUP(Table1[[#This Row],[CustomerID]],customers!A:A,customers!B:B)</f>
        <v>Rancho grande</v>
      </c>
      <c r="P582" s="6" t="str">
        <f>_xlfn.XLOOKUP(Table1[[#This Row],[shipperID]],Table6[shipperID],Table6[companyName])</f>
        <v>Speedy Express</v>
      </c>
      <c r="Q582">
        <f>YEAR(Table1[[#This Row],[OrderDate]])</f>
        <v>2015</v>
      </c>
      <c r="R582">
        <f>MONTH(Table1[[#This Row],[OrderDate]])</f>
        <v>1</v>
      </c>
      <c r="S582" t="str">
        <f>"Q"&amp;ROUNDUP(Table1[[#This Row],[month]]/3,0)</f>
        <v>Q1</v>
      </c>
      <c r="T582" t="str">
        <f>CONCATENATE(Table1[[#This Row],[year]],"-",Table1[[#This Row],[Quarter]])</f>
        <v>2015-Q1</v>
      </c>
      <c r="U582" s="6" t="str">
        <f>IF(H581="","Pending",IF(Table1[[#This Row],[Days to ship]]&lt;Table1[[#This Row],[RequiredDate]],"On Time","Late"))</f>
        <v>On Time</v>
      </c>
      <c r="V582">
        <f>_xlfn.XLOOKUP(Table1[[#This Row],[orderID]],Table3[orderID],Table3[unitPrice])</f>
        <v>81</v>
      </c>
    </row>
    <row r="583" spans="1:22" x14ac:dyDescent="0.45">
      <c r="A583" s="3">
        <v>10829</v>
      </c>
      <c r="B583" s="6" t="s">
        <v>220</v>
      </c>
      <c r="C583" s="3">
        <v>9</v>
      </c>
      <c r="D583" s="6" t="str">
        <f>_xlfn.XLOOKUP(Table1[[#This Row],[EmployeeID]],Table4[employeeID],Table4[employeeName])</f>
        <v>Anne Dodsworth</v>
      </c>
      <c r="E583" s="1">
        <v>42017</v>
      </c>
      <c r="F583" s="1">
        <v>42045</v>
      </c>
      <c r="G583" s="1">
        <v>42027</v>
      </c>
      <c r="H583" s="3">
        <f>IF(Table1[[#This Row],[ShippedDate]]="","",IF(Table1[[#This Row],[OrderDate]]="","",Table1[[#This Row],[ShippedDate]]-Table1[[#This Row],[OrderDate]]))</f>
        <v>10</v>
      </c>
      <c r="I583" s="3">
        <v>1</v>
      </c>
      <c r="J583" s="2">
        <v>154.72</v>
      </c>
      <c r="K583" s="2">
        <f>SUMIF(order_details!A:A,Table1[[#This Row],[orderID]],order_details!F:F)</f>
        <v>1764</v>
      </c>
      <c r="L583" s="9">
        <f>_xlfn.XLOOKUP(Table1[[#This Row],[orderID]],Table3[orderID],Table3[discount])</f>
        <v>0</v>
      </c>
      <c r="M583" s="2">
        <f>SUM(Table1[[#This Row],[Sales]],Table1[[#This Row],[freight]])</f>
        <v>1918.72</v>
      </c>
      <c r="N583" s="3">
        <f>_xlfn.XLOOKUP(Table1[[#This Row],[orderID]],Table3[orderID],Table3[quantity])</f>
        <v>10</v>
      </c>
      <c r="O583" s="6" t="str">
        <f>_xlfn.XLOOKUP(Table1[[#This Row],[CustomerID]],customers!A:A,customers!B:B)</f>
        <v>Island Trading</v>
      </c>
      <c r="P583" s="6" t="str">
        <f>_xlfn.XLOOKUP(Table1[[#This Row],[shipperID]],Table6[shipperID],Table6[companyName])</f>
        <v>Speedy Express</v>
      </c>
      <c r="Q583">
        <f>YEAR(Table1[[#This Row],[OrderDate]])</f>
        <v>2015</v>
      </c>
      <c r="R583">
        <f>MONTH(Table1[[#This Row],[OrderDate]])</f>
        <v>1</v>
      </c>
      <c r="S583" t="str">
        <f>"Q"&amp;ROUNDUP(Table1[[#This Row],[month]]/3,0)</f>
        <v>Q1</v>
      </c>
      <c r="T583" t="str">
        <f>CONCATENATE(Table1[[#This Row],[year]],"-",Table1[[#This Row],[Quarter]])</f>
        <v>2015-Q1</v>
      </c>
      <c r="U583" s="6" t="str">
        <f>IF(H582="","Pending",IF(Table1[[#This Row],[Days to ship]]&lt;Table1[[#This Row],[RequiredDate]],"On Time","Late"))</f>
        <v>On Time</v>
      </c>
      <c r="V583">
        <f>_xlfn.XLOOKUP(Table1[[#This Row],[orderID]],Table3[orderID],Table3[unitPrice])</f>
        <v>19</v>
      </c>
    </row>
    <row r="584" spans="1:22" x14ac:dyDescent="0.45">
      <c r="A584" s="3">
        <v>10830</v>
      </c>
      <c r="B584" s="6" t="s">
        <v>230</v>
      </c>
      <c r="C584" s="3">
        <v>4</v>
      </c>
      <c r="D584" s="6" t="str">
        <f>_xlfn.XLOOKUP(Table1[[#This Row],[EmployeeID]],Table4[employeeID],Table4[employeeName])</f>
        <v>Margaret Peacock</v>
      </c>
      <c r="E584" s="1">
        <v>42017</v>
      </c>
      <c r="F584" s="1">
        <v>42059</v>
      </c>
      <c r="G584" s="1">
        <v>42025</v>
      </c>
      <c r="H584" s="3">
        <f>IF(Table1[[#This Row],[ShippedDate]]="","",IF(Table1[[#This Row],[OrderDate]]="","",Table1[[#This Row],[ShippedDate]]-Table1[[#This Row],[OrderDate]]))</f>
        <v>8</v>
      </c>
      <c r="I584" s="3">
        <v>2</v>
      </c>
      <c r="J584" s="2">
        <v>81.83</v>
      </c>
      <c r="K584" s="2">
        <f>SUMIF(order_details!A:A,Table1[[#This Row],[orderID]],order_details!F:F)</f>
        <v>1974</v>
      </c>
      <c r="L584" s="9">
        <f>_xlfn.XLOOKUP(Table1[[#This Row],[orderID]],Table3[orderID],Table3[discount])</f>
        <v>0</v>
      </c>
      <c r="M584" s="2">
        <f>SUM(Table1[[#This Row],[Sales]],Table1[[#This Row],[freight]])</f>
        <v>2055.83</v>
      </c>
      <c r="N584" s="3">
        <f>_xlfn.XLOOKUP(Table1[[#This Row],[orderID]],Table3[orderID],Table3[quantity])</f>
        <v>6</v>
      </c>
      <c r="O584" s="6" t="str">
        <f>_xlfn.XLOOKUP(Table1[[#This Row],[CustomerID]],customers!A:A,customers!B:B)</f>
        <v>Tradição Hipermercados</v>
      </c>
      <c r="P584" s="6" t="str">
        <f>_xlfn.XLOOKUP(Table1[[#This Row],[shipperID]],Table6[shipperID],Table6[companyName])</f>
        <v>United Package</v>
      </c>
      <c r="Q584">
        <f>YEAR(Table1[[#This Row],[OrderDate]])</f>
        <v>2015</v>
      </c>
      <c r="R584">
        <f>MONTH(Table1[[#This Row],[OrderDate]])</f>
        <v>1</v>
      </c>
      <c r="S584" t="str">
        <f>"Q"&amp;ROUNDUP(Table1[[#This Row],[month]]/3,0)</f>
        <v>Q1</v>
      </c>
      <c r="T584" t="str">
        <f>CONCATENATE(Table1[[#This Row],[year]],"-",Table1[[#This Row],[Quarter]])</f>
        <v>2015-Q1</v>
      </c>
      <c r="U584" s="6" t="str">
        <f>IF(H583="","Pending",IF(Table1[[#This Row],[Days to ship]]&lt;Table1[[#This Row],[RequiredDate]],"On Time","Late"))</f>
        <v>On Time</v>
      </c>
      <c r="V584">
        <f>_xlfn.XLOOKUP(Table1[[#This Row],[orderID]],Table3[orderID],Table3[unitPrice])</f>
        <v>25</v>
      </c>
    </row>
    <row r="585" spans="1:22" x14ac:dyDescent="0.45">
      <c r="A585" s="3">
        <v>10831</v>
      </c>
      <c r="B585" s="6" t="s">
        <v>199</v>
      </c>
      <c r="C585" s="3">
        <v>3</v>
      </c>
      <c r="D585" s="6" t="str">
        <f>_xlfn.XLOOKUP(Table1[[#This Row],[EmployeeID]],Table4[employeeID],Table4[employeeName])</f>
        <v>Janet Leverling</v>
      </c>
      <c r="E585" s="1">
        <v>42018</v>
      </c>
      <c r="F585" s="1">
        <v>42046</v>
      </c>
      <c r="G585" s="1">
        <v>42027</v>
      </c>
      <c r="H585" s="3">
        <f>IF(Table1[[#This Row],[ShippedDate]]="","",IF(Table1[[#This Row],[OrderDate]]="","",Table1[[#This Row],[ShippedDate]]-Table1[[#This Row],[OrderDate]]))</f>
        <v>9</v>
      </c>
      <c r="I585" s="3">
        <v>2</v>
      </c>
      <c r="J585" s="2">
        <v>72.19</v>
      </c>
      <c r="K585" s="2">
        <f>SUMIF(order_details!A:A,Table1[[#This Row],[orderID]],order_details!F:F)</f>
        <v>2684.4</v>
      </c>
      <c r="L585" s="9">
        <f>_xlfn.XLOOKUP(Table1[[#This Row],[orderID]],Table3[orderID],Table3[discount])</f>
        <v>0</v>
      </c>
      <c r="M585" s="2">
        <f>SUM(Table1[[#This Row],[Sales]],Table1[[#This Row],[freight]])</f>
        <v>2756.59</v>
      </c>
      <c r="N585" s="3">
        <f>_xlfn.XLOOKUP(Table1[[#This Row],[orderID]],Table3[orderID],Table3[quantity])</f>
        <v>2</v>
      </c>
      <c r="O585" s="6" t="str">
        <f>_xlfn.XLOOKUP(Table1[[#This Row],[CustomerID]],customers!A:A,customers!B:B)</f>
        <v>Santé Gourmet</v>
      </c>
      <c r="P585" s="6" t="str">
        <f>_xlfn.XLOOKUP(Table1[[#This Row],[shipperID]],Table6[shipperID],Table6[companyName])</f>
        <v>United Package</v>
      </c>
      <c r="Q585">
        <f>YEAR(Table1[[#This Row],[OrderDate]])</f>
        <v>2015</v>
      </c>
      <c r="R585">
        <f>MONTH(Table1[[#This Row],[OrderDate]])</f>
        <v>1</v>
      </c>
      <c r="S585" t="str">
        <f>"Q"&amp;ROUNDUP(Table1[[#This Row],[month]]/3,0)</f>
        <v>Q1</v>
      </c>
      <c r="T585" t="str">
        <f>CONCATENATE(Table1[[#This Row],[year]],"-",Table1[[#This Row],[Quarter]])</f>
        <v>2015-Q1</v>
      </c>
      <c r="U585" s="6" t="str">
        <f>IF(H584="","Pending",IF(Table1[[#This Row],[Days to ship]]&lt;Table1[[#This Row],[RequiredDate]],"On Time","Late"))</f>
        <v>On Time</v>
      </c>
      <c r="V585">
        <f>_xlfn.XLOOKUP(Table1[[#This Row],[orderID]],Table3[orderID],Table3[unitPrice])</f>
        <v>9.1999999999999993</v>
      </c>
    </row>
    <row r="586" spans="1:22" x14ac:dyDescent="0.45">
      <c r="A586" s="3">
        <v>10832</v>
      </c>
      <c r="B586" s="6" t="s">
        <v>178</v>
      </c>
      <c r="C586" s="3">
        <v>2</v>
      </c>
      <c r="D586" s="6" t="str">
        <f>_xlfn.XLOOKUP(Table1[[#This Row],[EmployeeID]],Table4[employeeID],Table4[employeeName])</f>
        <v>Andrew Fuller</v>
      </c>
      <c r="E586" s="1">
        <v>42018</v>
      </c>
      <c r="F586" s="1">
        <v>42046</v>
      </c>
      <c r="G586" s="1">
        <v>42023</v>
      </c>
      <c r="H586" s="3">
        <f>IF(Table1[[#This Row],[ShippedDate]]="","",IF(Table1[[#This Row],[OrderDate]]="","",Table1[[#This Row],[ShippedDate]]-Table1[[#This Row],[OrderDate]]))</f>
        <v>5</v>
      </c>
      <c r="I586" s="3">
        <v>2</v>
      </c>
      <c r="J586" s="2">
        <v>43.26</v>
      </c>
      <c r="K586" s="2">
        <f>SUMIF(order_details!A:A,Table1[[#This Row],[orderID]],order_details!F:F)</f>
        <v>475.11</v>
      </c>
      <c r="L586" s="9">
        <f>_xlfn.XLOOKUP(Table1[[#This Row],[orderID]],Table3[orderID],Table3[discount])</f>
        <v>0.2</v>
      </c>
      <c r="M586" s="2">
        <f>SUM(Table1[[#This Row],[Sales]],Table1[[#This Row],[freight]])</f>
        <v>518.37</v>
      </c>
      <c r="N586" s="3">
        <f>_xlfn.XLOOKUP(Table1[[#This Row],[orderID]],Table3[orderID],Table3[quantity])</f>
        <v>3</v>
      </c>
      <c r="O586" s="6" t="str">
        <f>_xlfn.XLOOKUP(Table1[[#This Row],[CustomerID]],customers!A:A,customers!B:B)</f>
        <v>La maison d'Asie</v>
      </c>
      <c r="P586" s="6" t="str">
        <f>_xlfn.XLOOKUP(Table1[[#This Row],[shipperID]],Table6[shipperID],Table6[companyName])</f>
        <v>United Package</v>
      </c>
      <c r="Q586">
        <f>YEAR(Table1[[#This Row],[OrderDate]])</f>
        <v>2015</v>
      </c>
      <c r="R586">
        <f>MONTH(Table1[[#This Row],[OrderDate]])</f>
        <v>1</v>
      </c>
      <c r="S586" t="str">
        <f>"Q"&amp;ROUNDUP(Table1[[#This Row],[month]]/3,0)</f>
        <v>Q1</v>
      </c>
      <c r="T586" t="str">
        <f>CONCATENATE(Table1[[#This Row],[year]],"-",Table1[[#This Row],[Quarter]])</f>
        <v>2015-Q1</v>
      </c>
      <c r="U586" s="6" t="str">
        <f>IF(H585="","Pending",IF(Table1[[#This Row],[Days to ship]]&lt;Table1[[#This Row],[RequiredDate]],"On Time","Late"))</f>
        <v>On Time</v>
      </c>
      <c r="V586">
        <f>_xlfn.XLOOKUP(Table1[[#This Row],[orderID]],Table3[orderID],Table3[unitPrice])</f>
        <v>6</v>
      </c>
    </row>
    <row r="587" spans="1:22" x14ac:dyDescent="0.45">
      <c r="A587" s="3">
        <v>10833</v>
      </c>
      <c r="B587" s="6" t="s">
        <v>195</v>
      </c>
      <c r="C587" s="3">
        <v>6</v>
      </c>
      <c r="D587" s="6" t="str">
        <f>_xlfn.XLOOKUP(Table1[[#This Row],[EmployeeID]],Table4[employeeID],Table4[employeeName])</f>
        <v>Michael Suyama</v>
      </c>
      <c r="E587" s="1">
        <v>42019</v>
      </c>
      <c r="F587" s="1">
        <v>42047</v>
      </c>
      <c r="G587" s="1">
        <v>42027</v>
      </c>
      <c r="H587" s="3">
        <f>IF(Table1[[#This Row],[ShippedDate]]="","",IF(Table1[[#This Row],[OrderDate]]="","",Table1[[#This Row],[ShippedDate]]-Table1[[#This Row],[OrderDate]]))</f>
        <v>8</v>
      </c>
      <c r="I587" s="3">
        <v>2</v>
      </c>
      <c r="J587" s="2">
        <v>71.489999999999995</v>
      </c>
      <c r="K587" s="2">
        <f>SUMIF(order_details!A:A,Table1[[#This Row],[orderID]],order_details!F:F)</f>
        <v>906.93000000000006</v>
      </c>
      <c r="L587" s="9">
        <f>_xlfn.XLOOKUP(Table1[[#This Row],[orderID]],Table3[orderID],Table3[discount])</f>
        <v>0.1</v>
      </c>
      <c r="M587" s="2">
        <f>SUM(Table1[[#This Row],[Sales]],Table1[[#This Row],[freight]])</f>
        <v>978.42000000000007</v>
      </c>
      <c r="N587" s="3">
        <f>_xlfn.XLOOKUP(Table1[[#This Row],[orderID]],Table3[orderID],Table3[quantity])</f>
        <v>20</v>
      </c>
      <c r="O587" s="6" t="str">
        <f>_xlfn.XLOOKUP(Table1[[#This Row],[CustomerID]],customers!A:A,customers!B:B)</f>
        <v>Ottilies Käseladen</v>
      </c>
      <c r="P587" s="6" t="str">
        <f>_xlfn.XLOOKUP(Table1[[#This Row],[shipperID]],Table6[shipperID],Table6[companyName])</f>
        <v>United Package</v>
      </c>
      <c r="Q587">
        <f>YEAR(Table1[[#This Row],[OrderDate]])</f>
        <v>2015</v>
      </c>
      <c r="R587">
        <f>MONTH(Table1[[#This Row],[OrderDate]])</f>
        <v>1</v>
      </c>
      <c r="S587" t="str">
        <f>"Q"&amp;ROUNDUP(Table1[[#This Row],[month]]/3,0)</f>
        <v>Q1</v>
      </c>
      <c r="T587" t="str">
        <f>CONCATENATE(Table1[[#This Row],[year]],"-",Table1[[#This Row],[Quarter]])</f>
        <v>2015-Q1</v>
      </c>
      <c r="U587" s="6" t="str">
        <f>IF(H586="","Pending",IF(Table1[[#This Row],[Days to ship]]&lt;Table1[[#This Row],[RequiredDate]],"On Time","Late"))</f>
        <v>On Time</v>
      </c>
      <c r="V587">
        <f>_xlfn.XLOOKUP(Table1[[#This Row],[orderID]],Table3[orderID],Table3[unitPrice])</f>
        <v>30</v>
      </c>
    </row>
    <row r="588" spans="1:22" x14ac:dyDescent="0.45">
      <c r="A588" s="3">
        <v>10834</v>
      </c>
      <c r="B588" s="6" t="s">
        <v>230</v>
      </c>
      <c r="C588" s="3">
        <v>1</v>
      </c>
      <c r="D588" s="6" t="str">
        <f>_xlfn.XLOOKUP(Table1[[#This Row],[EmployeeID]],Table4[employeeID],Table4[employeeName])</f>
        <v>Nancy Davolio</v>
      </c>
      <c r="E588" s="1">
        <v>42019</v>
      </c>
      <c r="F588" s="1">
        <v>42047</v>
      </c>
      <c r="G588" s="1">
        <v>42023</v>
      </c>
      <c r="H588" s="3">
        <f>IF(Table1[[#This Row],[ShippedDate]]="","",IF(Table1[[#This Row],[OrderDate]]="","",Table1[[#This Row],[ShippedDate]]-Table1[[#This Row],[OrderDate]]))</f>
        <v>4</v>
      </c>
      <c r="I588" s="3">
        <v>3</v>
      </c>
      <c r="J588" s="2">
        <v>29.78</v>
      </c>
      <c r="K588" s="2">
        <f>SUMIF(order_details!A:A,Table1[[#This Row],[orderID]],order_details!F:F)</f>
        <v>1432.7139999999999</v>
      </c>
      <c r="L588" s="9">
        <f>_xlfn.XLOOKUP(Table1[[#This Row],[orderID]],Table3[orderID],Table3[discount])</f>
        <v>0.05</v>
      </c>
      <c r="M588" s="2">
        <f>SUM(Table1[[#This Row],[Sales]],Table1[[#This Row],[freight]])</f>
        <v>1462.4939999999999</v>
      </c>
      <c r="N588" s="3">
        <f>_xlfn.XLOOKUP(Table1[[#This Row],[orderID]],Table3[orderID],Table3[quantity])</f>
        <v>8</v>
      </c>
      <c r="O588" s="6" t="str">
        <f>_xlfn.XLOOKUP(Table1[[#This Row],[CustomerID]],customers!A:A,customers!B:B)</f>
        <v>Tradição Hipermercados</v>
      </c>
      <c r="P588" s="6" t="str">
        <f>_xlfn.XLOOKUP(Table1[[#This Row],[shipperID]],Table6[shipperID],Table6[companyName])</f>
        <v>Federal Shipping</v>
      </c>
      <c r="Q588">
        <f>YEAR(Table1[[#This Row],[OrderDate]])</f>
        <v>2015</v>
      </c>
      <c r="R588">
        <f>MONTH(Table1[[#This Row],[OrderDate]])</f>
        <v>1</v>
      </c>
      <c r="S588" t="str">
        <f>"Q"&amp;ROUNDUP(Table1[[#This Row],[month]]/3,0)</f>
        <v>Q1</v>
      </c>
      <c r="T588" t="str">
        <f>CONCATENATE(Table1[[#This Row],[year]],"-",Table1[[#This Row],[Quarter]])</f>
        <v>2015-Q1</v>
      </c>
      <c r="U588" s="6" t="str">
        <f>IF(H587="","Pending",IF(Table1[[#This Row],[Days to ship]]&lt;Table1[[#This Row],[RequiredDate]],"On Time","Late"))</f>
        <v>On Time</v>
      </c>
      <c r="V588">
        <f>_xlfn.XLOOKUP(Table1[[#This Row],[orderID]],Table3[orderID],Table3[unitPrice])</f>
        <v>123.79</v>
      </c>
    </row>
    <row r="589" spans="1:22" x14ac:dyDescent="0.45">
      <c r="A589" s="3">
        <v>10835</v>
      </c>
      <c r="B589" s="6" t="s">
        <v>202</v>
      </c>
      <c r="C589" s="3">
        <v>1</v>
      </c>
      <c r="D589" s="6" t="str">
        <f>_xlfn.XLOOKUP(Table1[[#This Row],[EmployeeID]],Table4[employeeID],Table4[employeeName])</f>
        <v>Nancy Davolio</v>
      </c>
      <c r="E589" s="1">
        <v>42019</v>
      </c>
      <c r="F589" s="1">
        <v>42047</v>
      </c>
      <c r="G589" s="1">
        <v>42025</v>
      </c>
      <c r="H589" s="3">
        <f>IF(Table1[[#This Row],[ShippedDate]]="","",IF(Table1[[#This Row],[OrderDate]]="","",Table1[[#This Row],[ShippedDate]]-Table1[[#This Row],[OrderDate]]))</f>
        <v>6</v>
      </c>
      <c r="I589" s="3">
        <v>3</v>
      </c>
      <c r="J589" s="2">
        <v>69.53</v>
      </c>
      <c r="K589" s="2">
        <f>SUMIF(order_details!A:A,Table1[[#This Row],[orderID]],order_details!F:F)</f>
        <v>845.8</v>
      </c>
      <c r="L589" s="9">
        <f>_xlfn.XLOOKUP(Table1[[#This Row],[orderID]],Table3[orderID],Table3[discount])</f>
        <v>0</v>
      </c>
      <c r="M589" s="2">
        <f>SUM(Table1[[#This Row],[Sales]],Table1[[#This Row],[freight]])</f>
        <v>915.32999999999993</v>
      </c>
      <c r="N589" s="3">
        <f>_xlfn.XLOOKUP(Table1[[#This Row],[orderID]],Table3[orderID],Table3[quantity])</f>
        <v>15</v>
      </c>
      <c r="O589" s="6" t="str">
        <f>_xlfn.XLOOKUP(Table1[[#This Row],[CustomerID]],customers!A:A,customers!B:B)</f>
        <v>Alfreds Futterkiste</v>
      </c>
      <c r="P589" s="6" t="str">
        <f>_xlfn.XLOOKUP(Table1[[#This Row],[shipperID]],Table6[shipperID],Table6[companyName])</f>
        <v>Federal Shipping</v>
      </c>
      <c r="Q589">
        <f>YEAR(Table1[[#This Row],[OrderDate]])</f>
        <v>2015</v>
      </c>
      <c r="R589">
        <f>MONTH(Table1[[#This Row],[OrderDate]])</f>
        <v>1</v>
      </c>
      <c r="S589" t="str">
        <f>"Q"&amp;ROUNDUP(Table1[[#This Row],[month]]/3,0)</f>
        <v>Q1</v>
      </c>
      <c r="T589" t="str">
        <f>CONCATENATE(Table1[[#This Row],[year]],"-",Table1[[#This Row],[Quarter]])</f>
        <v>2015-Q1</v>
      </c>
      <c r="U589" s="6" t="str">
        <f>IF(H588="","Pending",IF(Table1[[#This Row],[Days to ship]]&lt;Table1[[#This Row],[RequiredDate]],"On Time","Late"))</f>
        <v>On Time</v>
      </c>
      <c r="V589">
        <f>_xlfn.XLOOKUP(Table1[[#This Row],[orderID]],Table3[orderID],Table3[unitPrice])</f>
        <v>55</v>
      </c>
    </row>
    <row r="590" spans="1:22" x14ac:dyDescent="0.45">
      <c r="A590" s="3">
        <v>10836</v>
      </c>
      <c r="B590" s="6" t="s">
        <v>158</v>
      </c>
      <c r="C590" s="3">
        <v>7</v>
      </c>
      <c r="D590" s="6" t="str">
        <f>_xlfn.XLOOKUP(Table1[[#This Row],[EmployeeID]],Table4[employeeID],Table4[employeeName])</f>
        <v>Robert King</v>
      </c>
      <c r="E590" s="1">
        <v>42020</v>
      </c>
      <c r="F590" s="1">
        <v>42048</v>
      </c>
      <c r="G590" s="1">
        <v>42025</v>
      </c>
      <c r="H590" s="3">
        <f>IF(Table1[[#This Row],[ShippedDate]]="","",IF(Table1[[#This Row],[OrderDate]]="","",Table1[[#This Row],[ShippedDate]]-Table1[[#This Row],[OrderDate]]))</f>
        <v>5</v>
      </c>
      <c r="I590" s="3">
        <v>1</v>
      </c>
      <c r="J590" s="2">
        <v>411.88</v>
      </c>
      <c r="K590" s="2">
        <f>SUMIF(order_details!A:A,Table1[[#This Row],[orderID]],order_details!F:F)</f>
        <v>4705.5</v>
      </c>
      <c r="L590" s="9">
        <f>_xlfn.XLOOKUP(Table1[[#This Row],[orderID]],Table3[orderID],Table3[discount])</f>
        <v>0</v>
      </c>
      <c r="M590" s="2">
        <f>SUM(Table1[[#This Row],[Sales]],Table1[[#This Row],[freight]])</f>
        <v>5117.38</v>
      </c>
      <c r="N590" s="3">
        <f>_xlfn.XLOOKUP(Table1[[#This Row],[orderID]],Table3[orderID],Table3[quantity])</f>
        <v>52</v>
      </c>
      <c r="O590" s="6" t="str">
        <f>_xlfn.XLOOKUP(Table1[[#This Row],[CustomerID]],customers!A:A,customers!B:B)</f>
        <v>Ernst Handel</v>
      </c>
      <c r="P590" s="6" t="str">
        <f>_xlfn.XLOOKUP(Table1[[#This Row],[shipperID]],Table6[shipperID],Table6[companyName])</f>
        <v>Speedy Express</v>
      </c>
      <c r="Q590">
        <f>YEAR(Table1[[#This Row],[OrderDate]])</f>
        <v>2015</v>
      </c>
      <c r="R590">
        <f>MONTH(Table1[[#This Row],[OrderDate]])</f>
        <v>1</v>
      </c>
      <c r="S590" t="str">
        <f>"Q"&amp;ROUNDUP(Table1[[#This Row],[month]]/3,0)</f>
        <v>Q1</v>
      </c>
      <c r="T590" t="str">
        <f>CONCATENATE(Table1[[#This Row],[year]],"-",Table1[[#This Row],[Quarter]])</f>
        <v>2015-Q1</v>
      </c>
      <c r="U590" s="6" t="str">
        <f>IF(H589="","Pending",IF(Table1[[#This Row],[Days to ship]]&lt;Table1[[#This Row],[RequiredDate]],"On Time","Late"))</f>
        <v>On Time</v>
      </c>
      <c r="V590">
        <f>_xlfn.XLOOKUP(Table1[[#This Row],[orderID]],Table3[orderID],Table3[unitPrice])</f>
        <v>21</v>
      </c>
    </row>
    <row r="591" spans="1:22" x14ac:dyDescent="0.45">
      <c r="A591" s="3">
        <v>10837</v>
      </c>
      <c r="B591" s="6" t="s">
        <v>223</v>
      </c>
      <c r="C591" s="3">
        <v>9</v>
      </c>
      <c r="D591" s="6" t="str">
        <f>_xlfn.XLOOKUP(Table1[[#This Row],[EmployeeID]],Table4[employeeID],Table4[employeeName])</f>
        <v>Anne Dodsworth</v>
      </c>
      <c r="E591" s="1">
        <v>42020</v>
      </c>
      <c r="F591" s="1">
        <v>42048</v>
      </c>
      <c r="G591" s="1">
        <v>42027</v>
      </c>
      <c r="H591" s="3">
        <f>IF(Table1[[#This Row],[ShippedDate]]="","",IF(Table1[[#This Row],[OrderDate]]="","",Table1[[#This Row],[ShippedDate]]-Table1[[#This Row],[OrderDate]]))</f>
        <v>7</v>
      </c>
      <c r="I591" s="3">
        <v>3</v>
      </c>
      <c r="J591" s="2">
        <v>13.32</v>
      </c>
      <c r="K591" s="2">
        <f>SUMIF(order_details!A:A,Table1[[#This Row],[orderID]],order_details!F:F)</f>
        <v>1064.5</v>
      </c>
      <c r="L591" s="9">
        <f>_xlfn.XLOOKUP(Table1[[#This Row],[orderID]],Table3[orderID],Table3[discount])</f>
        <v>0</v>
      </c>
      <c r="M591" s="2">
        <f>SUM(Table1[[#This Row],[Sales]],Table1[[#This Row],[freight]])</f>
        <v>1077.82</v>
      </c>
      <c r="N591" s="3">
        <f>_xlfn.XLOOKUP(Table1[[#This Row],[orderID]],Table3[orderID],Table3[quantity])</f>
        <v>6</v>
      </c>
      <c r="O591" s="6" t="str">
        <f>_xlfn.XLOOKUP(Table1[[#This Row],[CustomerID]],customers!A:A,customers!B:B)</f>
        <v>Berglunds snabbköp</v>
      </c>
      <c r="P591" s="6" t="str">
        <f>_xlfn.XLOOKUP(Table1[[#This Row],[shipperID]],Table6[shipperID],Table6[companyName])</f>
        <v>Federal Shipping</v>
      </c>
      <c r="Q591">
        <f>YEAR(Table1[[#This Row],[OrderDate]])</f>
        <v>2015</v>
      </c>
      <c r="R591">
        <f>MONTH(Table1[[#This Row],[OrderDate]])</f>
        <v>1</v>
      </c>
      <c r="S591" t="str">
        <f>"Q"&amp;ROUNDUP(Table1[[#This Row],[month]]/3,0)</f>
        <v>Q1</v>
      </c>
      <c r="T591" t="str">
        <f>CONCATENATE(Table1[[#This Row],[year]],"-",Table1[[#This Row],[Quarter]])</f>
        <v>2015-Q1</v>
      </c>
      <c r="U591" s="6" t="str">
        <f>IF(H590="","Pending",IF(Table1[[#This Row],[Days to ship]]&lt;Table1[[#This Row],[RequiredDate]],"On Time","Late"))</f>
        <v>On Time</v>
      </c>
      <c r="V591">
        <f>_xlfn.XLOOKUP(Table1[[#This Row],[orderID]],Table3[orderID],Table3[unitPrice])</f>
        <v>6</v>
      </c>
    </row>
    <row r="592" spans="1:22" x14ac:dyDescent="0.45">
      <c r="A592" s="3">
        <v>10838</v>
      </c>
      <c r="B592" s="6" t="s">
        <v>187</v>
      </c>
      <c r="C592" s="3">
        <v>3</v>
      </c>
      <c r="D592" s="6" t="str">
        <f>_xlfn.XLOOKUP(Table1[[#This Row],[EmployeeID]],Table4[employeeID],Table4[employeeName])</f>
        <v>Janet Leverling</v>
      </c>
      <c r="E592" s="1">
        <v>42023</v>
      </c>
      <c r="F592" s="1">
        <v>42051</v>
      </c>
      <c r="G592" s="1">
        <v>42027</v>
      </c>
      <c r="H592" s="3">
        <f>IF(Table1[[#This Row],[ShippedDate]]="","",IF(Table1[[#This Row],[OrderDate]]="","",Table1[[#This Row],[ShippedDate]]-Table1[[#This Row],[OrderDate]]))</f>
        <v>4</v>
      </c>
      <c r="I592" s="3">
        <v>3</v>
      </c>
      <c r="J592" s="2">
        <v>59.28</v>
      </c>
      <c r="K592" s="2">
        <f>SUMIF(order_details!A:A,Table1[[#This Row],[orderID]],order_details!F:F)</f>
        <v>1938.375</v>
      </c>
      <c r="L592" s="9">
        <f>_xlfn.XLOOKUP(Table1[[#This Row],[orderID]],Table3[orderID],Table3[discount])</f>
        <v>0.25</v>
      </c>
      <c r="M592" s="2">
        <f>SUM(Table1[[#This Row],[Sales]],Table1[[#This Row],[freight]])</f>
        <v>1997.655</v>
      </c>
      <c r="N592" s="3">
        <f>_xlfn.XLOOKUP(Table1[[#This Row],[orderID]],Table3[orderID],Table3[quantity])</f>
        <v>4</v>
      </c>
      <c r="O592" s="6" t="str">
        <f>_xlfn.XLOOKUP(Table1[[#This Row],[CustomerID]],customers!A:A,customers!B:B)</f>
        <v>LINO-Delicateses</v>
      </c>
      <c r="P592" s="6" t="str">
        <f>_xlfn.XLOOKUP(Table1[[#This Row],[shipperID]],Table6[shipperID],Table6[companyName])</f>
        <v>Federal Shipping</v>
      </c>
      <c r="Q592">
        <f>YEAR(Table1[[#This Row],[OrderDate]])</f>
        <v>2015</v>
      </c>
      <c r="R592">
        <f>MONTH(Table1[[#This Row],[OrderDate]])</f>
        <v>1</v>
      </c>
      <c r="S592" t="str">
        <f>"Q"&amp;ROUNDUP(Table1[[#This Row],[month]]/3,0)</f>
        <v>Q1</v>
      </c>
      <c r="T592" t="str">
        <f>CONCATENATE(Table1[[#This Row],[year]],"-",Table1[[#This Row],[Quarter]])</f>
        <v>2015-Q1</v>
      </c>
      <c r="U592" s="6" t="str">
        <f>IF(H591="","Pending",IF(Table1[[#This Row],[Days to ship]]&lt;Table1[[#This Row],[RequiredDate]],"On Time","Late"))</f>
        <v>On Time</v>
      </c>
      <c r="V592">
        <f>_xlfn.XLOOKUP(Table1[[#This Row],[orderID]],Table3[orderID],Table3[unitPrice])</f>
        <v>18</v>
      </c>
    </row>
    <row r="593" spans="1:22" x14ac:dyDescent="0.45">
      <c r="A593" s="3">
        <v>10839</v>
      </c>
      <c r="B593" s="6" t="s">
        <v>230</v>
      </c>
      <c r="C593" s="3">
        <v>3</v>
      </c>
      <c r="D593" s="6" t="str">
        <f>_xlfn.XLOOKUP(Table1[[#This Row],[EmployeeID]],Table4[employeeID],Table4[employeeName])</f>
        <v>Janet Leverling</v>
      </c>
      <c r="E593" s="1">
        <v>42023</v>
      </c>
      <c r="F593" s="1">
        <v>42051</v>
      </c>
      <c r="G593" s="1">
        <v>42026</v>
      </c>
      <c r="H593" s="3">
        <f>IF(Table1[[#This Row],[ShippedDate]]="","",IF(Table1[[#This Row],[OrderDate]]="","",Table1[[#This Row],[ShippedDate]]-Table1[[#This Row],[OrderDate]]))</f>
        <v>3</v>
      </c>
      <c r="I593" s="3">
        <v>3</v>
      </c>
      <c r="J593" s="2">
        <v>35.43</v>
      </c>
      <c r="K593" s="2">
        <f>SUMIF(order_details!A:A,Table1[[#This Row],[orderID]],order_details!F:F)</f>
        <v>827.55</v>
      </c>
      <c r="L593" s="9">
        <f>_xlfn.XLOOKUP(Table1[[#This Row],[orderID]],Table3[orderID],Table3[discount])</f>
        <v>0.1</v>
      </c>
      <c r="M593" s="2">
        <f>SUM(Table1[[#This Row],[Sales]],Table1[[#This Row],[freight]])</f>
        <v>862.9799999999999</v>
      </c>
      <c r="N593" s="3">
        <f>_xlfn.XLOOKUP(Table1[[#This Row],[orderID]],Table3[orderID],Table3[quantity])</f>
        <v>30</v>
      </c>
      <c r="O593" s="6" t="str">
        <f>_xlfn.XLOOKUP(Table1[[#This Row],[CustomerID]],customers!A:A,customers!B:B)</f>
        <v>Tradição Hipermercados</v>
      </c>
      <c r="P593" s="6" t="str">
        <f>_xlfn.XLOOKUP(Table1[[#This Row],[shipperID]],Table6[shipperID],Table6[companyName])</f>
        <v>Federal Shipping</v>
      </c>
      <c r="Q593">
        <f>YEAR(Table1[[#This Row],[OrderDate]])</f>
        <v>2015</v>
      </c>
      <c r="R593">
        <f>MONTH(Table1[[#This Row],[OrderDate]])</f>
        <v>1</v>
      </c>
      <c r="S593" t="str">
        <f>"Q"&amp;ROUNDUP(Table1[[#This Row],[month]]/3,0)</f>
        <v>Q1</v>
      </c>
      <c r="T593" t="str">
        <f>CONCATENATE(Table1[[#This Row],[year]],"-",Table1[[#This Row],[Quarter]])</f>
        <v>2015-Q1</v>
      </c>
      <c r="U593" s="6" t="str">
        <f>IF(H592="","Pending",IF(Table1[[#This Row],[Days to ship]]&lt;Table1[[#This Row],[RequiredDate]],"On Time","Late"))</f>
        <v>On Time</v>
      </c>
      <c r="V593">
        <f>_xlfn.XLOOKUP(Table1[[#This Row],[orderID]],Table3[orderID],Table3[unitPrice])</f>
        <v>13.25</v>
      </c>
    </row>
    <row r="594" spans="1:22" x14ac:dyDescent="0.45">
      <c r="A594" s="3">
        <v>10840</v>
      </c>
      <c r="B594" s="6" t="s">
        <v>187</v>
      </c>
      <c r="C594" s="3">
        <v>4</v>
      </c>
      <c r="D594" s="6" t="str">
        <f>_xlfn.XLOOKUP(Table1[[#This Row],[EmployeeID]],Table4[employeeID],Table4[employeeName])</f>
        <v>Margaret Peacock</v>
      </c>
      <c r="E594" s="1">
        <v>42023</v>
      </c>
      <c r="F594" s="1">
        <v>42065</v>
      </c>
      <c r="G594" s="1">
        <v>42051</v>
      </c>
      <c r="H594" s="3">
        <f>IF(Table1[[#This Row],[ShippedDate]]="","",IF(Table1[[#This Row],[OrderDate]]="","",Table1[[#This Row],[ShippedDate]]-Table1[[#This Row],[OrderDate]]))</f>
        <v>28</v>
      </c>
      <c r="I594" s="3">
        <v>2</v>
      </c>
      <c r="J594" s="2">
        <v>2.71</v>
      </c>
      <c r="K594" s="2">
        <f>SUMIF(order_details!A:A,Table1[[#This Row],[orderID]],order_details!F:F)</f>
        <v>211.2</v>
      </c>
      <c r="L594" s="9">
        <f>_xlfn.XLOOKUP(Table1[[#This Row],[orderID]],Table3[orderID],Table3[discount])</f>
        <v>0.2</v>
      </c>
      <c r="M594" s="2">
        <f>SUM(Table1[[#This Row],[Sales]],Table1[[#This Row],[freight]])</f>
        <v>213.91</v>
      </c>
      <c r="N594" s="3">
        <f>_xlfn.XLOOKUP(Table1[[#This Row],[orderID]],Table3[orderID],Table3[quantity])</f>
        <v>6</v>
      </c>
      <c r="O594" s="6" t="str">
        <f>_xlfn.XLOOKUP(Table1[[#This Row],[CustomerID]],customers!A:A,customers!B:B)</f>
        <v>LINO-Delicateses</v>
      </c>
      <c r="P594" s="6" t="str">
        <f>_xlfn.XLOOKUP(Table1[[#This Row],[shipperID]],Table6[shipperID],Table6[companyName])</f>
        <v>United Package</v>
      </c>
      <c r="Q594">
        <f>YEAR(Table1[[#This Row],[OrderDate]])</f>
        <v>2015</v>
      </c>
      <c r="R594">
        <f>MONTH(Table1[[#This Row],[OrderDate]])</f>
        <v>1</v>
      </c>
      <c r="S594" t="str">
        <f>"Q"&amp;ROUNDUP(Table1[[#This Row],[month]]/3,0)</f>
        <v>Q1</v>
      </c>
      <c r="T594" t="str">
        <f>CONCATENATE(Table1[[#This Row],[year]],"-",Table1[[#This Row],[Quarter]])</f>
        <v>2015-Q1</v>
      </c>
      <c r="U594" s="6" t="str">
        <f>IF(H593="","Pending",IF(Table1[[#This Row],[Days to ship]]&lt;Table1[[#This Row],[RequiredDate]],"On Time","Late"))</f>
        <v>On Time</v>
      </c>
      <c r="V594">
        <f>_xlfn.XLOOKUP(Table1[[#This Row],[orderID]],Table3[orderID],Table3[unitPrice])</f>
        <v>14</v>
      </c>
    </row>
    <row r="595" spans="1:22" x14ac:dyDescent="0.45">
      <c r="A595" s="3">
        <v>10841</v>
      </c>
      <c r="B595" s="6" t="s">
        <v>188</v>
      </c>
      <c r="C595" s="3">
        <v>5</v>
      </c>
      <c r="D595" s="6" t="str">
        <f>_xlfn.XLOOKUP(Table1[[#This Row],[EmployeeID]],Table4[employeeID],Table4[employeeName])</f>
        <v>Steven Buchanan</v>
      </c>
      <c r="E595" s="1">
        <v>42024</v>
      </c>
      <c r="F595" s="1">
        <v>42052</v>
      </c>
      <c r="G595" s="1">
        <v>42033</v>
      </c>
      <c r="H595" s="3">
        <f>IF(Table1[[#This Row],[ShippedDate]]="","",IF(Table1[[#This Row],[OrderDate]]="","",Table1[[#This Row],[ShippedDate]]-Table1[[#This Row],[OrderDate]]))</f>
        <v>9</v>
      </c>
      <c r="I595" s="3">
        <v>2</v>
      </c>
      <c r="J595" s="2">
        <v>424.3</v>
      </c>
      <c r="K595" s="2">
        <f>SUMIF(order_details!A:A,Table1[[#This Row],[orderID]],order_details!F:F)</f>
        <v>4581</v>
      </c>
      <c r="L595" s="9">
        <f>_xlfn.XLOOKUP(Table1[[#This Row],[orderID]],Table3[orderID],Table3[discount])</f>
        <v>0</v>
      </c>
      <c r="M595" s="2">
        <f>SUM(Table1[[#This Row],[Sales]],Table1[[#This Row],[freight]])</f>
        <v>5005.3</v>
      </c>
      <c r="N595" s="3">
        <f>_xlfn.XLOOKUP(Table1[[#This Row],[orderID]],Table3[orderID],Table3[quantity])</f>
        <v>16</v>
      </c>
      <c r="O595" s="6" t="str">
        <f>_xlfn.XLOOKUP(Table1[[#This Row],[CustomerID]],customers!A:A,customers!B:B)</f>
        <v>Suprêmes délices</v>
      </c>
      <c r="P595" s="6" t="str">
        <f>_xlfn.XLOOKUP(Table1[[#This Row],[shipperID]],Table6[shipperID],Table6[companyName])</f>
        <v>United Package</v>
      </c>
      <c r="Q595">
        <f>YEAR(Table1[[#This Row],[OrderDate]])</f>
        <v>2015</v>
      </c>
      <c r="R595">
        <f>MONTH(Table1[[#This Row],[OrderDate]])</f>
        <v>1</v>
      </c>
      <c r="S595" t="str">
        <f>"Q"&amp;ROUNDUP(Table1[[#This Row],[month]]/3,0)</f>
        <v>Q1</v>
      </c>
      <c r="T595" t="str">
        <f>CONCATENATE(Table1[[#This Row],[year]],"-",Table1[[#This Row],[Quarter]])</f>
        <v>2015-Q1</v>
      </c>
      <c r="U595" s="6" t="str">
        <f>IF(H594="","Pending",IF(Table1[[#This Row],[Days to ship]]&lt;Table1[[#This Row],[RequiredDate]],"On Time","Late"))</f>
        <v>On Time</v>
      </c>
      <c r="V595">
        <f>_xlfn.XLOOKUP(Table1[[#This Row],[orderID]],Table3[orderID],Table3[unitPrice])</f>
        <v>31</v>
      </c>
    </row>
    <row r="596" spans="1:22" x14ac:dyDescent="0.45">
      <c r="A596" s="3">
        <v>10842</v>
      </c>
      <c r="B596" s="6" t="s">
        <v>161</v>
      </c>
      <c r="C596" s="3">
        <v>1</v>
      </c>
      <c r="D596" s="6" t="str">
        <f>_xlfn.XLOOKUP(Table1[[#This Row],[EmployeeID]],Table4[employeeID],Table4[employeeName])</f>
        <v>Nancy Davolio</v>
      </c>
      <c r="E596" s="1">
        <v>42024</v>
      </c>
      <c r="F596" s="1">
        <v>42052</v>
      </c>
      <c r="G596" s="1">
        <v>42033</v>
      </c>
      <c r="H596" s="3">
        <f>IF(Table1[[#This Row],[ShippedDate]]="","",IF(Table1[[#This Row],[OrderDate]]="","",Table1[[#This Row],[ShippedDate]]-Table1[[#This Row],[OrderDate]]))</f>
        <v>9</v>
      </c>
      <c r="I596" s="3">
        <v>3</v>
      </c>
      <c r="J596" s="2">
        <v>54.42</v>
      </c>
      <c r="K596" s="2">
        <f>SUMIF(order_details!A:A,Table1[[#This Row],[orderID]],order_details!F:F)</f>
        <v>975</v>
      </c>
      <c r="L596" s="9">
        <f>_xlfn.XLOOKUP(Table1[[#This Row],[orderID]],Table3[orderID],Table3[discount])</f>
        <v>0</v>
      </c>
      <c r="M596" s="2">
        <f>SUM(Table1[[#This Row],[Sales]],Table1[[#This Row],[freight]])</f>
        <v>1029.42</v>
      </c>
      <c r="N596" s="3">
        <f>_xlfn.XLOOKUP(Table1[[#This Row],[orderID]],Table3[orderID],Table3[quantity])</f>
        <v>15</v>
      </c>
      <c r="O596" s="6" t="str">
        <f>_xlfn.XLOOKUP(Table1[[#This Row],[CustomerID]],customers!A:A,customers!B:B)</f>
        <v>Tortuga Restaurante</v>
      </c>
      <c r="P596" s="6" t="str">
        <f>_xlfn.XLOOKUP(Table1[[#This Row],[shipperID]],Table6[shipperID],Table6[companyName])</f>
        <v>Federal Shipping</v>
      </c>
      <c r="Q596">
        <f>YEAR(Table1[[#This Row],[OrderDate]])</f>
        <v>2015</v>
      </c>
      <c r="R596">
        <f>MONTH(Table1[[#This Row],[OrderDate]])</f>
        <v>1</v>
      </c>
      <c r="S596" t="str">
        <f>"Q"&amp;ROUNDUP(Table1[[#This Row],[month]]/3,0)</f>
        <v>Q1</v>
      </c>
      <c r="T596" t="str">
        <f>CONCATENATE(Table1[[#This Row],[year]],"-",Table1[[#This Row],[Quarter]])</f>
        <v>2015-Q1</v>
      </c>
      <c r="U596" s="6" t="str">
        <f>IF(H595="","Pending",IF(Table1[[#This Row],[Days to ship]]&lt;Table1[[#This Row],[RequiredDate]],"On Time","Late"))</f>
        <v>On Time</v>
      </c>
      <c r="V596">
        <f>_xlfn.XLOOKUP(Table1[[#This Row],[orderID]],Table3[orderID],Table3[unitPrice])</f>
        <v>21</v>
      </c>
    </row>
    <row r="597" spans="1:22" x14ac:dyDescent="0.45">
      <c r="A597" s="3">
        <v>10843</v>
      </c>
      <c r="B597" s="6" t="s">
        <v>228</v>
      </c>
      <c r="C597" s="3">
        <v>4</v>
      </c>
      <c r="D597" s="6" t="str">
        <f>_xlfn.XLOOKUP(Table1[[#This Row],[EmployeeID]],Table4[employeeID],Table4[employeeName])</f>
        <v>Margaret Peacock</v>
      </c>
      <c r="E597" s="1">
        <v>42025</v>
      </c>
      <c r="F597" s="1">
        <v>42053</v>
      </c>
      <c r="G597" s="1">
        <v>42030</v>
      </c>
      <c r="H597" s="3">
        <f>IF(Table1[[#This Row],[ShippedDate]]="","",IF(Table1[[#This Row],[OrderDate]]="","",Table1[[#This Row],[ShippedDate]]-Table1[[#This Row],[OrderDate]]))</f>
        <v>5</v>
      </c>
      <c r="I597" s="3">
        <v>2</v>
      </c>
      <c r="J597" s="2">
        <v>9.26</v>
      </c>
      <c r="K597" s="2">
        <f>SUMIF(order_details!A:A,Table1[[#This Row],[orderID]],order_details!F:F)</f>
        <v>159</v>
      </c>
      <c r="L597" s="9">
        <f>_xlfn.XLOOKUP(Table1[[#This Row],[orderID]],Table3[orderID],Table3[discount])</f>
        <v>0.25</v>
      </c>
      <c r="M597" s="2">
        <f>SUM(Table1[[#This Row],[Sales]],Table1[[#This Row],[freight]])</f>
        <v>168.26</v>
      </c>
      <c r="N597" s="3">
        <f>_xlfn.XLOOKUP(Table1[[#This Row],[orderID]],Table3[orderID],Table3[quantity])</f>
        <v>4</v>
      </c>
      <c r="O597" s="6" t="str">
        <f>_xlfn.XLOOKUP(Table1[[#This Row],[CustomerID]],customers!A:A,customers!B:B)</f>
        <v>Victuailles en stock</v>
      </c>
      <c r="P597" s="6" t="str">
        <f>_xlfn.XLOOKUP(Table1[[#This Row],[shipperID]],Table6[shipperID],Table6[companyName])</f>
        <v>United Package</v>
      </c>
      <c r="Q597">
        <f>YEAR(Table1[[#This Row],[OrderDate]])</f>
        <v>2015</v>
      </c>
      <c r="R597">
        <f>MONTH(Table1[[#This Row],[OrderDate]])</f>
        <v>1</v>
      </c>
      <c r="S597" t="str">
        <f>"Q"&amp;ROUNDUP(Table1[[#This Row],[month]]/3,0)</f>
        <v>Q1</v>
      </c>
      <c r="T597" t="str">
        <f>CONCATENATE(Table1[[#This Row],[year]],"-",Table1[[#This Row],[Quarter]])</f>
        <v>2015-Q1</v>
      </c>
      <c r="U597" s="6" t="str">
        <f>IF(H596="","Pending",IF(Table1[[#This Row],[Days to ship]]&lt;Table1[[#This Row],[RequiredDate]],"On Time","Late"))</f>
        <v>On Time</v>
      </c>
      <c r="V597">
        <f>_xlfn.XLOOKUP(Table1[[#This Row],[orderID]],Table3[orderID],Table3[unitPrice])</f>
        <v>53</v>
      </c>
    </row>
    <row r="598" spans="1:22" x14ac:dyDescent="0.45">
      <c r="A598" s="3">
        <v>10844</v>
      </c>
      <c r="B598" s="6" t="s">
        <v>176</v>
      </c>
      <c r="C598" s="3">
        <v>8</v>
      </c>
      <c r="D598" s="6" t="str">
        <f>_xlfn.XLOOKUP(Table1[[#This Row],[EmployeeID]],Table4[employeeID],Table4[employeeName])</f>
        <v>Laura Callahan</v>
      </c>
      <c r="E598" s="1">
        <v>42025</v>
      </c>
      <c r="F598" s="1">
        <v>42053</v>
      </c>
      <c r="G598" s="1">
        <v>42030</v>
      </c>
      <c r="H598" s="3">
        <f>IF(Table1[[#This Row],[ShippedDate]]="","",IF(Table1[[#This Row],[OrderDate]]="","",Table1[[#This Row],[ShippedDate]]-Table1[[#This Row],[OrderDate]]))</f>
        <v>5</v>
      </c>
      <c r="I598" s="3">
        <v>2</v>
      </c>
      <c r="J598" s="2">
        <v>25.22</v>
      </c>
      <c r="K598" s="2">
        <f>SUMIF(order_details!A:A,Table1[[#This Row],[orderID]],order_details!F:F)</f>
        <v>735</v>
      </c>
      <c r="L598" s="9">
        <f>_xlfn.XLOOKUP(Table1[[#This Row],[orderID]],Table3[orderID],Table3[discount])</f>
        <v>0</v>
      </c>
      <c r="M598" s="2">
        <f>SUM(Table1[[#This Row],[Sales]],Table1[[#This Row],[freight]])</f>
        <v>760.22</v>
      </c>
      <c r="N598" s="3">
        <f>_xlfn.XLOOKUP(Table1[[#This Row],[orderID]],Table3[orderID],Table3[quantity])</f>
        <v>35</v>
      </c>
      <c r="O598" s="6" t="str">
        <f>_xlfn.XLOOKUP(Table1[[#This Row],[CustomerID]],customers!A:A,customers!B:B)</f>
        <v>Piccolo und mehr</v>
      </c>
      <c r="P598" s="6" t="str">
        <f>_xlfn.XLOOKUP(Table1[[#This Row],[shipperID]],Table6[shipperID],Table6[companyName])</f>
        <v>United Package</v>
      </c>
      <c r="Q598">
        <f>YEAR(Table1[[#This Row],[OrderDate]])</f>
        <v>2015</v>
      </c>
      <c r="R598">
        <f>MONTH(Table1[[#This Row],[OrderDate]])</f>
        <v>1</v>
      </c>
      <c r="S598" t="str">
        <f>"Q"&amp;ROUNDUP(Table1[[#This Row],[month]]/3,0)</f>
        <v>Q1</v>
      </c>
      <c r="T598" t="str">
        <f>CONCATENATE(Table1[[#This Row],[year]],"-",Table1[[#This Row],[Quarter]])</f>
        <v>2015-Q1</v>
      </c>
      <c r="U598" s="6" t="str">
        <f>IF(H597="","Pending",IF(Table1[[#This Row],[Days to ship]]&lt;Table1[[#This Row],[RequiredDate]],"On Time","Late"))</f>
        <v>On Time</v>
      </c>
      <c r="V598">
        <f>_xlfn.XLOOKUP(Table1[[#This Row],[orderID]],Table3[orderID],Table3[unitPrice])</f>
        <v>21</v>
      </c>
    </row>
    <row r="599" spans="1:22" x14ac:dyDescent="0.45">
      <c r="A599" s="3">
        <v>10845</v>
      </c>
      <c r="B599" s="6" t="s">
        <v>194</v>
      </c>
      <c r="C599" s="3">
        <v>8</v>
      </c>
      <c r="D599" s="6" t="str">
        <f>_xlfn.XLOOKUP(Table1[[#This Row],[EmployeeID]],Table4[employeeID],Table4[employeeName])</f>
        <v>Laura Callahan</v>
      </c>
      <c r="E599" s="1">
        <v>42025</v>
      </c>
      <c r="F599" s="1">
        <v>42039</v>
      </c>
      <c r="G599" s="1">
        <v>42034</v>
      </c>
      <c r="H599" s="3">
        <f>IF(Table1[[#This Row],[ShippedDate]]="","",IF(Table1[[#This Row],[OrderDate]]="","",Table1[[#This Row],[ShippedDate]]-Table1[[#This Row],[OrderDate]]))</f>
        <v>9</v>
      </c>
      <c r="I599" s="3">
        <v>1</v>
      </c>
      <c r="J599" s="2">
        <v>212.98</v>
      </c>
      <c r="K599" s="2">
        <f>SUMIF(order_details!A:A,Table1[[#This Row],[orderID]],order_details!F:F)</f>
        <v>3812.7</v>
      </c>
      <c r="L599" s="9">
        <f>_xlfn.XLOOKUP(Table1[[#This Row],[orderID]],Table3[orderID],Table3[discount])</f>
        <v>0.1</v>
      </c>
      <c r="M599" s="2">
        <f>SUM(Table1[[#This Row],[Sales]],Table1[[#This Row],[freight]])</f>
        <v>4025.68</v>
      </c>
      <c r="N599" s="3">
        <f>_xlfn.XLOOKUP(Table1[[#This Row],[orderID]],Table3[orderID],Table3[quantity])</f>
        <v>70</v>
      </c>
      <c r="O599" s="6" t="str">
        <f>_xlfn.XLOOKUP(Table1[[#This Row],[CustomerID]],customers!A:A,customers!B:B)</f>
        <v>QUICK-Stop</v>
      </c>
      <c r="P599" s="6" t="str">
        <f>_xlfn.XLOOKUP(Table1[[#This Row],[shipperID]],Table6[shipperID],Table6[companyName])</f>
        <v>Speedy Express</v>
      </c>
      <c r="Q599">
        <f>YEAR(Table1[[#This Row],[OrderDate]])</f>
        <v>2015</v>
      </c>
      <c r="R599">
        <f>MONTH(Table1[[#This Row],[OrderDate]])</f>
        <v>1</v>
      </c>
      <c r="S599" t="str">
        <f>"Q"&amp;ROUNDUP(Table1[[#This Row],[month]]/3,0)</f>
        <v>Q1</v>
      </c>
      <c r="T599" t="str">
        <f>CONCATENATE(Table1[[#This Row],[year]],"-",Table1[[#This Row],[Quarter]])</f>
        <v>2015-Q1</v>
      </c>
      <c r="U599" s="6" t="str">
        <f>IF(H598="","Pending",IF(Table1[[#This Row],[Days to ship]]&lt;Table1[[#This Row],[RequiredDate]],"On Time","Late"))</f>
        <v>On Time</v>
      </c>
      <c r="V599">
        <f>_xlfn.XLOOKUP(Table1[[#This Row],[orderID]],Table3[orderID],Table3[unitPrice])</f>
        <v>9</v>
      </c>
    </row>
    <row r="600" spans="1:22" x14ac:dyDescent="0.45">
      <c r="A600" s="3">
        <v>10846</v>
      </c>
      <c r="B600" s="6" t="s">
        <v>188</v>
      </c>
      <c r="C600" s="3">
        <v>2</v>
      </c>
      <c r="D600" s="6" t="str">
        <f>_xlfn.XLOOKUP(Table1[[#This Row],[EmployeeID]],Table4[employeeID],Table4[employeeName])</f>
        <v>Andrew Fuller</v>
      </c>
      <c r="E600" s="1">
        <v>42026</v>
      </c>
      <c r="F600" s="1">
        <v>42068</v>
      </c>
      <c r="G600" s="1">
        <v>42027</v>
      </c>
      <c r="H600" s="3">
        <f>IF(Table1[[#This Row],[ShippedDate]]="","",IF(Table1[[#This Row],[OrderDate]]="","",Table1[[#This Row],[ShippedDate]]-Table1[[#This Row],[OrderDate]]))</f>
        <v>1</v>
      </c>
      <c r="I600" s="3">
        <v>3</v>
      </c>
      <c r="J600" s="2">
        <v>56.46</v>
      </c>
      <c r="K600" s="2">
        <f>SUMIF(order_details!A:A,Table1[[#This Row],[orderID]],order_details!F:F)</f>
        <v>1112</v>
      </c>
      <c r="L600" s="9">
        <f>_xlfn.XLOOKUP(Table1[[#This Row],[orderID]],Table3[orderID],Table3[discount])</f>
        <v>0</v>
      </c>
      <c r="M600" s="2">
        <f>SUM(Table1[[#This Row],[Sales]],Table1[[#This Row],[freight]])</f>
        <v>1168.46</v>
      </c>
      <c r="N600" s="3">
        <f>_xlfn.XLOOKUP(Table1[[#This Row],[orderID]],Table3[orderID],Table3[quantity])</f>
        <v>21</v>
      </c>
      <c r="O600" s="6" t="str">
        <f>_xlfn.XLOOKUP(Table1[[#This Row],[CustomerID]],customers!A:A,customers!B:B)</f>
        <v>Suprêmes délices</v>
      </c>
      <c r="P600" s="6" t="str">
        <f>_xlfn.XLOOKUP(Table1[[#This Row],[shipperID]],Table6[shipperID],Table6[companyName])</f>
        <v>Federal Shipping</v>
      </c>
      <c r="Q600">
        <f>YEAR(Table1[[#This Row],[OrderDate]])</f>
        <v>2015</v>
      </c>
      <c r="R600">
        <f>MONTH(Table1[[#This Row],[OrderDate]])</f>
        <v>1</v>
      </c>
      <c r="S600" t="str">
        <f>"Q"&amp;ROUNDUP(Table1[[#This Row],[month]]/3,0)</f>
        <v>Q1</v>
      </c>
      <c r="T600" t="str">
        <f>CONCATENATE(Table1[[#This Row],[year]],"-",Table1[[#This Row],[Quarter]])</f>
        <v>2015-Q1</v>
      </c>
      <c r="U600" s="6" t="str">
        <f>IF(H599="","Pending",IF(Table1[[#This Row],[Days to ship]]&lt;Table1[[#This Row],[RequiredDate]],"On Time","Late"))</f>
        <v>On Time</v>
      </c>
      <c r="V600">
        <f>_xlfn.XLOOKUP(Table1[[#This Row],[orderID]],Table3[orderID],Table3[unitPrice])</f>
        <v>22</v>
      </c>
    </row>
    <row r="601" spans="1:22" x14ac:dyDescent="0.45">
      <c r="A601" s="3">
        <v>10847</v>
      </c>
      <c r="B601" s="6" t="s">
        <v>165</v>
      </c>
      <c r="C601" s="3">
        <v>4</v>
      </c>
      <c r="D601" s="6" t="str">
        <f>_xlfn.XLOOKUP(Table1[[#This Row],[EmployeeID]],Table4[employeeID],Table4[employeeName])</f>
        <v>Margaret Peacock</v>
      </c>
      <c r="E601" s="1">
        <v>42026</v>
      </c>
      <c r="F601" s="1">
        <v>42040</v>
      </c>
      <c r="G601" s="1">
        <v>42045</v>
      </c>
      <c r="H601" s="3">
        <f>IF(Table1[[#This Row],[ShippedDate]]="","",IF(Table1[[#This Row],[OrderDate]]="","",Table1[[#This Row],[ShippedDate]]-Table1[[#This Row],[OrderDate]]))</f>
        <v>19</v>
      </c>
      <c r="I601" s="3">
        <v>3</v>
      </c>
      <c r="J601" s="2">
        <v>487.57</v>
      </c>
      <c r="K601" s="2">
        <f>SUMIF(order_details!A:A,Table1[[#This Row],[orderID]],order_details!F:F)</f>
        <v>4931.92</v>
      </c>
      <c r="L601" s="9">
        <f>_xlfn.XLOOKUP(Table1[[#This Row],[orderID]],Table3[orderID],Table3[discount])</f>
        <v>0.2</v>
      </c>
      <c r="M601" s="2">
        <f>SUM(Table1[[#This Row],[Sales]],Table1[[#This Row],[freight]])</f>
        <v>5419.49</v>
      </c>
      <c r="N601" s="3">
        <f>_xlfn.XLOOKUP(Table1[[#This Row],[orderID]],Table3[orderID],Table3[quantity])</f>
        <v>80</v>
      </c>
      <c r="O601" s="6" t="str">
        <f>_xlfn.XLOOKUP(Table1[[#This Row],[CustomerID]],customers!A:A,customers!B:B)</f>
        <v>Save-a-lot Markets</v>
      </c>
      <c r="P601" s="6" t="str">
        <f>_xlfn.XLOOKUP(Table1[[#This Row],[shipperID]],Table6[shipperID],Table6[companyName])</f>
        <v>Federal Shipping</v>
      </c>
      <c r="Q601">
        <f>YEAR(Table1[[#This Row],[OrderDate]])</f>
        <v>2015</v>
      </c>
      <c r="R601">
        <f>MONTH(Table1[[#This Row],[OrderDate]])</f>
        <v>1</v>
      </c>
      <c r="S601" t="str">
        <f>"Q"&amp;ROUNDUP(Table1[[#This Row],[month]]/3,0)</f>
        <v>Q1</v>
      </c>
      <c r="T601" t="str">
        <f>CONCATENATE(Table1[[#This Row],[year]],"-",Table1[[#This Row],[Quarter]])</f>
        <v>2015-Q1</v>
      </c>
      <c r="U601" s="6" t="str">
        <f>IF(H600="","Pending",IF(Table1[[#This Row],[Days to ship]]&lt;Table1[[#This Row],[RequiredDate]],"On Time","Late"))</f>
        <v>On Time</v>
      </c>
      <c r="V601">
        <f>_xlfn.XLOOKUP(Table1[[#This Row],[orderID]],Table3[orderID],Table3[unitPrice])</f>
        <v>18</v>
      </c>
    </row>
    <row r="602" spans="1:22" x14ac:dyDescent="0.45">
      <c r="A602" s="3">
        <v>10848</v>
      </c>
      <c r="B602" s="6" t="s">
        <v>229</v>
      </c>
      <c r="C602" s="3">
        <v>7</v>
      </c>
      <c r="D602" s="6" t="str">
        <f>_xlfn.XLOOKUP(Table1[[#This Row],[EmployeeID]],Table4[employeeID],Table4[employeeName])</f>
        <v>Robert King</v>
      </c>
      <c r="E602" s="1">
        <v>42027</v>
      </c>
      <c r="F602" s="1">
        <v>42055</v>
      </c>
      <c r="G602" s="1">
        <v>42033</v>
      </c>
      <c r="H602" s="3">
        <f>IF(Table1[[#This Row],[ShippedDate]]="","",IF(Table1[[#This Row],[OrderDate]]="","",Table1[[#This Row],[ShippedDate]]-Table1[[#This Row],[OrderDate]]))</f>
        <v>6</v>
      </c>
      <c r="I602" s="3">
        <v>2</v>
      </c>
      <c r="J602" s="2">
        <v>38.24</v>
      </c>
      <c r="K602" s="2">
        <f>SUMIF(order_details!A:A,Table1[[#This Row],[orderID]],order_details!F:F)</f>
        <v>931.5</v>
      </c>
      <c r="L602" s="9">
        <f>_xlfn.XLOOKUP(Table1[[#This Row],[orderID]],Table3[orderID],Table3[discount])</f>
        <v>0</v>
      </c>
      <c r="M602" s="2">
        <f>SUM(Table1[[#This Row],[Sales]],Table1[[#This Row],[freight]])</f>
        <v>969.74</v>
      </c>
      <c r="N602" s="3">
        <f>_xlfn.XLOOKUP(Table1[[#This Row],[orderID]],Table3[orderID],Table3[quantity])</f>
        <v>30</v>
      </c>
      <c r="O602" s="6" t="str">
        <f>_xlfn.XLOOKUP(Table1[[#This Row],[CustomerID]],customers!A:A,customers!B:B)</f>
        <v>Consolidated Holdings</v>
      </c>
      <c r="P602" s="6" t="str">
        <f>_xlfn.XLOOKUP(Table1[[#This Row],[shipperID]],Table6[shipperID],Table6[companyName])</f>
        <v>United Package</v>
      </c>
      <c r="Q602">
        <f>YEAR(Table1[[#This Row],[OrderDate]])</f>
        <v>2015</v>
      </c>
      <c r="R602">
        <f>MONTH(Table1[[#This Row],[OrderDate]])</f>
        <v>1</v>
      </c>
      <c r="S602" t="str">
        <f>"Q"&amp;ROUNDUP(Table1[[#This Row],[month]]/3,0)</f>
        <v>Q1</v>
      </c>
      <c r="T602" t="str">
        <f>CONCATENATE(Table1[[#This Row],[year]],"-",Table1[[#This Row],[Quarter]])</f>
        <v>2015-Q1</v>
      </c>
      <c r="U602" s="6" t="str">
        <f>IF(H601="","Pending",IF(Table1[[#This Row],[Days to ship]]&lt;Table1[[#This Row],[RequiredDate]],"On Time","Late"))</f>
        <v>On Time</v>
      </c>
      <c r="V602">
        <f>_xlfn.XLOOKUP(Table1[[#This Row],[orderID]],Table3[orderID],Table3[unitPrice])</f>
        <v>21.35</v>
      </c>
    </row>
    <row r="603" spans="1:22" x14ac:dyDescent="0.45">
      <c r="A603" s="3">
        <v>10849</v>
      </c>
      <c r="B603" s="6" t="s">
        <v>191</v>
      </c>
      <c r="C603" s="3">
        <v>9</v>
      </c>
      <c r="D603" s="6" t="str">
        <f>_xlfn.XLOOKUP(Table1[[#This Row],[EmployeeID]],Table4[employeeID],Table4[employeeName])</f>
        <v>Anne Dodsworth</v>
      </c>
      <c r="E603" s="1">
        <v>42027</v>
      </c>
      <c r="F603" s="1">
        <v>42055</v>
      </c>
      <c r="G603" s="1">
        <v>42034</v>
      </c>
      <c r="H603" s="3">
        <f>IF(Table1[[#This Row],[ShippedDate]]="","",IF(Table1[[#This Row],[OrderDate]]="","",Table1[[#This Row],[ShippedDate]]-Table1[[#This Row],[OrderDate]]))</f>
        <v>7</v>
      </c>
      <c r="I603" s="3">
        <v>2</v>
      </c>
      <c r="J603" s="2">
        <v>0.56000000000000005</v>
      </c>
      <c r="K603" s="2">
        <f>SUMIF(order_details!A:A,Table1[[#This Row],[orderID]],order_details!F:F)</f>
        <v>967.81899999999996</v>
      </c>
      <c r="L603" s="9">
        <f>_xlfn.XLOOKUP(Table1[[#This Row],[orderID]],Table3[orderID],Table3[discount])</f>
        <v>0</v>
      </c>
      <c r="M603" s="2">
        <f>SUM(Table1[[#This Row],[Sales]],Table1[[#This Row],[freight]])</f>
        <v>968.37899999999991</v>
      </c>
      <c r="N603" s="3">
        <f>_xlfn.XLOOKUP(Table1[[#This Row],[orderID]],Table3[orderID],Table3[quantity])</f>
        <v>49</v>
      </c>
      <c r="O603" s="6" t="str">
        <f>_xlfn.XLOOKUP(Table1[[#This Row],[CustomerID]],customers!A:A,customers!B:B)</f>
        <v>Königlich Essen</v>
      </c>
      <c r="P603" s="6" t="str">
        <f>_xlfn.XLOOKUP(Table1[[#This Row],[shipperID]],Table6[shipperID],Table6[companyName])</f>
        <v>United Package</v>
      </c>
      <c r="Q603">
        <f>YEAR(Table1[[#This Row],[OrderDate]])</f>
        <v>2015</v>
      </c>
      <c r="R603">
        <f>MONTH(Table1[[#This Row],[OrderDate]])</f>
        <v>1</v>
      </c>
      <c r="S603" t="str">
        <f>"Q"&amp;ROUNDUP(Table1[[#This Row],[month]]/3,0)</f>
        <v>Q1</v>
      </c>
      <c r="T603" t="str">
        <f>CONCATENATE(Table1[[#This Row],[year]],"-",Table1[[#This Row],[Quarter]])</f>
        <v>2015-Q1</v>
      </c>
      <c r="U603" s="6" t="str">
        <f>IF(H602="","Pending",IF(Table1[[#This Row],[Days to ship]]&lt;Table1[[#This Row],[RequiredDate]],"On Time","Late"))</f>
        <v>On Time</v>
      </c>
      <c r="V603">
        <f>_xlfn.XLOOKUP(Table1[[#This Row],[orderID]],Table3[orderID],Table3[unitPrice])</f>
        <v>10</v>
      </c>
    </row>
    <row r="604" spans="1:22" x14ac:dyDescent="0.45">
      <c r="A604" s="3">
        <v>10850</v>
      </c>
      <c r="B604" s="6" t="s">
        <v>228</v>
      </c>
      <c r="C604" s="3">
        <v>1</v>
      </c>
      <c r="D604" s="6" t="str">
        <f>_xlfn.XLOOKUP(Table1[[#This Row],[EmployeeID]],Table4[employeeID],Table4[employeeName])</f>
        <v>Nancy Davolio</v>
      </c>
      <c r="E604" s="1">
        <v>42027</v>
      </c>
      <c r="F604" s="1">
        <v>42069</v>
      </c>
      <c r="G604" s="1">
        <v>42034</v>
      </c>
      <c r="H604" s="3">
        <f>IF(Table1[[#This Row],[ShippedDate]]="","",IF(Table1[[#This Row],[OrderDate]]="","",Table1[[#This Row],[ShippedDate]]-Table1[[#This Row],[OrderDate]]))</f>
        <v>7</v>
      </c>
      <c r="I604" s="3">
        <v>1</v>
      </c>
      <c r="J604" s="2">
        <v>49.19</v>
      </c>
      <c r="K604" s="2">
        <f>SUMIF(order_details!A:A,Table1[[#This Row],[orderID]],order_details!F:F)</f>
        <v>629</v>
      </c>
      <c r="L604" s="9">
        <f>_xlfn.XLOOKUP(Table1[[#This Row],[orderID]],Table3[orderID],Table3[discount])</f>
        <v>0.15</v>
      </c>
      <c r="M604" s="2">
        <f>SUM(Table1[[#This Row],[Sales]],Table1[[#This Row],[freight]])</f>
        <v>678.19</v>
      </c>
      <c r="N604" s="3">
        <f>_xlfn.XLOOKUP(Table1[[#This Row],[orderID]],Table3[orderID],Table3[quantity])</f>
        <v>20</v>
      </c>
      <c r="O604" s="6" t="str">
        <f>_xlfn.XLOOKUP(Table1[[#This Row],[CustomerID]],customers!A:A,customers!B:B)</f>
        <v>Victuailles en stock</v>
      </c>
      <c r="P604" s="6" t="str">
        <f>_xlfn.XLOOKUP(Table1[[#This Row],[shipperID]],Table6[shipperID],Table6[companyName])</f>
        <v>Speedy Express</v>
      </c>
      <c r="Q604">
        <f>YEAR(Table1[[#This Row],[OrderDate]])</f>
        <v>2015</v>
      </c>
      <c r="R604">
        <f>MONTH(Table1[[#This Row],[OrderDate]])</f>
        <v>1</v>
      </c>
      <c r="S604" t="str">
        <f>"Q"&amp;ROUNDUP(Table1[[#This Row],[month]]/3,0)</f>
        <v>Q1</v>
      </c>
      <c r="T604" t="str">
        <f>CONCATENATE(Table1[[#This Row],[year]],"-",Table1[[#This Row],[Quarter]])</f>
        <v>2015-Q1</v>
      </c>
      <c r="U604" s="6" t="str">
        <f>IF(H603="","Pending",IF(Table1[[#This Row],[Days to ship]]&lt;Table1[[#This Row],[RequiredDate]],"On Time","Late"))</f>
        <v>On Time</v>
      </c>
      <c r="V604">
        <f>_xlfn.XLOOKUP(Table1[[#This Row],[orderID]],Table3[orderID],Table3[unitPrice])</f>
        <v>14</v>
      </c>
    </row>
    <row r="605" spans="1:22" x14ac:dyDescent="0.45">
      <c r="A605" s="3">
        <v>10851</v>
      </c>
      <c r="B605" s="6" t="s">
        <v>170</v>
      </c>
      <c r="C605" s="3">
        <v>5</v>
      </c>
      <c r="D605" s="6" t="str">
        <f>_xlfn.XLOOKUP(Table1[[#This Row],[EmployeeID]],Table4[employeeID],Table4[employeeName])</f>
        <v>Steven Buchanan</v>
      </c>
      <c r="E605" s="1">
        <v>42030</v>
      </c>
      <c r="F605" s="1">
        <v>42058</v>
      </c>
      <c r="G605" s="1">
        <v>42037</v>
      </c>
      <c r="H605" s="3">
        <f>IF(Table1[[#This Row],[ShippedDate]]="","",IF(Table1[[#This Row],[OrderDate]]="","",Table1[[#This Row],[ShippedDate]]-Table1[[#This Row],[OrderDate]]))</f>
        <v>7</v>
      </c>
      <c r="I605" s="3">
        <v>1</v>
      </c>
      <c r="J605" s="2">
        <v>160.55000000000001</v>
      </c>
      <c r="K605" s="2">
        <f>SUMIF(order_details!A:A,Table1[[#This Row],[orderID]],order_details!F:F)</f>
        <v>2603</v>
      </c>
      <c r="L605" s="9">
        <f>_xlfn.XLOOKUP(Table1[[#This Row],[orderID]],Table3[orderID],Table3[discount])</f>
        <v>0.05</v>
      </c>
      <c r="M605" s="2">
        <f>SUM(Table1[[#This Row],[Sales]],Table1[[#This Row],[freight]])</f>
        <v>2763.55</v>
      </c>
      <c r="N605" s="3">
        <f>_xlfn.XLOOKUP(Table1[[#This Row],[orderID]],Table3[orderID],Table3[quantity])</f>
        <v>5</v>
      </c>
      <c r="O605" s="6" t="str">
        <f>_xlfn.XLOOKUP(Table1[[#This Row],[CustomerID]],customers!A:A,customers!B:B)</f>
        <v>Ricardo Adocicados</v>
      </c>
      <c r="P605" s="6" t="str">
        <f>_xlfn.XLOOKUP(Table1[[#This Row],[shipperID]],Table6[shipperID],Table6[companyName])</f>
        <v>Speedy Express</v>
      </c>
      <c r="Q605">
        <f>YEAR(Table1[[#This Row],[OrderDate]])</f>
        <v>2015</v>
      </c>
      <c r="R605">
        <f>MONTH(Table1[[#This Row],[OrderDate]])</f>
        <v>1</v>
      </c>
      <c r="S605" t="str">
        <f>"Q"&amp;ROUNDUP(Table1[[#This Row],[month]]/3,0)</f>
        <v>Q1</v>
      </c>
      <c r="T605" t="str">
        <f>CONCATENATE(Table1[[#This Row],[year]],"-",Table1[[#This Row],[Quarter]])</f>
        <v>2015-Q1</v>
      </c>
      <c r="U605" s="6" t="str">
        <f>IF(H604="","Pending",IF(Table1[[#This Row],[Days to ship]]&lt;Table1[[#This Row],[RequiredDate]],"On Time","Late"))</f>
        <v>On Time</v>
      </c>
      <c r="V605">
        <f>_xlfn.XLOOKUP(Table1[[#This Row],[orderID]],Table3[orderID],Table3[unitPrice])</f>
        <v>19</v>
      </c>
    </row>
    <row r="606" spans="1:22" x14ac:dyDescent="0.45">
      <c r="A606" s="3">
        <v>10852</v>
      </c>
      <c r="B606" s="6" t="s">
        <v>153</v>
      </c>
      <c r="C606" s="3">
        <v>8</v>
      </c>
      <c r="D606" s="6" t="str">
        <f>_xlfn.XLOOKUP(Table1[[#This Row],[EmployeeID]],Table4[employeeID],Table4[employeeName])</f>
        <v>Laura Callahan</v>
      </c>
      <c r="E606" s="1">
        <v>42030</v>
      </c>
      <c r="F606" s="1">
        <v>42044</v>
      </c>
      <c r="G606" s="1">
        <v>42034</v>
      </c>
      <c r="H606" s="3">
        <f>IF(Table1[[#This Row],[ShippedDate]]="","",IF(Table1[[#This Row],[OrderDate]]="","",Table1[[#This Row],[ShippedDate]]-Table1[[#This Row],[OrderDate]]))</f>
        <v>4</v>
      </c>
      <c r="I606" s="3">
        <v>1</v>
      </c>
      <c r="J606" s="2">
        <v>174.05</v>
      </c>
      <c r="K606" s="2">
        <f>SUMIF(order_details!A:A,Table1[[#This Row],[orderID]],order_details!F:F)</f>
        <v>2984</v>
      </c>
      <c r="L606" s="9">
        <f>_xlfn.XLOOKUP(Table1[[#This Row],[orderID]],Table3[orderID],Table3[discount])</f>
        <v>0</v>
      </c>
      <c r="M606" s="2">
        <f>SUM(Table1[[#This Row],[Sales]],Table1[[#This Row],[freight]])</f>
        <v>3158.05</v>
      </c>
      <c r="N606" s="3">
        <f>_xlfn.XLOOKUP(Table1[[#This Row],[orderID]],Table3[orderID],Table3[quantity])</f>
        <v>15</v>
      </c>
      <c r="O606" s="6" t="str">
        <f>_xlfn.XLOOKUP(Table1[[#This Row],[CustomerID]],customers!A:A,customers!B:B)</f>
        <v>Rattlesnake Canyon Grocery</v>
      </c>
      <c r="P606" s="6" t="str">
        <f>_xlfn.XLOOKUP(Table1[[#This Row],[shipperID]],Table6[shipperID],Table6[companyName])</f>
        <v>Speedy Express</v>
      </c>
      <c r="Q606">
        <f>YEAR(Table1[[#This Row],[OrderDate]])</f>
        <v>2015</v>
      </c>
      <c r="R606">
        <f>MONTH(Table1[[#This Row],[OrderDate]])</f>
        <v>1</v>
      </c>
      <c r="S606" t="str">
        <f>"Q"&amp;ROUNDUP(Table1[[#This Row],[month]]/3,0)</f>
        <v>Q1</v>
      </c>
      <c r="T606" t="str">
        <f>CONCATENATE(Table1[[#This Row],[year]],"-",Table1[[#This Row],[Quarter]])</f>
        <v>2015-Q1</v>
      </c>
      <c r="U606" s="6" t="str">
        <f>IF(H605="","Pending",IF(Table1[[#This Row],[Days to ship]]&lt;Table1[[#This Row],[RequiredDate]],"On Time","Late"))</f>
        <v>On Time</v>
      </c>
      <c r="V606">
        <f>_xlfn.XLOOKUP(Table1[[#This Row],[orderID]],Table3[orderID],Table3[unitPrice])</f>
        <v>19</v>
      </c>
    </row>
    <row r="607" spans="1:22" x14ac:dyDescent="0.45">
      <c r="A607" s="3">
        <v>10853</v>
      </c>
      <c r="B607" s="6" t="s">
        <v>171</v>
      </c>
      <c r="C607" s="3">
        <v>9</v>
      </c>
      <c r="D607" s="6" t="str">
        <f>_xlfn.XLOOKUP(Table1[[#This Row],[EmployeeID]],Table4[employeeID],Table4[employeeName])</f>
        <v>Anne Dodsworth</v>
      </c>
      <c r="E607" s="1">
        <v>42031</v>
      </c>
      <c r="F607" s="1">
        <v>42059</v>
      </c>
      <c r="G607" s="1">
        <v>42038</v>
      </c>
      <c r="H607" s="3">
        <f>IF(Table1[[#This Row],[ShippedDate]]="","",IF(Table1[[#This Row],[OrderDate]]="","",Table1[[#This Row],[ShippedDate]]-Table1[[#This Row],[OrderDate]]))</f>
        <v>7</v>
      </c>
      <c r="I607" s="3">
        <v>2</v>
      </c>
      <c r="J607" s="2">
        <v>53.83</v>
      </c>
      <c r="K607" s="2">
        <f>SUMIF(order_details!A:A,Table1[[#This Row],[orderID]],order_details!F:F)</f>
        <v>625</v>
      </c>
      <c r="L607" s="9">
        <f>_xlfn.XLOOKUP(Table1[[#This Row],[orderID]],Table3[orderID],Table3[discount])</f>
        <v>0</v>
      </c>
      <c r="M607" s="2">
        <f>SUM(Table1[[#This Row],[Sales]],Table1[[#This Row],[freight]])</f>
        <v>678.83</v>
      </c>
      <c r="N607" s="3">
        <f>_xlfn.XLOOKUP(Table1[[#This Row],[orderID]],Table3[orderID],Table3[quantity])</f>
        <v>10</v>
      </c>
      <c r="O607" s="6" t="str">
        <f>_xlfn.XLOOKUP(Table1[[#This Row],[CustomerID]],customers!A:A,customers!B:B)</f>
        <v>Blauer See Delikatessen</v>
      </c>
      <c r="P607" s="6" t="str">
        <f>_xlfn.XLOOKUP(Table1[[#This Row],[shipperID]],Table6[shipperID],Table6[companyName])</f>
        <v>United Package</v>
      </c>
      <c r="Q607">
        <f>YEAR(Table1[[#This Row],[OrderDate]])</f>
        <v>2015</v>
      </c>
      <c r="R607">
        <f>MONTH(Table1[[#This Row],[OrderDate]])</f>
        <v>1</v>
      </c>
      <c r="S607" t="str">
        <f>"Q"&amp;ROUNDUP(Table1[[#This Row],[month]]/3,0)</f>
        <v>Q1</v>
      </c>
      <c r="T607" t="str">
        <f>CONCATENATE(Table1[[#This Row],[year]],"-",Table1[[#This Row],[Quarter]])</f>
        <v>2015-Q1</v>
      </c>
      <c r="U607" s="6" t="str">
        <f>IF(H606="","Pending",IF(Table1[[#This Row],[Days to ship]]&lt;Table1[[#This Row],[RequiredDate]],"On Time","Late"))</f>
        <v>On Time</v>
      </c>
      <c r="V607">
        <f>_xlfn.XLOOKUP(Table1[[#This Row],[orderID]],Table3[orderID],Table3[unitPrice])</f>
        <v>62.5</v>
      </c>
    </row>
    <row r="608" spans="1:22" x14ac:dyDescent="0.45">
      <c r="A608" s="3">
        <v>10854</v>
      </c>
      <c r="B608" s="6" t="s">
        <v>158</v>
      </c>
      <c r="C608" s="3">
        <v>3</v>
      </c>
      <c r="D608" s="6" t="str">
        <f>_xlfn.XLOOKUP(Table1[[#This Row],[EmployeeID]],Table4[employeeID],Table4[employeeName])</f>
        <v>Janet Leverling</v>
      </c>
      <c r="E608" s="1">
        <v>42031</v>
      </c>
      <c r="F608" s="1">
        <v>42059</v>
      </c>
      <c r="G608" s="1">
        <v>42040</v>
      </c>
      <c r="H608" s="3">
        <f>IF(Table1[[#This Row],[ShippedDate]]="","",IF(Table1[[#This Row],[OrderDate]]="","",Table1[[#This Row],[ShippedDate]]-Table1[[#This Row],[OrderDate]]))</f>
        <v>9</v>
      </c>
      <c r="I608" s="3">
        <v>2</v>
      </c>
      <c r="J608" s="2">
        <v>100.22</v>
      </c>
      <c r="K608" s="2">
        <f>SUMIF(order_details!A:A,Table1[[#This Row],[orderID]],order_details!F:F)</f>
        <v>2966.5</v>
      </c>
      <c r="L608" s="9">
        <f>_xlfn.XLOOKUP(Table1[[#This Row],[orderID]],Table3[orderID],Table3[discount])</f>
        <v>0.15</v>
      </c>
      <c r="M608" s="2">
        <f>SUM(Table1[[#This Row],[Sales]],Table1[[#This Row],[freight]])</f>
        <v>3066.72</v>
      </c>
      <c r="N608" s="3">
        <f>_xlfn.XLOOKUP(Table1[[#This Row],[orderID]],Table3[orderID],Table3[quantity])</f>
        <v>100</v>
      </c>
      <c r="O608" s="6" t="str">
        <f>_xlfn.XLOOKUP(Table1[[#This Row],[CustomerID]],customers!A:A,customers!B:B)</f>
        <v>Ernst Handel</v>
      </c>
      <c r="P608" s="6" t="str">
        <f>_xlfn.XLOOKUP(Table1[[#This Row],[shipperID]],Table6[shipperID],Table6[companyName])</f>
        <v>United Package</v>
      </c>
      <c r="Q608">
        <f>YEAR(Table1[[#This Row],[OrderDate]])</f>
        <v>2015</v>
      </c>
      <c r="R608">
        <f>MONTH(Table1[[#This Row],[OrderDate]])</f>
        <v>1</v>
      </c>
      <c r="S608" t="str">
        <f>"Q"&amp;ROUNDUP(Table1[[#This Row],[month]]/3,0)</f>
        <v>Q1</v>
      </c>
      <c r="T608" t="str">
        <f>CONCATENATE(Table1[[#This Row],[year]],"-",Table1[[#This Row],[Quarter]])</f>
        <v>2015-Q1</v>
      </c>
      <c r="U608" s="6" t="str">
        <f>IF(H607="","Pending",IF(Table1[[#This Row],[Days to ship]]&lt;Table1[[#This Row],[RequiredDate]],"On Time","Late"))</f>
        <v>On Time</v>
      </c>
      <c r="V608">
        <f>_xlfn.XLOOKUP(Table1[[#This Row],[orderID]],Table3[orderID],Table3[unitPrice])</f>
        <v>31</v>
      </c>
    </row>
    <row r="609" spans="1:22" x14ac:dyDescent="0.45">
      <c r="A609" s="3">
        <v>10855</v>
      </c>
      <c r="B609" s="6" t="s">
        <v>190</v>
      </c>
      <c r="C609" s="3">
        <v>3</v>
      </c>
      <c r="D609" s="6" t="str">
        <f>_xlfn.XLOOKUP(Table1[[#This Row],[EmployeeID]],Table4[employeeID],Table4[employeeName])</f>
        <v>Janet Leverling</v>
      </c>
      <c r="E609" s="1">
        <v>42031</v>
      </c>
      <c r="F609" s="1">
        <v>42059</v>
      </c>
      <c r="G609" s="1">
        <v>42039</v>
      </c>
      <c r="H609" s="3">
        <f>IF(Table1[[#This Row],[ShippedDate]]="","",IF(Table1[[#This Row],[OrderDate]]="","",Table1[[#This Row],[ShippedDate]]-Table1[[#This Row],[OrderDate]]))</f>
        <v>8</v>
      </c>
      <c r="I609" s="3">
        <v>1</v>
      </c>
      <c r="J609" s="2">
        <v>170.97</v>
      </c>
      <c r="K609" s="2">
        <f>SUMIF(order_details!A:A,Table1[[#This Row],[orderID]],order_details!F:F)</f>
        <v>2227.8874999999998</v>
      </c>
      <c r="L609" s="9">
        <f>_xlfn.XLOOKUP(Table1[[#This Row],[orderID]],Table3[orderID],Table3[discount])</f>
        <v>0</v>
      </c>
      <c r="M609" s="2">
        <f>SUM(Table1[[#This Row],[Sales]],Table1[[#This Row],[freight]])</f>
        <v>2398.8574999999996</v>
      </c>
      <c r="N609" s="3">
        <f>_xlfn.XLOOKUP(Table1[[#This Row],[orderID]],Table3[orderID],Table3[quantity])</f>
        <v>50</v>
      </c>
      <c r="O609" s="6" t="str">
        <f>_xlfn.XLOOKUP(Table1[[#This Row],[CustomerID]],customers!A:A,customers!B:B)</f>
        <v>Old World Delicatessen</v>
      </c>
      <c r="P609" s="6" t="str">
        <f>_xlfn.XLOOKUP(Table1[[#This Row],[shipperID]],Table6[shipperID],Table6[companyName])</f>
        <v>Speedy Express</v>
      </c>
      <c r="Q609">
        <f>YEAR(Table1[[#This Row],[OrderDate]])</f>
        <v>2015</v>
      </c>
      <c r="R609">
        <f>MONTH(Table1[[#This Row],[OrderDate]])</f>
        <v>1</v>
      </c>
      <c r="S609" t="str">
        <f>"Q"&amp;ROUNDUP(Table1[[#This Row],[month]]/3,0)</f>
        <v>Q1</v>
      </c>
      <c r="T609" t="str">
        <f>CONCATENATE(Table1[[#This Row],[year]],"-",Table1[[#This Row],[Quarter]])</f>
        <v>2015-Q1</v>
      </c>
      <c r="U609" s="6" t="str">
        <f>IF(H608="","Pending",IF(Table1[[#This Row],[Days to ship]]&lt;Table1[[#This Row],[RequiredDate]],"On Time","Late"))</f>
        <v>On Time</v>
      </c>
      <c r="V609">
        <f>_xlfn.XLOOKUP(Table1[[#This Row],[orderID]],Table3[orderID],Table3[unitPrice])</f>
        <v>17.45</v>
      </c>
    </row>
    <row r="610" spans="1:22" x14ac:dyDescent="0.45">
      <c r="A610" s="3">
        <v>10856</v>
      </c>
      <c r="B610" s="6" t="s">
        <v>227</v>
      </c>
      <c r="C610" s="3">
        <v>3</v>
      </c>
      <c r="D610" s="6" t="str">
        <f>_xlfn.XLOOKUP(Table1[[#This Row],[EmployeeID]],Table4[employeeID],Table4[employeeName])</f>
        <v>Janet Leverling</v>
      </c>
      <c r="E610" s="1">
        <v>42032</v>
      </c>
      <c r="F610" s="1">
        <v>42060</v>
      </c>
      <c r="G610" s="1">
        <v>42045</v>
      </c>
      <c r="H610" s="3">
        <f>IF(Table1[[#This Row],[ShippedDate]]="","",IF(Table1[[#This Row],[OrderDate]]="","",Table1[[#This Row],[ShippedDate]]-Table1[[#This Row],[OrderDate]]))</f>
        <v>13</v>
      </c>
      <c r="I610" s="3">
        <v>2</v>
      </c>
      <c r="J610" s="2">
        <v>58.43</v>
      </c>
      <c r="K610" s="2">
        <f>SUMIF(order_details!A:A,Table1[[#This Row],[orderID]],order_details!F:F)</f>
        <v>660</v>
      </c>
      <c r="L610" s="9">
        <f>_xlfn.XLOOKUP(Table1[[#This Row],[orderID]],Table3[orderID],Table3[discount])</f>
        <v>0</v>
      </c>
      <c r="M610" s="2">
        <f>SUM(Table1[[#This Row],[Sales]],Table1[[#This Row],[freight]])</f>
        <v>718.43</v>
      </c>
      <c r="N610" s="3">
        <f>_xlfn.XLOOKUP(Table1[[#This Row],[orderID]],Table3[orderID],Table3[quantity])</f>
        <v>20</v>
      </c>
      <c r="O610" s="6" t="str">
        <f>_xlfn.XLOOKUP(Table1[[#This Row],[CustomerID]],customers!A:A,customers!B:B)</f>
        <v>Antonio Moreno Taquería</v>
      </c>
      <c r="P610" s="6" t="str">
        <f>_xlfn.XLOOKUP(Table1[[#This Row],[shipperID]],Table6[shipperID],Table6[companyName])</f>
        <v>United Package</v>
      </c>
      <c r="Q610">
        <f>YEAR(Table1[[#This Row],[OrderDate]])</f>
        <v>2015</v>
      </c>
      <c r="R610">
        <f>MONTH(Table1[[#This Row],[OrderDate]])</f>
        <v>1</v>
      </c>
      <c r="S610" t="str">
        <f>"Q"&amp;ROUNDUP(Table1[[#This Row],[month]]/3,0)</f>
        <v>Q1</v>
      </c>
      <c r="T610" t="str">
        <f>CONCATENATE(Table1[[#This Row],[year]],"-",Table1[[#This Row],[Quarter]])</f>
        <v>2015-Q1</v>
      </c>
      <c r="U610" s="6" t="str">
        <f>IF(H609="","Pending",IF(Table1[[#This Row],[Days to ship]]&lt;Table1[[#This Row],[RequiredDate]],"On Time","Late"))</f>
        <v>On Time</v>
      </c>
      <c r="V610">
        <f>_xlfn.XLOOKUP(Table1[[#This Row],[orderID]],Table3[orderID],Table3[unitPrice])</f>
        <v>19</v>
      </c>
    </row>
    <row r="611" spans="1:22" x14ac:dyDescent="0.45">
      <c r="A611" s="3">
        <v>10857</v>
      </c>
      <c r="B611" s="6" t="s">
        <v>223</v>
      </c>
      <c r="C611" s="3">
        <v>8</v>
      </c>
      <c r="D611" s="6" t="str">
        <f>_xlfn.XLOOKUP(Table1[[#This Row],[EmployeeID]],Table4[employeeID],Table4[employeeName])</f>
        <v>Laura Callahan</v>
      </c>
      <c r="E611" s="1">
        <v>42032</v>
      </c>
      <c r="F611" s="1">
        <v>42060</v>
      </c>
      <c r="G611" s="1">
        <v>42041</v>
      </c>
      <c r="H611" s="3">
        <f>IF(Table1[[#This Row],[ShippedDate]]="","",IF(Table1[[#This Row],[OrderDate]]="","",Table1[[#This Row],[ShippedDate]]-Table1[[#This Row],[OrderDate]]))</f>
        <v>9</v>
      </c>
      <c r="I611" s="3">
        <v>2</v>
      </c>
      <c r="J611" s="2">
        <v>188.85</v>
      </c>
      <c r="K611" s="2">
        <f>SUMIF(order_details!A:A,Table1[[#This Row],[orderID]],order_details!F:F)</f>
        <v>2048.2125000000001</v>
      </c>
      <c r="L611" s="9">
        <f>_xlfn.XLOOKUP(Table1[[#This Row],[orderID]],Table3[orderID],Table3[discount])</f>
        <v>0</v>
      </c>
      <c r="M611" s="2">
        <f>SUM(Table1[[#This Row],[Sales]],Table1[[#This Row],[freight]])</f>
        <v>2237.0625</v>
      </c>
      <c r="N611" s="3">
        <f>_xlfn.XLOOKUP(Table1[[#This Row],[orderID]],Table3[orderID],Table3[quantity])</f>
        <v>30</v>
      </c>
      <c r="O611" s="6" t="str">
        <f>_xlfn.XLOOKUP(Table1[[#This Row],[CustomerID]],customers!A:A,customers!B:B)</f>
        <v>Berglunds snabbköp</v>
      </c>
      <c r="P611" s="6" t="str">
        <f>_xlfn.XLOOKUP(Table1[[#This Row],[shipperID]],Table6[shipperID],Table6[companyName])</f>
        <v>United Package</v>
      </c>
      <c r="Q611">
        <f>YEAR(Table1[[#This Row],[OrderDate]])</f>
        <v>2015</v>
      </c>
      <c r="R611">
        <f>MONTH(Table1[[#This Row],[OrderDate]])</f>
        <v>1</v>
      </c>
      <c r="S611" t="str">
        <f>"Q"&amp;ROUNDUP(Table1[[#This Row],[month]]/3,0)</f>
        <v>Q1</v>
      </c>
      <c r="T611" t="str">
        <f>CONCATENATE(Table1[[#This Row],[year]],"-",Table1[[#This Row],[Quarter]])</f>
        <v>2015-Q1</v>
      </c>
      <c r="U611" s="6" t="str">
        <f>IF(H610="","Pending",IF(Table1[[#This Row],[Days to ship]]&lt;Table1[[#This Row],[RequiredDate]],"On Time","Late"))</f>
        <v>On Time</v>
      </c>
      <c r="V611">
        <f>_xlfn.XLOOKUP(Table1[[#This Row],[orderID]],Table3[orderID],Table3[unitPrice])</f>
        <v>10</v>
      </c>
    </row>
    <row r="612" spans="1:22" x14ac:dyDescent="0.45">
      <c r="A612" s="3">
        <v>10858</v>
      </c>
      <c r="B612" s="6" t="s">
        <v>212</v>
      </c>
      <c r="C612" s="3">
        <v>2</v>
      </c>
      <c r="D612" s="6" t="str">
        <f>_xlfn.XLOOKUP(Table1[[#This Row],[EmployeeID]],Table4[employeeID],Table4[employeeName])</f>
        <v>Andrew Fuller</v>
      </c>
      <c r="E612" s="1">
        <v>42033</v>
      </c>
      <c r="F612" s="1">
        <v>42061</v>
      </c>
      <c r="G612" s="1">
        <v>42038</v>
      </c>
      <c r="H612" s="3">
        <f>IF(Table1[[#This Row],[ShippedDate]]="","",IF(Table1[[#This Row],[OrderDate]]="","",Table1[[#This Row],[ShippedDate]]-Table1[[#This Row],[OrderDate]]))</f>
        <v>5</v>
      </c>
      <c r="I612" s="3">
        <v>1</v>
      </c>
      <c r="J612" s="2">
        <v>52.51</v>
      </c>
      <c r="K612" s="2">
        <f>SUMIF(order_details!A:A,Table1[[#This Row],[orderID]],order_details!F:F)</f>
        <v>649</v>
      </c>
      <c r="L612" s="9">
        <f>_xlfn.XLOOKUP(Table1[[#This Row],[orderID]],Table3[orderID],Table3[discount])</f>
        <v>0</v>
      </c>
      <c r="M612" s="2">
        <f>SUM(Table1[[#This Row],[Sales]],Table1[[#This Row],[freight]])</f>
        <v>701.51</v>
      </c>
      <c r="N612" s="3">
        <f>_xlfn.XLOOKUP(Table1[[#This Row],[orderID]],Table3[orderID],Table3[quantity])</f>
        <v>5</v>
      </c>
      <c r="O612" s="6" t="str">
        <f>_xlfn.XLOOKUP(Table1[[#This Row],[CustomerID]],customers!A:A,customers!B:B)</f>
        <v>La corne d'abondance</v>
      </c>
      <c r="P612" s="6" t="str">
        <f>_xlfn.XLOOKUP(Table1[[#This Row],[shipperID]],Table6[shipperID],Table6[companyName])</f>
        <v>Speedy Express</v>
      </c>
      <c r="Q612">
        <f>YEAR(Table1[[#This Row],[OrderDate]])</f>
        <v>2015</v>
      </c>
      <c r="R612">
        <f>MONTH(Table1[[#This Row],[OrderDate]])</f>
        <v>1</v>
      </c>
      <c r="S612" t="str">
        <f>"Q"&amp;ROUNDUP(Table1[[#This Row],[month]]/3,0)</f>
        <v>Q1</v>
      </c>
      <c r="T612" t="str">
        <f>CONCATENATE(Table1[[#This Row],[year]],"-",Table1[[#This Row],[Quarter]])</f>
        <v>2015-Q1</v>
      </c>
      <c r="U612" s="6" t="str">
        <f>IF(H611="","Pending",IF(Table1[[#This Row],[Days to ship]]&lt;Table1[[#This Row],[RequiredDate]],"On Time","Late"))</f>
        <v>On Time</v>
      </c>
      <c r="V612">
        <f>_xlfn.XLOOKUP(Table1[[#This Row],[orderID]],Table3[orderID],Table3[unitPrice])</f>
        <v>30</v>
      </c>
    </row>
    <row r="613" spans="1:22" x14ac:dyDescent="0.45">
      <c r="A613" s="3">
        <v>10859</v>
      </c>
      <c r="B613" s="6" t="s">
        <v>201</v>
      </c>
      <c r="C613" s="3">
        <v>1</v>
      </c>
      <c r="D613" s="6" t="str">
        <f>_xlfn.XLOOKUP(Table1[[#This Row],[EmployeeID]],Table4[employeeID],Table4[employeeName])</f>
        <v>Nancy Davolio</v>
      </c>
      <c r="E613" s="1">
        <v>42033</v>
      </c>
      <c r="F613" s="1">
        <v>42061</v>
      </c>
      <c r="G613" s="1">
        <v>42037</v>
      </c>
      <c r="H613" s="3">
        <f>IF(Table1[[#This Row],[ShippedDate]]="","",IF(Table1[[#This Row],[OrderDate]]="","",Table1[[#This Row],[ShippedDate]]-Table1[[#This Row],[OrderDate]]))</f>
        <v>4</v>
      </c>
      <c r="I613" s="3">
        <v>2</v>
      </c>
      <c r="J613" s="2">
        <v>76.099999999999994</v>
      </c>
      <c r="K613" s="2">
        <f>SUMIF(order_details!A:A,Table1[[#This Row],[orderID]],order_details!F:F)</f>
        <v>1078.6875</v>
      </c>
      <c r="L613" s="9">
        <f>_xlfn.XLOOKUP(Table1[[#This Row],[orderID]],Table3[orderID],Table3[discount])</f>
        <v>0.25</v>
      </c>
      <c r="M613" s="2">
        <f>SUM(Table1[[#This Row],[Sales]],Table1[[#This Row],[freight]])</f>
        <v>1154.7874999999999</v>
      </c>
      <c r="N613" s="3">
        <f>_xlfn.XLOOKUP(Table1[[#This Row],[orderID]],Table3[orderID],Table3[quantity])</f>
        <v>40</v>
      </c>
      <c r="O613" s="6" t="str">
        <f>_xlfn.XLOOKUP(Table1[[#This Row],[CustomerID]],customers!A:A,customers!B:B)</f>
        <v>Frankenversand</v>
      </c>
      <c r="P613" s="6" t="str">
        <f>_xlfn.XLOOKUP(Table1[[#This Row],[shipperID]],Table6[shipperID],Table6[companyName])</f>
        <v>United Package</v>
      </c>
      <c r="Q613">
        <f>YEAR(Table1[[#This Row],[OrderDate]])</f>
        <v>2015</v>
      </c>
      <c r="R613">
        <f>MONTH(Table1[[#This Row],[OrderDate]])</f>
        <v>1</v>
      </c>
      <c r="S613" t="str">
        <f>"Q"&amp;ROUNDUP(Table1[[#This Row],[month]]/3,0)</f>
        <v>Q1</v>
      </c>
      <c r="T613" t="str">
        <f>CONCATENATE(Table1[[#This Row],[year]],"-",Table1[[#This Row],[Quarter]])</f>
        <v>2015-Q1</v>
      </c>
      <c r="U613" s="6" t="str">
        <f>IF(H612="","Pending",IF(Table1[[#This Row],[Days to ship]]&lt;Table1[[#This Row],[RequiredDate]],"On Time","Late"))</f>
        <v>On Time</v>
      </c>
      <c r="V613">
        <f>_xlfn.XLOOKUP(Table1[[#This Row],[orderID]],Table3[orderID],Table3[unitPrice])</f>
        <v>4.5</v>
      </c>
    </row>
    <row r="614" spans="1:22" x14ac:dyDescent="0.45">
      <c r="A614" s="3">
        <v>10860</v>
      </c>
      <c r="B614" s="6" t="s">
        <v>213</v>
      </c>
      <c r="C614" s="3">
        <v>3</v>
      </c>
      <c r="D614" s="6" t="str">
        <f>_xlfn.XLOOKUP(Table1[[#This Row],[EmployeeID]],Table4[employeeID],Table4[employeeName])</f>
        <v>Janet Leverling</v>
      </c>
      <c r="E614" s="1">
        <v>42033</v>
      </c>
      <c r="F614" s="1">
        <v>42061</v>
      </c>
      <c r="G614" s="1">
        <v>42039</v>
      </c>
      <c r="H614" s="3">
        <f>IF(Table1[[#This Row],[ShippedDate]]="","",IF(Table1[[#This Row],[OrderDate]]="","",Table1[[#This Row],[ShippedDate]]-Table1[[#This Row],[OrderDate]]))</f>
        <v>6</v>
      </c>
      <c r="I614" s="3">
        <v>3</v>
      </c>
      <c r="J614" s="2">
        <v>19.260000000000002</v>
      </c>
      <c r="K614" s="2">
        <f>SUMIF(order_details!A:A,Table1[[#This Row],[orderID]],order_details!F:F)</f>
        <v>519</v>
      </c>
      <c r="L614" s="9">
        <f>_xlfn.XLOOKUP(Table1[[#This Row],[orderID]],Table3[orderID],Table3[discount])</f>
        <v>0</v>
      </c>
      <c r="M614" s="2">
        <f>SUM(Table1[[#This Row],[Sales]],Table1[[#This Row],[freight]])</f>
        <v>538.26</v>
      </c>
      <c r="N614" s="3">
        <f>_xlfn.XLOOKUP(Table1[[#This Row],[orderID]],Table3[orderID],Table3[quantity])</f>
        <v>3</v>
      </c>
      <c r="O614" s="6" t="str">
        <f>_xlfn.XLOOKUP(Table1[[#This Row],[CustomerID]],customers!A:A,customers!B:B)</f>
        <v>France restauration</v>
      </c>
      <c r="P614" s="6" t="str">
        <f>_xlfn.XLOOKUP(Table1[[#This Row],[shipperID]],Table6[shipperID],Table6[companyName])</f>
        <v>Federal Shipping</v>
      </c>
      <c r="Q614">
        <f>YEAR(Table1[[#This Row],[OrderDate]])</f>
        <v>2015</v>
      </c>
      <c r="R614">
        <f>MONTH(Table1[[#This Row],[OrderDate]])</f>
        <v>1</v>
      </c>
      <c r="S614" t="str">
        <f>"Q"&amp;ROUNDUP(Table1[[#This Row],[month]]/3,0)</f>
        <v>Q1</v>
      </c>
      <c r="T614" t="str">
        <f>CONCATENATE(Table1[[#This Row],[year]],"-",Table1[[#This Row],[Quarter]])</f>
        <v>2015-Q1</v>
      </c>
      <c r="U614" s="6" t="str">
        <f>IF(H613="","Pending",IF(Table1[[#This Row],[Days to ship]]&lt;Table1[[#This Row],[RequiredDate]],"On Time","Late"))</f>
        <v>On Time</v>
      </c>
      <c r="V614">
        <f>_xlfn.XLOOKUP(Table1[[#This Row],[orderID]],Table3[orderID],Table3[unitPrice])</f>
        <v>53</v>
      </c>
    </row>
    <row r="615" spans="1:22" x14ac:dyDescent="0.45">
      <c r="A615" s="3">
        <v>10861</v>
      </c>
      <c r="B615" s="6" t="s">
        <v>164</v>
      </c>
      <c r="C615" s="3">
        <v>4</v>
      </c>
      <c r="D615" s="6" t="str">
        <f>_xlfn.XLOOKUP(Table1[[#This Row],[EmployeeID]],Table4[employeeID],Table4[employeeName])</f>
        <v>Margaret Peacock</v>
      </c>
      <c r="E615" s="1">
        <v>42034</v>
      </c>
      <c r="F615" s="1">
        <v>42062</v>
      </c>
      <c r="G615" s="1">
        <v>42052</v>
      </c>
      <c r="H615" s="3">
        <f>IF(Table1[[#This Row],[ShippedDate]]="","",IF(Table1[[#This Row],[OrderDate]]="","",Table1[[#This Row],[ShippedDate]]-Table1[[#This Row],[OrderDate]]))</f>
        <v>18</v>
      </c>
      <c r="I615" s="3">
        <v>2</v>
      </c>
      <c r="J615" s="2">
        <v>14.93</v>
      </c>
      <c r="K615" s="2">
        <f>SUMIF(order_details!A:A,Table1[[#This Row],[orderID]],order_details!F:F)</f>
        <v>3523.4</v>
      </c>
      <c r="L615" s="9">
        <f>_xlfn.XLOOKUP(Table1[[#This Row],[orderID]],Table3[orderID],Table3[discount])</f>
        <v>0</v>
      </c>
      <c r="M615" s="2">
        <f>SUM(Table1[[#This Row],[Sales]],Table1[[#This Row],[freight]])</f>
        <v>3538.33</v>
      </c>
      <c r="N615" s="3">
        <f>_xlfn.XLOOKUP(Table1[[#This Row],[orderID]],Table3[orderID],Table3[quantity])</f>
        <v>42</v>
      </c>
      <c r="O615" s="6" t="str">
        <f>_xlfn.XLOOKUP(Table1[[#This Row],[CustomerID]],customers!A:A,customers!B:B)</f>
        <v>White Clover Markets</v>
      </c>
      <c r="P615" s="6" t="str">
        <f>_xlfn.XLOOKUP(Table1[[#This Row],[shipperID]],Table6[shipperID],Table6[companyName])</f>
        <v>United Package</v>
      </c>
      <c r="Q615">
        <f>YEAR(Table1[[#This Row],[OrderDate]])</f>
        <v>2015</v>
      </c>
      <c r="R615">
        <f>MONTH(Table1[[#This Row],[OrderDate]])</f>
        <v>1</v>
      </c>
      <c r="S615" t="str">
        <f>"Q"&amp;ROUNDUP(Table1[[#This Row],[month]]/3,0)</f>
        <v>Q1</v>
      </c>
      <c r="T615" t="str">
        <f>CONCATENATE(Table1[[#This Row],[year]],"-",Table1[[#This Row],[Quarter]])</f>
        <v>2015-Q1</v>
      </c>
      <c r="U615" s="6" t="str">
        <f>IF(H614="","Pending",IF(Table1[[#This Row],[Days to ship]]&lt;Table1[[#This Row],[RequiredDate]],"On Time","Late"))</f>
        <v>On Time</v>
      </c>
      <c r="V615">
        <f>_xlfn.XLOOKUP(Table1[[#This Row],[orderID]],Table3[orderID],Table3[unitPrice])</f>
        <v>39</v>
      </c>
    </row>
    <row r="616" spans="1:22" x14ac:dyDescent="0.45">
      <c r="A616" s="3">
        <v>10862</v>
      </c>
      <c r="B616" s="6" t="s">
        <v>160</v>
      </c>
      <c r="C616" s="3">
        <v>8</v>
      </c>
      <c r="D616" s="6" t="str">
        <f>_xlfn.XLOOKUP(Table1[[#This Row],[EmployeeID]],Table4[employeeID],Table4[employeeName])</f>
        <v>Laura Callahan</v>
      </c>
      <c r="E616" s="1">
        <v>42034</v>
      </c>
      <c r="F616" s="1">
        <v>42076</v>
      </c>
      <c r="G616" s="1">
        <v>42037</v>
      </c>
      <c r="H616" s="3">
        <f>IF(Table1[[#This Row],[ShippedDate]]="","",IF(Table1[[#This Row],[OrderDate]]="","",Table1[[#This Row],[ShippedDate]]-Table1[[#This Row],[OrderDate]]))</f>
        <v>3</v>
      </c>
      <c r="I616" s="3">
        <v>2</v>
      </c>
      <c r="J616" s="2">
        <v>53.23</v>
      </c>
      <c r="K616" s="2">
        <f>SUMIF(order_details!A:A,Table1[[#This Row],[orderID]],order_details!F:F)</f>
        <v>581</v>
      </c>
      <c r="L616" s="9">
        <f>_xlfn.XLOOKUP(Table1[[#This Row],[orderID]],Table3[orderID],Table3[discount])</f>
        <v>0</v>
      </c>
      <c r="M616" s="2">
        <f>SUM(Table1[[#This Row],[Sales]],Table1[[#This Row],[freight]])</f>
        <v>634.23</v>
      </c>
      <c r="N616" s="3">
        <f>_xlfn.XLOOKUP(Table1[[#This Row],[orderID]],Table3[orderID],Table3[quantity])</f>
        <v>25</v>
      </c>
      <c r="O616" s="6" t="str">
        <f>_xlfn.XLOOKUP(Table1[[#This Row],[CustomerID]],customers!A:A,customers!B:B)</f>
        <v>Lehmanns Marktstand</v>
      </c>
      <c r="P616" s="6" t="str">
        <f>_xlfn.XLOOKUP(Table1[[#This Row],[shipperID]],Table6[shipperID],Table6[companyName])</f>
        <v>United Package</v>
      </c>
      <c r="Q616">
        <f>YEAR(Table1[[#This Row],[OrderDate]])</f>
        <v>2015</v>
      </c>
      <c r="R616">
        <f>MONTH(Table1[[#This Row],[OrderDate]])</f>
        <v>1</v>
      </c>
      <c r="S616" t="str">
        <f>"Q"&amp;ROUNDUP(Table1[[#This Row],[month]]/3,0)</f>
        <v>Q1</v>
      </c>
      <c r="T616" t="str">
        <f>CONCATENATE(Table1[[#This Row],[year]],"-",Table1[[#This Row],[Quarter]])</f>
        <v>2015-Q1</v>
      </c>
      <c r="U616" s="6" t="str">
        <f>IF(H615="","Pending",IF(Table1[[#This Row],[Days to ship]]&lt;Table1[[#This Row],[RequiredDate]],"On Time","Late"))</f>
        <v>On Time</v>
      </c>
      <c r="V616">
        <f>_xlfn.XLOOKUP(Table1[[#This Row],[orderID]],Table3[orderID],Table3[unitPrice])</f>
        <v>21</v>
      </c>
    </row>
    <row r="617" spans="1:22" x14ac:dyDescent="0.45">
      <c r="A617" s="3">
        <v>10863</v>
      </c>
      <c r="B617" s="6" t="s">
        <v>174</v>
      </c>
      <c r="C617" s="3">
        <v>4</v>
      </c>
      <c r="D617" s="6" t="str">
        <f>_xlfn.XLOOKUP(Table1[[#This Row],[EmployeeID]],Table4[employeeID],Table4[employeeName])</f>
        <v>Margaret Peacock</v>
      </c>
      <c r="E617" s="1">
        <v>42037</v>
      </c>
      <c r="F617" s="1">
        <v>42065</v>
      </c>
      <c r="G617" s="1">
        <v>42052</v>
      </c>
      <c r="H617" s="3">
        <f>IF(Table1[[#This Row],[ShippedDate]]="","",IF(Table1[[#This Row],[OrderDate]]="","",Table1[[#This Row],[ShippedDate]]-Table1[[#This Row],[OrderDate]]))</f>
        <v>15</v>
      </c>
      <c r="I617" s="3">
        <v>2</v>
      </c>
      <c r="J617" s="2">
        <v>30.26</v>
      </c>
      <c r="K617" s="2">
        <f>SUMIF(order_details!A:A,Table1[[#This Row],[orderID]],order_details!F:F)</f>
        <v>441.15</v>
      </c>
      <c r="L617" s="9">
        <f>_xlfn.XLOOKUP(Table1[[#This Row],[orderID]],Table3[orderID],Table3[discount])</f>
        <v>0.15</v>
      </c>
      <c r="M617" s="2">
        <f>SUM(Table1[[#This Row],[Sales]],Table1[[#This Row],[freight]])</f>
        <v>471.40999999999997</v>
      </c>
      <c r="N617" s="3">
        <f>_xlfn.XLOOKUP(Table1[[#This Row],[orderID]],Table3[orderID],Table3[quantity])</f>
        <v>20</v>
      </c>
      <c r="O617" s="6" t="str">
        <f>_xlfn.XLOOKUP(Table1[[#This Row],[CustomerID]],customers!A:A,customers!B:B)</f>
        <v>HILARION-Abastos</v>
      </c>
      <c r="P617" s="6" t="str">
        <f>_xlfn.XLOOKUP(Table1[[#This Row],[shipperID]],Table6[shipperID],Table6[companyName])</f>
        <v>United Package</v>
      </c>
      <c r="Q617">
        <f>YEAR(Table1[[#This Row],[OrderDate]])</f>
        <v>2015</v>
      </c>
      <c r="R617">
        <f>MONTH(Table1[[#This Row],[OrderDate]])</f>
        <v>2</v>
      </c>
      <c r="S617" t="str">
        <f>"Q"&amp;ROUNDUP(Table1[[#This Row],[month]]/3,0)</f>
        <v>Q1</v>
      </c>
      <c r="T617" t="str">
        <f>CONCATENATE(Table1[[#This Row],[year]],"-",Table1[[#This Row],[Quarter]])</f>
        <v>2015-Q1</v>
      </c>
      <c r="U617" s="6" t="str">
        <f>IF(H616="","Pending",IF(Table1[[#This Row],[Days to ship]]&lt;Table1[[#This Row],[RequiredDate]],"On Time","Late"))</f>
        <v>On Time</v>
      </c>
      <c r="V617">
        <f>_xlfn.XLOOKUP(Table1[[#This Row],[orderID]],Table3[orderID],Table3[unitPrice])</f>
        <v>18</v>
      </c>
    </row>
    <row r="618" spans="1:22" x14ac:dyDescent="0.45">
      <c r="A618" s="3">
        <v>10864</v>
      </c>
      <c r="B618" s="6" t="s">
        <v>198</v>
      </c>
      <c r="C618" s="3">
        <v>4</v>
      </c>
      <c r="D618" s="6" t="str">
        <f>_xlfn.XLOOKUP(Table1[[#This Row],[EmployeeID]],Table4[employeeID],Table4[employeeName])</f>
        <v>Margaret Peacock</v>
      </c>
      <c r="E618" s="1">
        <v>42037</v>
      </c>
      <c r="F618" s="1">
        <v>42065</v>
      </c>
      <c r="G618" s="1">
        <v>42044</v>
      </c>
      <c r="H618" s="3">
        <f>IF(Table1[[#This Row],[ShippedDate]]="","",IF(Table1[[#This Row],[OrderDate]]="","",Table1[[#This Row],[ShippedDate]]-Table1[[#This Row],[OrderDate]]))</f>
        <v>7</v>
      </c>
      <c r="I618" s="3">
        <v>2</v>
      </c>
      <c r="J618" s="2">
        <v>3.04</v>
      </c>
      <c r="K618" s="2">
        <f>SUMIF(order_details!A:A,Table1[[#This Row],[orderID]],order_details!F:F)</f>
        <v>282</v>
      </c>
      <c r="L618" s="9">
        <f>_xlfn.XLOOKUP(Table1[[#This Row],[orderID]],Table3[orderID],Table3[discount])</f>
        <v>0</v>
      </c>
      <c r="M618" s="2">
        <f>SUM(Table1[[#This Row],[Sales]],Table1[[#This Row],[freight]])</f>
        <v>285.04000000000002</v>
      </c>
      <c r="N618" s="3">
        <f>_xlfn.XLOOKUP(Table1[[#This Row],[orderID]],Table3[orderID],Table3[quantity])</f>
        <v>4</v>
      </c>
      <c r="O618" s="6" t="str">
        <f>_xlfn.XLOOKUP(Table1[[#This Row],[CustomerID]],customers!A:A,customers!B:B)</f>
        <v>Around the Horn</v>
      </c>
      <c r="P618" s="6" t="str">
        <f>_xlfn.XLOOKUP(Table1[[#This Row],[shipperID]],Table6[shipperID],Table6[companyName])</f>
        <v>United Package</v>
      </c>
      <c r="Q618">
        <f>YEAR(Table1[[#This Row],[OrderDate]])</f>
        <v>2015</v>
      </c>
      <c r="R618">
        <f>MONTH(Table1[[#This Row],[OrderDate]])</f>
        <v>2</v>
      </c>
      <c r="S618" t="str">
        <f>"Q"&amp;ROUNDUP(Table1[[#This Row],[month]]/3,0)</f>
        <v>Q1</v>
      </c>
      <c r="T618" t="str">
        <f>CONCATENATE(Table1[[#This Row],[year]],"-",Table1[[#This Row],[Quarter]])</f>
        <v>2015-Q1</v>
      </c>
      <c r="U618" s="6" t="str">
        <f>IF(H617="","Pending",IF(Table1[[#This Row],[Days to ship]]&lt;Table1[[#This Row],[RequiredDate]],"On Time","Late"))</f>
        <v>On Time</v>
      </c>
      <c r="V618">
        <f>_xlfn.XLOOKUP(Table1[[#This Row],[orderID]],Table3[orderID],Table3[unitPrice])</f>
        <v>18</v>
      </c>
    </row>
    <row r="619" spans="1:22" x14ac:dyDescent="0.45">
      <c r="A619" s="3">
        <v>10865</v>
      </c>
      <c r="B619" s="6" t="s">
        <v>194</v>
      </c>
      <c r="C619" s="3">
        <v>2</v>
      </c>
      <c r="D619" s="6" t="str">
        <f>_xlfn.XLOOKUP(Table1[[#This Row],[EmployeeID]],Table4[employeeID],Table4[employeeName])</f>
        <v>Andrew Fuller</v>
      </c>
      <c r="E619" s="1">
        <v>42037</v>
      </c>
      <c r="F619" s="1">
        <v>42051</v>
      </c>
      <c r="G619" s="1">
        <v>42047</v>
      </c>
      <c r="H619" s="3">
        <f>IF(Table1[[#This Row],[ShippedDate]]="","",IF(Table1[[#This Row],[OrderDate]]="","",Table1[[#This Row],[ShippedDate]]-Table1[[#This Row],[OrderDate]]))</f>
        <v>10</v>
      </c>
      <c r="I619" s="3">
        <v>1</v>
      </c>
      <c r="J619" s="2">
        <v>348.14</v>
      </c>
      <c r="K619" s="2">
        <f>SUMIF(order_details!A:A,Table1[[#This Row],[orderID]],order_details!F:F)</f>
        <v>16387.5</v>
      </c>
      <c r="L619" s="9">
        <f>_xlfn.XLOOKUP(Table1[[#This Row],[orderID]],Table3[orderID],Table3[discount])</f>
        <v>0.05</v>
      </c>
      <c r="M619" s="2">
        <f>SUM(Table1[[#This Row],[Sales]],Table1[[#This Row],[freight]])</f>
        <v>16735.64</v>
      </c>
      <c r="N619" s="3">
        <f>_xlfn.XLOOKUP(Table1[[#This Row],[orderID]],Table3[orderID],Table3[quantity])</f>
        <v>60</v>
      </c>
      <c r="O619" s="6" t="str">
        <f>_xlfn.XLOOKUP(Table1[[#This Row],[CustomerID]],customers!A:A,customers!B:B)</f>
        <v>QUICK-Stop</v>
      </c>
      <c r="P619" s="6" t="str">
        <f>_xlfn.XLOOKUP(Table1[[#This Row],[shipperID]],Table6[shipperID],Table6[companyName])</f>
        <v>Speedy Express</v>
      </c>
      <c r="Q619">
        <f>YEAR(Table1[[#This Row],[OrderDate]])</f>
        <v>2015</v>
      </c>
      <c r="R619">
        <f>MONTH(Table1[[#This Row],[OrderDate]])</f>
        <v>2</v>
      </c>
      <c r="S619" t="str">
        <f>"Q"&amp;ROUNDUP(Table1[[#This Row],[month]]/3,0)</f>
        <v>Q1</v>
      </c>
      <c r="T619" t="str">
        <f>CONCATENATE(Table1[[#This Row],[year]],"-",Table1[[#This Row],[Quarter]])</f>
        <v>2015-Q1</v>
      </c>
      <c r="U619" s="6" t="str">
        <f>IF(H618="","Pending",IF(Table1[[#This Row],[Days to ship]]&lt;Table1[[#This Row],[RequiredDate]],"On Time","Late"))</f>
        <v>On Time</v>
      </c>
      <c r="V619">
        <f>_xlfn.XLOOKUP(Table1[[#This Row],[orderID]],Table3[orderID],Table3[unitPrice])</f>
        <v>263.5</v>
      </c>
    </row>
    <row r="620" spans="1:22" x14ac:dyDescent="0.45">
      <c r="A620" s="3">
        <v>10866</v>
      </c>
      <c r="B620" s="6" t="s">
        <v>223</v>
      </c>
      <c r="C620" s="3">
        <v>5</v>
      </c>
      <c r="D620" s="6" t="str">
        <f>_xlfn.XLOOKUP(Table1[[#This Row],[EmployeeID]],Table4[employeeID],Table4[employeeName])</f>
        <v>Steven Buchanan</v>
      </c>
      <c r="E620" s="1">
        <v>42038</v>
      </c>
      <c r="F620" s="1">
        <v>42066</v>
      </c>
      <c r="G620" s="1">
        <v>42047</v>
      </c>
      <c r="H620" s="3">
        <f>IF(Table1[[#This Row],[ShippedDate]]="","",IF(Table1[[#This Row],[OrderDate]]="","",Table1[[#This Row],[ShippedDate]]-Table1[[#This Row],[OrderDate]]))</f>
        <v>9</v>
      </c>
      <c r="I620" s="3">
        <v>1</v>
      </c>
      <c r="J620" s="2">
        <v>109.11</v>
      </c>
      <c r="K620" s="2">
        <f>SUMIF(order_details!A:A,Table1[[#This Row],[orderID]],order_details!F:F)</f>
        <v>1096.1999999999998</v>
      </c>
      <c r="L620" s="9">
        <f>_xlfn.XLOOKUP(Table1[[#This Row],[orderID]],Table3[orderID],Table3[discount])</f>
        <v>0.25</v>
      </c>
      <c r="M620" s="2">
        <f>SUM(Table1[[#This Row],[Sales]],Table1[[#This Row],[freight]])</f>
        <v>1205.3099999999997</v>
      </c>
      <c r="N620" s="3">
        <f>_xlfn.XLOOKUP(Table1[[#This Row],[orderID]],Table3[orderID],Table3[quantity])</f>
        <v>21</v>
      </c>
      <c r="O620" s="6" t="str">
        <f>_xlfn.XLOOKUP(Table1[[#This Row],[CustomerID]],customers!A:A,customers!B:B)</f>
        <v>Berglunds snabbköp</v>
      </c>
      <c r="P620" s="6" t="str">
        <f>_xlfn.XLOOKUP(Table1[[#This Row],[shipperID]],Table6[shipperID],Table6[companyName])</f>
        <v>Speedy Express</v>
      </c>
      <c r="Q620">
        <f>YEAR(Table1[[#This Row],[OrderDate]])</f>
        <v>2015</v>
      </c>
      <c r="R620">
        <f>MONTH(Table1[[#This Row],[OrderDate]])</f>
        <v>2</v>
      </c>
      <c r="S620" t="str">
        <f>"Q"&amp;ROUNDUP(Table1[[#This Row],[month]]/3,0)</f>
        <v>Q1</v>
      </c>
      <c r="T620" t="str">
        <f>CONCATENATE(Table1[[#This Row],[year]],"-",Table1[[#This Row],[Quarter]])</f>
        <v>2015-Q1</v>
      </c>
      <c r="U620" s="6" t="str">
        <f>IF(H619="","Pending",IF(Table1[[#This Row],[Days to ship]]&lt;Table1[[#This Row],[RequiredDate]],"On Time","Late"))</f>
        <v>On Time</v>
      </c>
      <c r="V620">
        <f>_xlfn.XLOOKUP(Table1[[#This Row],[orderID]],Table3[orderID],Table3[unitPrice])</f>
        <v>19</v>
      </c>
    </row>
    <row r="621" spans="1:22" x14ac:dyDescent="0.45">
      <c r="A621" s="3">
        <v>10867</v>
      </c>
      <c r="B621" s="6" t="s">
        <v>197</v>
      </c>
      <c r="C621" s="3">
        <v>6</v>
      </c>
      <c r="D621" s="6" t="str">
        <f>_xlfn.XLOOKUP(Table1[[#This Row],[EmployeeID]],Table4[employeeID],Table4[employeeName])</f>
        <v>Michael Suyama</v>
      </c>
      <c r="E621" s="1">
        <v>42038</v>
      </c>
      <c r="F621" s="1">
        <v>42080</v>
      </c>
      <c r="G621" s="1">
        <v>42046</v>
      </c>
      <c r="H621" s="3">
        <f>IF(Table1[[#This Row],[ShippedDate]]="","",IF(Table1[[#This Row],[OrderDate]]="","",Table1[[#This Row],[ShippedDate]]-Table1[[#This Row],[OrderDate]]))</f>
        <v>8</v>
      </c>
      <c r="I621" s="3">
        <v>1</v>
      </c>
      <c r="J621" s="2">
        <v>1.93</v>
      </c>
      <c r="K621" s="2">
        <f>SUMIF(order_details!A:A,Table1[[#This Row],[orderID]],order_details!F:F)</f>
        <v>98.399999999999991</v>
      </c>
      <c r="L621" s="9">
        <f>_xlfn.XLOOKUP(Table1[[#This Row],[orderID]],Table3[orderID],Table3[discount])</f>
        <v>0</v>
      </c>
      <c r="M621" s="2">
        <f>SUM(Table1[[#This Row],[Sales]],Table1[[#This Row],[freight]])</f>
        <v>100.33</v>
      </c>
      <c r="N621" s="3">
        <f>_xlfn.XLOOKUP(Table1[[#This Row],[orderID]],Table3[orderID],Table3[quantity])</f>
        <v>3</v>
      </c>
      <c r="O621" s="6" t="str">
        <f>_xlfn.XLOOKUP(Table1[[#This Row],[CustomerID]],customers!A:A,customers!B:B)</f>
        <v>Lonesome Pine Restaurant</v>
      </c>
      <c r="P621" s="6" t="str">
        <f>_xlfn.XLOOKUP(Table1[[#This Row],[shipperID]],Table6[shipperID],Table6[companyName])</f>
        <v>Speedy Express</v>
      </c>
      <c r="Q621">
        <f>YEAR(Table1[[#This Row],[OrderDate]])</f>
        <v>2015</v>
      </c>
      <c r="R621">
        <f>MONTH(Table1[[#This Row],[OrderDate]])</f>
        <v>2</v>
      </c>
      <c r="S621" t="str">
        <f>"Q"&amp;ROUNDUP(Table1[[#This Row],[month]]/3,0)</f>
        <v>Q1</v>
      </c>
      <c r="T621" t="str">
        <f>CONCATENATE(Table1[[#This Row],[year]],"-",Table1[[#This Row],[Quarter]])</f>
        <v>2015-Q1</v>
      </c>
      <c r="U621" s="6" t="str">
        <f>IF(H620="","Pending",IF(Table1[[#This Row],[Days to ship]]&lt;Table1[[#This Row],[RequiredDate]],"On Time","Late"))</f>
        <v>On Time</v>
      </c>
      <c r="V621">
        <f>_xlfn.XLOOKUP(Table1[[#This Row],[orderID]],Table3[orderID],Table3[unitPrice])</f>
        <v>32.799999999999997</v>
      </c>
    </row>
    <row r="622" spans="1:22" x14ac:dyDescent="0.45">
      <c r="A622" s="3">
        <v>10868</v>
      </c>
      <c r="B622" s="6" t="s">
        <v>162</v>
      </c>
      <c r="C622" s="3">
        <v>7</v>
      </c>
      <c r="D622" s="6" t="str">
        <f>_xlfn.XLOOKUP(Table1[[#This Row],[EmployeeID]],Table4[employeeID],Table4[employeeName])</f>
        <v>Robert King</v>
      </c>
      <c r="E622" s="1">
        <v>42039</v>
      </c>
      <c r="F622" s="1">
        <v>42067</v>
      </c>
      <c r="G622" s="1">
        <v>42058</v>
      </c>
      <c r="H622" s="3">
        <f>IF(Table1[[#This Row],[ShippedDate]]="","",IF(Table1[[#This Row],[OrderDate]]="","",Table1[[#This Row],[ShippedDate]]-Table1[[#This Row],[OrderDate]]))</f>
        <v>19</v>
      </c>
      <c r="I622" s="3">
        <v>2</v>
      </c>
      <c r="J622" s="2">
        <v>191.27</v>
      </c>
      <c r="K622" s="2">
        <f>SUMIF(order_details!A:A,Table1[[#This Row],[orderID]],order_details!F:F)</f>
        <v>1920.6</v>
      </c>
      <c r="L622" s="9">
        <f>_xlfn.XLOOKUP(Table1[[#This Row],[orderID]],Table3[orderID],Table3[discount])</f>
        <v>0</v>
      </c>
      <c r="M622" s="2">
        <f>SUM(Table1[[#This Row],[Sales]],Table1[[#This Row],[freight]])</f>
        <v>2111.87</v>
      </c>
      <c r="N622" s="3">
        <f>_xlfn.XLOOKUP(Table1[[#This Row],[orderID]],Table3[orderID],Table3[quantity])</f>
        <v>20</v>
      </c>
      <c r="O622" s="6" t="str">
        <f>_xlfn.XLOOKUP(Table1[[#This Row],[CustomerID]],customers!A:A,customers!B:B)</f>
        <v>Queen Cozinha</v>
      </c>
      <c r="P622" s="6" t="str">
        <f>_xlfn.XLOOKUP(Table1[[#This Row],[shipperID]],Table6[shipperID],Table6[companyName])</f>
        <v>United Package</v>
      </c>
      <c r="Q622">
        <f>YEAR(Table1[[#This Row],[OrderDate]])</f>
        <v>2015</v>
      </c>
      <c r="R622">
        <f>MONTH(Table1[[#This Row],[OrderDate]])</f>
        <v>2</v>
      </c>
      <c r="S622" t="str">
        <f>"Q"&amp;ROUNDUP(Table1[[#This Row],[month]]/3,0)</f>
        <v>Q1</v>
      </c>
      <c r="T622" t="str">
        <f>CONCATENATE(Table1[[#This Row],[year]],"-",Table1[[#This Row],[Quarter]])</f>
        <v>2015-Q1</v>
      </c>
      <c r="U622" s="6" t="str">
        <f>IF(H621="","Pending",IF(Table1[[#This Row],[Days to ship]]&lt;Table1[[#This Row],[RequiredDate]],"On Time","Late"))</f>
        <v>On Time</v>
      </c>
      <c r="V622">
        <f>_xlfn.XLOOKUP(Table1[[#This Row],[orderID]],Table3[orderID],Table3[unitPrice])</f>
        <v>31.23</v>
      </c>
    </row>
    <row r="623" spans="1:22" x14ac:dyDescent="0.45">
      <c r="A623" s="3">
        <v>10869</v>
      </c>
      <c r="B623" s="6" t="s">
        <v>226</v>
      </c>
      <c r="C623" s="3">
        <v>5</v>
      </c>
      <c r="D623" s="6" t="str">
        <f>_xlfn.XLOOKUP(Table1[[#This Row],[EmployeeID]],Table4[employeeID],Table4[employeeName])</f>
        <v>Steven Buchanan</v>
      </c>
      <c r="E623" s="1">
        <v>42039</v>
      </c>
      <c r="F623" s="1">
        <v>42067</v>
      </c>
      <c r="G623" s="1">
        <v>42044</v>
      </c>
      <c r="H623" s="3">
        <f>IF(Table1[[#This Row],[ShippedDate]]="","",IF(Table1[[#This Row],[OrderDate]]="","",Table1[[#This Row],[ShippedDate]]-Table1[[#This Row],[OrderDate]]))</f>
        <v>5</v>
      </c>
      <c r="I623" s="3">
        <v>1</v>
      </c>
      <c r="J623" s="2">
        <v>143.28</v>
      </c>
      <c r="K623" s="2">
        <f>SUMIF(order_details!A:A,Table1[[#This Row],[orderID]],order_details!F:F)</f>
        <v>1630</v>
      </c>
      <c r="L623" s="9">
        <f>_xlfn.XLOOKUP(Table1[[#This Row],[orderID]],Table3[orderID],Table3[discount])</f>
        <v>0</v>
      </c>
      <c r="M623" s="2">
        <f>SUM(Table1[[#This Row],[Sales]],Table1[[#This Row],[freight]])</f>
        <v>1773.28</v>
      </c>
      <c r="N623" s="3">
        <f>_xlfn.XLOOKUP(Table1[[#This Row],[orderID]],Table3[orderID],Table3[quantity])</f>
        <v>40</v>
      </c>
      <c r="O623" s="6" t="str">
        <f>_xlfn.XLOOKUP(Table1[[#This Row],[CustomerID]],customers!A:A,customers!B:B)</f>
        <v>Seven Seas Imports</v>
      </c>
      <c r="P623" s="6" t="str">
        <f>_xlfn.XLOOKUP(Table1[[#This Row],[shipperID]],Table6[shipperID],Table6[companyName])</f>
        <v>Speedy Express</v>
      </c>
      <c r="Q623">
        <f>YEAR(Table1[[#This Row],[OrderDate]])</f>
        <v>2015</v>
      </c>
      <c r="R623">
        <f>MONTH(Table1[[#This Row],[OrderDate]])</f>
        <v>2</v>
      </c>
      <c r="S623" t="str">
        <f>"Q"&amp;ROUNDUP(Table1[[#This Row],[month]]/3,0)</f>
        <v>Q1</v>
      </c>
      <c r="T623" t="str">
        <f>CONCATENATE(Table1[[#This Row],[year]],"-",Table1[[#This Row],[Quarter]])</f>
        <v>2015-Q1</v>
      </c>
      <c r="U623" s="6" t="str">
        <f>IF(H622="","Pending",IF(Table1[[#This Row],[Days to ship]]&lt;Table1[[#This Row],[RequiredDate]],"On Time","Late"))</f>
        <v>On Time</v>
      </c>
      <c r="V623">
        <f>_xlfn.XLOOKUP(Table1[[#This Row],[orderID]],Table3[orderID],Table3[unitPrice])</f>
        <v>18</v>
      </c>
    </row>
    <row r="624" spans="1:22" x14ac:dyDescent="0.45">
      <c r="A624" s="3">
        <v>10870</v>
      </c>
      <c r="B624" s="6" t="s">
        <v>183</v>
      </c>
      <c r="C624" s="3">
        <v>5</v>
      </c>
      <c r="D624" s="6" t="str">
        <f>_xlfn.XLOOKUP(Table1[[#This Row],[EmployeeID]],Table4[employeeID],Table4[employeeName])</f>
        <v>Steven Buchanan</v>
      </c>
      <c r="E624" s="1">
        <v>42039</v>
      </c>
      <c r="F624" s="1">
        <v>42067</v>
      </c>
      <c r="G624" s="1">
        <v>42048</v>
      </c>
      <c r="H624" s="3">
        <f>IF(Table1[[#This Row],[ShippedDate]]="","",IF(Table1[[#This Row],[OrderDate]]="","",Table1[[#This Row],[ShippedDate]]-Table1[[#This Row],[OrderDate]]))</f>
        <v>9</v>
      </c>
      <c r="I624" s="3">
        <v>3</v>
      </c>
      <c r="J624" s="2">
        <v>12.04</v>
      </c>
      <c r="K624" s="2">
        <f>SUMIF(order_details!A:A,Table1[[#This Row],[orderID]],order_details!F:F)</f>
        <v>160</v>
      </c>
      <c r="L624" s="9">
        <f>_xlfn.XLOOKUP(Table1[[#This Row],[orderID]],Table3[orderID],Table3[discount])</f>
        <v>0</v>
      </c>
      <c r="M624" s="2">
        <f>SUM(Table1[[#This Row],[Sales]],Table1[[#This Row],[freight]])</f>
        <v>172.04</v>
      </c>
      <c r="N624" s="3">
        <f>_xlfn.XLOOKUP(Table1[[#This Row],[orderID]],Table3[orderID],Table3[quantity])</f>
        <v>3</v>
      </c>
      <c r="O624" s="6" t="str">
        <f>_xlfn.XLOOKUP(Table1[[#This Row],[CustomerID]],customers!A:A,customers!B:B)</f>
        <v>Wolski  Zajazd</v>
      </c>
      <c r="P624" s="6" t="str">
        <f>_xlfn.XLOOKUP(Table1[[#This Row],[shipperID]],Table6[shipperID],Table6[companyName])</f>
        <v>Federal Shipping</v>
      </c>
      <c r="Q624">
        <f>YEAR(Table1[[#This Row],[OrderDate]])</f>
        <v>2015</v>
      </c>
      <c r="R624">
        <f>MONTH(Table1[[#This Row],[OrderDate]])</f>
        <v>2</v>
      </c>
      <c r="S624" t="str">
        <f>"Q"&amp;ROUNDUP(Table1[[#This Row],[month]]/3,0)</f>
        <v>Q1</v>
      </c>
      <c r="T624" t="str">
        <f>CONCATENATE(Table1[[#This Row],[year]],"-",Table1[[#This Row],[Quarter]])</f>
        <v>2015-Q1</v>
      </c>
      <c r="U624" s="6" t="str">
        <f>IF(H623="","Pending",IF(Table1[[#This Row],[Days to ship]]&lt;Table1[[#This Row],[RequiredDate]],"On Time","Late"))</f>
        <v>On Time</v>
      </c>
      <c r="V624">
        <f>_xlfn.XLOOKUP(Table1[[#This Row],[orderID]],Table3[orderID],Table3[unitPrice])</f>
        <v>18</v>
      </c>
    </row>
    <row r="625" spans="1:22" x14ac:dyDescent="0.45">
      <c r="A625" s="3">
        <v>10871</v>
      </c>
      <c r="B625" s="6" t="s">
        <v>154</v>
      </c>
      <c r="C625" s="3">
        <v>9</v>
      </c>
      <c r="D625" s="6" t="str">
        <f>_xlfn.XLOOKUP(Table1[[#This Row],[EmployeeID]],Table4[employeeID],Table4[employeeName])</f>
        <v>Anne Dodsworth</v>
      </c>
      <c r="E625" s="1">
        <v>42040</v>
      </c>
      <c r="F625" s="1">
        <v>42068</v>
      </c>
      <c r="G625" s="1">
        <v>42045</v>
      </c>
      <c r="H625" s="3">
        <f>IF(Table1[[#This Row],[ShippedDate]]="","",IF(Table1[[#This Row],[OrderDate]]="","",Table1[[#This Row],[ShippedDate]]-Table1[[#This Row],[OrderDate]]))</f>
        <v>5</v>
      </c>
      <c r="I625" s="3">
        <v>2</v>
      </c>
      <c r="J625" s="2">
        <v>112.27</v>
      </c>
      <c r="K625" s="2">
        <f>SUMIF(order_details!A:A,Table1[[#This Row],[orderID]],order_details!F:F)</f>
        <v>1979.23</v>
      </c>
      <c r="L625" s="9">
        <f>_xlfn.XLOOKUP(Table1[[#This Row],[orderID]],Table3[orderID],Table3[discount])</f>
        <v>0.05</v>
      </c>
      <c r="M625" s="2">
        <f>SUM(Table1[[#This Row],[Sales]],Table1[[#This Row],[freight]])</f>
        <v>2091.5</v>
      </c>
      <c r="N625" s="3">
        <f>_xlfn.XLOOKUP(Table1[[#This Row],[orderID]],Table3[orderID],Table3[quantity])</f>
        <v>50</v>
      </c>
      <c r="O625" s="6" t="str">
        <f>_xlfn.XLOOKUP(Table1[[#This Row],[CustomerID]],customers!A:A,customers!B:B)</f>
        <v>Bon app'</v>
      </c>
      <c r="P625" s="6" t="str">
        <f>_xlfn.XLOOKUP(Table1[[#This Row],[shipperID]],Table6[shipperID],Table6[companyName])</f>
        <v>United Package</v>
      </c>
      <c r="Q625">
        <f>YEAR(Table1[[#This Row],[OrderDate]])</f>
        <v>2015</v>
      </c>
      <c r="R625">
        <f>MONTH(Table1[[#This Row],[OrderDate]])</f>
        <v>2</v>
      </c>
      <c r="S625" t="str">
        <f>"Q"&amp;ROUNDUP(Table1[[#This Row],[month]]/3,0)</f>
        <v>Q1</v>
      </c>
      <c r="T625" t="str">
        <f>CONCATENATE(Table1[[#This Row],[year]],"-",Table1[[#This Row],[Quarter]])</f>
        <v>2015-Q1</v>
      </c>
      <c r="U625" s="6" t="str">
        <f>IF(H624="","Pending",IF(Table1[[#This Row],[Days to ship]]&lt;Table1[[#This Row],[RequiredDate]],"On Time","Late"))</f>
        <v>On Time</v>
      </c>
      <c r="V625">
        <f>_xlfn.XLOOKUP(Table1[[#This Row],[orderID]],Table3[orderID],Table3[unitPrice])</f>
        <v>25</v>
      </c>
    </row>
    <row r="626" spans="1:22" x14ac:dyDescent="0.45">
      <c r="A626" s="3">
        <v>10872</v>
      </c>
      <c r="B626" s="6" t="s">
        <v>189</v>
      </c>
      <c r="C626" s="3">
        <v>5</v>
      </c>
      <c r="D626" s="6" t="str">
        <f>_xlfn.XLOOKUP(Table1[[#This Row],[EmployeeID]],Table4[employeeID],Table4[employeeName])</f>
        <v>Steven Buchanan</v>
      </c>
      <c r="E626" s="1">
        <v>42040</v>
      </c>
      <c r="F626" s="1">
        <v>42068</v>
      </c>
      <c r="G626" s="1">
        <v>42044</v>
      </c>
      <c r="H626" s="3">
        <f>IF(Table1[[#This Row],[ShippedDate]]="","",IF(Table1[[#This Row],[OrderDate]]="","",Table1[[#This Row],[ShippedDate]]-Table1[[#This Row],[OrderDate]]))</f>
        <v>4</v>
      </c>
      <c r="I626" s="3">
        <v>2</v>
      </c>
      <c r="J626" s="2">
        <v>175.32</v>
      </c>
      <c r="K626" s="2">
        <f>SUMIF(order_details!A:A,Table1[[#This Row],[orderID]],order_details!F:F)</f>
        <v>2058.46</v>
      </c>
      <c r="L626" s="9">
        <f>_xlfn.XLOOKUP(Table1[[#This Row],[orderID]],Table3[orderID],Table3[discount])</f>
        <v>0.05</v>
      </c>
      <c r="M626" s="2">
        <f>SUM(Table1[[#This Row],[Sales]],Table1[[#This Row],[freight]])</f>
        <v>2233.7800000000002</v>
      </c>
      <c r="N626" s="3">
        <f>_xlfn.XLOOKUP(Table1[[#This Row],[orderID]],Table3[orderID],Table3[quantity])</f>
        <v>10</v>
      </c>
      <c r="O626" s="6" t="str">
        <f>_xlfn.XLOOKUP(Table1[[#This Row],[CustomerID]],customers!A:A,customers!B:B)</f>
        <v>Godos Cocina Típica</v>
      </c>
      <c r="P626" s="6" t="str">
        <f>_xlfn.XLOOKUP(Table1[[#This Row],[shipperID]],Table6[shipperID],Table6[companyName])</f>
        <v>United Package</v>
      </c>
      <c r="Q626">
        <f>YEAR(Table1[[#This Row],[OrderDate]])</f>
        <v>2015</v>
      </c>
      <c r="R626">
        <f>MONTH(Table1[[#This Row],[OrderDate]])</f>
        <v>2</v>
      </c>
      <c r="S626" t="str">
        <f>"Q"&amp;ROUNDUP(Table1[[#This Row],[month]]/3,0)</f>
        <v>Q1</v>
      </c>
      <c r="T626" t="str">
        <f>CONCATENATE(Table1[[#This Row],[year]],"-",Table1[[#This Row],[Quarter]])</f>
        <v>2015-Q1</v>
      </c>
      <c r="U626" s="6" t="str">
        <f>IF(H625="","Pending",IF(Table1[[#This Row],[Days to ship]]&lt;Table1[[#This Row],[RequiredDate]],"On Time","Late"))</f>
        <v>On Time</v>
      </c>
      <c r="V626">
        <f>_xlfn.XLOOKUP(Table1[[#This Row],[orderID]],Table3[orderID],Table3[unitPrice])</f>
        <v>24</v>
      </c>
    </row>
    <row r="627" spans="1:22" x14ac:dyDescent="0.45">
      <c r="A627" s="3">
        <v>10873</v>
      </c>
      <c r="B627" s="6" t="s">
        <v>204</v>
      </c>
      <c r="C627" s="3">
        <v>4</v>
      </c>
      <c r="D627" s="6" t="str">
        <f>_xlfn.XLOOKUP(Table1[[#This Row],[EmployeeID]],Table4[employeeID],Table4[employeeName])</f>
        <v>Margaret Peacock</v>
      </c>
      <c r="E627" s="1">
        <v>42041</v>
      </c>
      <c r="F627" s="1">
        <v>42069</v>
      </c>
      <c r="G627" s="1">
        <v>42044</v>
      </c>
      <c r="H627" s="3">
        <f>IF(Table1[[#This Row],[ShippedDate]]="","",IF(Table1[[#This Row],[OrderDate]]="","",Table1[[#This Row],[ShippedDate]]-Table1[[#This Row],[OrderDate]]))</f>
        <v>3</v>
      </c>
      <c r="I627" s="3">
        <v>1</v>
      </c>
      <c r="J627" s="2">
        <v>0.82</v>
      </c>
      <c r="K627" s="2">
        <f>SUMIF(order_details!A:A,Table1[[#This Row],[orderID]],order_details!F:F)</f>
        <v>336.8</v>
      </c>
      <c r="L627" s="9">
        <f>_xlfn.XLOOKUP(Table1[[#This Row],[orderID]],Table3[orderID],Table3[discount])</f>
        <v>0</v>
      </c>
      <c r="M627" s="2">
        <f>SUM(Table1[[#This Row],[Sales]],Table1[[#This Row],[freight]])</f>
        <v>337.62</v>
      </c>
      <c r="N627" s="3">
        <f>_xlfn.XLOOKUP(Table1[[#This Row],[orderID]],Table3[orderID],Table3[quantity])</f>
        <v>20</v>
      </c>
      <c r="O627" s="6" t="str">
        <f>_xlfn.XLOOKUP(Table1[[#This Row],[CustomerID]],customers!A:A,customers!B:B)</f>
        <v>Wilman Kala</v>
      </c>
      <c r="P627" s="6" t="str">
        <f>_xlfn.XLOOKUP(Table1[[#This Row],[shipperID]],Table6[shipperID],Table6[companyName])</f>
        <v>Speedy Express</v>
      </c>
      <c r="Q627">
        <f>YEAR(Table1[[#This Row],[OrderDate]])</f>
        <v>2015</v>
      </c>
      <c r="R627">
        <f>MONTH(Table1[[#This Row],[OrderDate]])</f>
        <v>2</v>
      </c>
      <c r="S627" t="str">
        <f>"Q"&amp;ROUNDUP(Table1[[#This Row],[month]]/3,0)</f>
        <v>Q1</v>
      </c>
      <c r="T627" t="str">
        <f>CONCATENATE(Table1[[#This Row],[year]],"-",Table1[[#This Row],[Quarter]])</f>
        <v>2015-Q1</v>
      </c>
      <c r="U627" s="6" t="str">
        <f>IF(H626="","Pending",IF(Table1[[#This Row],[Days to ship]]&lt;Table1[[#This Row],[RequiredDate]],"On Time","Late"))</f>
        <v>On Time</v>
      </c>
      <c r="V627">
        <f>_xlfn.XLOOKUP(Table1[[#This Row],[orderID]],Table3[orderID],Table3[unitPrice])</f>
        <v>10</v>
      </c>
    </row>
    <row r="628" spans="1:22" x14ac:dyDescent="0.45">
      <c r="A628" s="3">
        <v>10874</v>
      </c>
      <c r="B628" s="6" t="s">
        <v>189</v>
      </c>
      <c r="C628" s="3">
        <v>5</v>
      </c>
      <c r="D628" s="6" t="str">
        <f>_xlfn.XLOOKUP(Table1[[#This Row],[EmployeeID]],Table4[employeeID],Table4[employeeName])</f>
        <v>Steven Buchanan</v>
      </c>
      <c r="E628" s="1">
        <v>42041</v>
      </c>
      <c r="F628" s="1">
        <v>42069</v>
      </c>
      <c r="G628" s="1">
        <v>42046</v>
      </c>
      <c r="H628" s="3">
        <f>IF(Table1[[#This Row],[ShippedDate]]="","",IF(Table1[[#This Row],[OrderDate]]="","",Table1[[#This Row],[ShippedDate]]-Table1[[#This Row],[OrderDate]]))</f>
        <v>5</v>
      </c>
      <c r="I628" s="3">
        <v>2</v>
      </c>
      <c r="J628" s="2">
        <v>19.579999999999998</v>
      </c>
      <c r="K628" s="2">
        <f>SUMIF(order_details!A:A,Table1[[#This Row],[orderID]],order_details!F:F)</f>
        <v>310</v>
      </c>
      <c r="L628" s="9">
        <f>_xlfn.XLOOKUP(Table1[[#This Row],[orderID]],Table3[orderID],Table3[discount])</f>
        <v>0</v>
      </c>
      <c r="M628" s="2">
        <f>SUM(Table1[[#This Row],[Sales]],Table1[[#This Row],[freight]])</f>
        <v>329.58</v>
      </c>
      <c r="N628" s="3">
        <f>_xlfn.XLOOKUP(Table1[[#This Row],[orderID]],Table3[orderID],Table3[quantity])</f>
        <v>10</v>
      </c>
      <c r="O628" s="6" t="str">
        <f>_xlfn.XLOOKUP(Table1[[#This Row],[CustomerID]],customers!A:A,customers!B:B)</f>
        <v>Godos Cocina Típica</v>
      </c>
      <c r="P628" s="6" t="str">
        <f>_xlfn.XLOOKUP(Table1[[#This Row],[shipperID]],Table6[shipperID],Table6[companyName])</f>
        <v>United Package</v>
      </c>
      <c r="Q628">
        <f>YEAR(Table1[[#This Row],[OrderDate]])</f>
        <v>2015</v>
      </c>
      <c r="R628">
        <f>MONTH(Table1[[#This Row],[OrderDate]])</f>
        <v>2</v>
      </c>
      <c r="S628" t="str">
        <f>"Q"&amp;ROUNDUP(Table1[[#This Row],[month]]/3,0)</f>
        <v>Q1</v>
      </c>
      <c r="T628" t="str">
        <f>CONCATENATE(Table1[[#This Row],[year]],"-",Table1[[#This Row],[Quarter]])</f>
        <v>2015-Q1</v>
      </c>
      <c r="U628" s="6" t="str">
        <f>IF(H627="","Pending",IF(Table1[[#This Row],[Days to ship]]&lt;Table1[[#This Row],[RequiredDate]],"On Time","Late"))</f>
        <v>On Time</v>
      </c>
      <c r="V628">
        <f>_xlfn.XLOOKUP(Table1[[#This Row],[orderID]],Table3[orderID],Table3[unitPrice])</f>
        <v>31</v>
      </c>
    </row>
    <row r="629" spans="1:22" x14ac:dyDescent="0.45">
      <c r="A629" s="3">
        <v>10875</v>
      </c>
      <c r="B629" s="6" t="s">
        <v>223</v>
      </c>
      <c r="C629" s="3">
        <v>4</v>
      </c>
      <c r="D629" s="6" t="str">
        <f>_xlfn.XLOOKUP(Table1[[#This Row],[EmployeeID]],Table4[employeeID],Table4[employeeName])</f>
        <v>Margaret Peacock</v>
      </c>
      <c r="E629" s="1">
        <v>42041</v>
      </c>
      <c r="F629" s="1">
        <v>42069</v>
      </c>
      <c r="G629" s="1">
        <v>42066</v>
      </c>
      <c r="H629" s="3">
        <f>IF(Table1[[#This Row],[ShippedDate]]="","",IF(Table1[[#This Row],[OrderDate]]="","",Table1[[#This Row],[ShippedDate]]-Table1[[#This Row],[OrderDate]]))</f>
        <v>25</v>
      </c>
      <c r="I629" s="3">
        <v>2</v>
      </c>
      <c r="J629" s="2">
        <v>32.369999999999997</v>
      </c>
      <c r="K629" s="2">
        <f>SUMIF(order_details!A:A,Table1[[#This Row],[orderID]],order_details!F:F)</f>
        <v>709.55</v>
      </c>
      <c r="L629" s="9">
        <f>_xlfn.XLOOKUP(Table1[[#This Row],[orderID]],Table3[orderID],Table3[discount])</f>
        <v>0</v>
      </c>
      <c r="M629" s="2">
        <f>SUM(Table1[[#This Row],[Sales]],Table1[[#This Row],[freight]])</f>
        <v>741.92</v>
      </c>
      <c r="N629" s="3">
        <f>_xlfn.XLOOKUP(Table1[[#This Row],[orderID]],Table3[orderID],Table3[quantity])</f>
        <v>25</v>
      </c>
      <c r="O629" s="6" t="str">
        <f>_xlfn.XLOOKUP(Table1[[#This Row],[CustomerID]],customers!A:A,customers!B:B)</f>
        <v>Berglunds snabbköp</v>
      </c>
      <c r="P629" s="6" t="str">
        <f>_xlfn.XLOOKUP(Table1[[#This Row],[shipperID]],Table6[shipperID],Table6[companyName])</f>
        <v>United Package</v>
      </c>
      <c r="Q629">
        <f>YEAR(Table1[[#This Row],[OrderDate]])</f>
        <v>2015</v>
      </c>
      <c r="R629">
        <f>MONTH(Table1[[#This Row],[OrderDate]])</f>
        <v>2</v>
      </c>
      <c r="S629" t="str">
        <f>"Q"&amp;ROUNDUP(Table1[[#This Row],[month]]/3,0)</f>
        <v>Q1</v>
      </c>
      <c r="T629" t="str">
        <f>CONCATENATE(Table1[[#This Row],[year]],"-",Table1[[#This Row],[Quarter]])</f>
        <v>2015-Q1</v>
      </c>
      <c r="U629" s="6" t="str">
        <f>IF(H628="","Pending",IF(Table1[[#This Row],[Days to ship]]&lt;Table1[[#This Row],[RequiredDate]],"On Time","Late"))</f>
        <v>On Time</v>
      </c>
      <c r="V629">
        <f>_xlfn.XLOOKUP(Table1[[#This Row],[orderID]],Table3[orderID],Table3[unitPrice])</f>
        <v>9.1999999999999993</v>
      </c>
    </row>
    <row r="630" spans="1:22" x14ac:dyDescent="0.45">
      <c r="A630" s="3">
        <v>10876</v>
      </c>
      <c r="B630" s="6" t="s">
        <v>154</v>
      </c>
      <c r="C630" s="3">
        <v>7</v>
      </c>
      <c r="D630" s="6" t="str">
        <f>_xlfn.XLOOKUP(Table1[[#This Row],[EmployeeID]],Table4[employeeID],Table4[employeeName])</f>
        <v>Robert King</v>
      </c>
      <c r="E630" s="1">
        <v>42044</v>
      </c>
      <c r="F630" s="1">
        <v>42072</v>
      </c>
      <c r="G630" s="1">
        <v>42047</v>
      </c>
      <c r="H630" s="3">
        <f>IF(Table1[[#This Row],[ShippedDate]]="","",IF(Table1[[#This Row],[OrderDate]]="","",Table1[[#This Row],[ShippedDate]]-Table1[[#This Row],[OrderDate]]))</f>
        <v>3</v>
      </c>
      <c r="I630" s="3">
        <v>3</v>
      </c>
      <c r="J630" s="2">
        <v>60.42</v>
      </c>
      <c r="K630" s="2">
        <f>SUMIF(order_details!A:A,Table1[[#This Row],[orderID]],order_details!F:F)</f>
        <v>917</v>
      </c>
      <c r="L630" s="9">
        <f>_xlfn.XLOOKUP(Table1[[#This Row],[orderID]],Table3[orderID],Table3[discount])</f>
        <v>0</v>
      </c>
      <c r="M630" s="2">
        <f>SUM(Table1[[#This Row],[Sales]],Table1[[#This Row],[freight]])</f>
        <v>977.42</v>
      </c>
      <c r="N630" s="3">
        <f>_xlfn.XLOOKUP(Table1[[#This Row],[orderID]],Table3[orderID],Table3[quantity])</f>
        <v>21</v>
      </c>
      <c r="O630" s="6" t="str">
        <f>_xlfn.XLOOKUP(Table1[[#This Row],[CustomerID]],customers!A:A,customers!B:B)</f>
        <v>Bon app'</v>
      </c>
      <c r="P630" s="6" t="str">
        <f>_xlfn.XLOOKUP(Table1[[#This Row],[shipperID]],Table6[shipperID],Table6[companyName])</f>
        <v>Federal Shipping</v>
      </c>
      <c r="Q630">
        <f>YEAR(Table1[[#This Row],[OrderDate]])</f>
        <v>2015</v>
      </c>
      <c r="R630">
        <f>MONTH(Table1[[#This Row],[OrderDate]])</f>
        <v>2</v>
      </c>
      <c r="S630" t="str">
        <f>"Q"&amp;ROUNDUP(Table1[[#This Row],[month]]/3,0)</f>
        <v>Q1</v>
      </c>
      <c r="T630" t="str">
        <f>CONCATENATE(Table1[[#This Row],[year]],"-",Table1[[#This Row],[Quarter]])</f>
        <v>2015-Q1</v>
      </c>
      <c r="U630" s="6" t="str">
        <f>IF(H629="","Pending",IF(Table1[[#This Row],[Days to ship]]&lt;Table1[[#This Row],[RequiredDate]],"On Time","Late"))</f>
        <v>On Time</v>
      </c>
      <c r="V630">
        <f>_xlfn.XLOOKUP(Table1[[#This Row],[orderID]],Table3[orderID],Table3[unitPrice])</f>
        <v>12</v>
      </c>
    </row>
    <row r="631" spans="1:22" x14ac:dyDescent="0.45">
      <c r="A631" s="3">
        <v>10877</v>
      </c>
      <c r="B631" s="6" t="s">
        <v>170</v>
      </c>
      <c r="C631" s="3">
        <v>1</v>
      </c>
      <c r="D631" s="6" t="str">
        <f>_xlfn.XLOOKUP(Table1[[#This Row],[EmployeeID]],Table4[employeeID],Table4[employeeName])</f>
        <v>Nancy Davolio</v>
      </c>
      <c r="E631" s="1">
        <v>42044</v>
      </c>
      <c r="F631" s="1">
        <v>42072</v>
      </c>
      <c r="G631" s="1">
        <v>42054</v>
      </c>
      <c r="H631" s="3">
        <f>IF(Table1[[#This Row],[ShippedDate]]="","",IF(Table1[[#This Row],[OrderDate]]="","",Table1[[#This Row],[ShippedDate]]-Table1[[#This Row],[OrderDate]]))</f>
        <v>10</v>
      </c>
      <c r="I631" s="3">
        <v>1</v>
      </c>
      <c r="J631" s="2">
        <v>38.06</v>
      </c>
      <c r="K631" s="2">
        <f>SUMIF(order_details!A:A,Table1[[#This Row],[orderID]],order_details!F:F)</f>
        <v>1955.125</v>
      </c>
      <c r="L631" s="9">
        <f>_xlfn.XLOOKUP(Table1[[#This Row],[orderID]],Table3[orderID],Table3[discount])</f>
        <v>0.25</v>
      </c>
      <c r="M631" s="2">
        <f>SUM(Table1[[#This Row],[Sales]],Table1[[#This Row],[freight]])</f>
        <v>1993.1849999999999</v>
      </c>
      <c r="N631" s="3">
        <f>_xlfn.XLOOKUP(Table1[[#This Row],[orderID]],Table3[orderID],Table3[quantity])</f>
        <v>30</v>
      </c>
      <c r="O631" s="6" t="str">
        <f>_xlfn.XLOOKUP(Table1[[#This Row],[CustomerID]],customers!A:A,customers!B:B)</f>
        <v>Ricardo Adocicados</v>
      </c>
      <c r="P631" s="6" t="str">
        <f>_xlfn.XLOOKUP(Table1[[#This Row],[shipperID]],Table6[shipperID],Table6[companyName])</f>
        <v>Speedy Express</v>
      </c>
      <c r="Q631">
        <f>YEAR(Table1[[#This Row],[OrderDate]])</f>
        <v>2015</v>
      </c>
      <c r="R631">
        <f>MONTH(Table1[[#This Row],[OrderDate]])</f>
        <v>2</v>
      </c>
      <c r="S631" t="str">
        <f>"Q"&amp;ROUNDUP(Table1[[#This Row],[month]]/3,0)</f>
        <v>Q1</v>
      </c>
      <c r="T631" t="str">
        <f>CONCATENATE(Table1[[#This Row],[year]],"-",Table1[[#This Row],[Quarter]])</f>
        <v>2015-Q1</v>
      </c>
      <c r="U631" s="6" t="str">
        <f>IF(H630="","Pending",IF(Table1[[#This Row],[Days to ship]]&lt;Table1[[#This Row],[RequiredDate]],"On Time","Late"))</f>
        <v>On Time</v>
      </c>
      <c r="V631">
        <f>_xlfn.XLOOKUP(Table1[[#This Row],[orderID]],Table3[orderID],Table3[unitPrice])</f>
        <v>17.45</v>
      </c>
    </row>
    <row r="632" spans="1:22" x14ac:dyDescent="0.45">
      <c r="A632" s="3">
        <v>10878</v>
      </c>
      <c r="B632" s="6" t="s">
        <v>194</v>
      </c>
      <c r="C632" s="3">
        <v>4</v>
      </c>
      <c r="D632" s="6" t="str">
        <f>_xlfn.XLOOKUP(Table1[[#This Row],[EmployeeID]],Table4[employeeID],Table4[employeeName])</f>
        <v>Margaret Peacock</v>
      </c>
      <c r="E632" s="1">
        <v>42045</v>
      </c>
      <c r="F632" s="1">
        <v>42073</v>
      </c>
      <c r="G632" s="1">
        <v>42047</v>
      </c>
      <c r="H632" s="3">
        <f>IF(Table1[[#This Row],[ShippedDate]]="","",IF(Table1[[#This Row],[OrderDate]]="","",Table1[[#This Row],[ShippedDate]]-Table1[[#This Row],[OrderDate]]))</f>
        <v>2</v>
      </c>
      <c r="I632" s="3">
        <v>1</v>
      </c>
      <c r="J632" s="2">
        <v>46.69</v>
      </c>
      <c r="K632" s="2">
        <f>SUMIF(order_details!A:A,Table1[[#This Row],[orderID]],order_details!F:F)</f>
        <v>1539</v>
      </c>
      <c r="L632" s="9">
        <f>_xlfn.XLOOKUP(Table1[[#This Row],[orderID]],Table3[orderID],Table3[discount])</f>
        <v>0.05</v>
      </c>
      <c r="M632" s="2">
        <f>SUM(Table1[[#This Row],[Sales]],Table1[[#This Row],[freight]])</f>
        <v>1585.69</v>
      </c>
      <c r="N632" s="3">
        <f>_xlfn.XLOOKUP(Table1[[#This Row],[orderID]],Table3[orderID],Table3[quantity])</f>
        <v>20</v>
      </c>
      <c r="O632" s="6" t="str">
        <f>_xlfn.XLOOKUP(Table1[[#This Row],[CustomerID]],customers!A:A,customers!B:B)</f>
        <v>QUICK-Stop</v>
      </c>
      <c r="P632" s="6" t="str">
        <f>_xlfn.XLOOKUP(Table1[[#This Row],[shipperID]],Table6[shipperID],Table6[companyName])</f>
        <v>Speedy Express</v>
      </c>
      <c r="Q632">
        <f>YEAR(Table1[[#This Row],[OrderDate]])</f>
        <v>2015</v>
      </c>
      <c r="R632">
        <f>MONTH(Table1[[#This Row],[OrderDate]])</f>
        <v>2</v>
      </c>
      <c r="S632" t="str">
        <f>"Q"&amp;ROUNDUP(Table1[[#This Row],[month]]/3,0)</f>
        <v>Q1</v>
      </c>
      <c r="T632" t="str">
        <f>CONCATENATE(Table1[[#This Row],[year]],"-",Table1[[#This Row],[Quarter]])</f>
        <v>2015-Q1</v>
      </c>
      <c r="U632" s="6" t="str">
        <f>IF(H631="","Pending",IF(Table1[[#This Row],[Days to ship]]&lt;Table1[[#This Row],[RequiredDate]],"On Time","Late"))</f>
        <v>On Time</v>
      </c>
      <c r="V632">
        <f>_xlfn.XLOOKUP(Table1[[#This Row],[orderID]],Table3[orderID],Table3[unitPrice])</f>
        <v>81</v>
      </c>
    </row>
    <row r="633" spans="1:22" x14ac:dyDescent="0.45">
      <c r="A633" s="3">
        <v>10879</v>
      </c>
      <c r="B633" s="6" t="s">
        <v>204</v>
      </c>
      <c r="C633" s="3">
        <v>3</v>
      </c>
      <c r="D633" s="6" t="str">
        <f>_xlfn.XLOOKUP(Table1[[#This Row],[EmployeeID]],Table4[employeeID],Table4[employeeName])</f>
        <v>Janet Leverling</v>
      </c>
      <c r="E633" s="1">
        <v>42045</v>
      </c>
      <c r="F633" s="1">
        <v>42073</v>
      </c>
      <c r="G633" s="1">
        <v>42047</v>
      </c>
      <c r="H633" s="3">
        <f>IF(Table1[[#This Row],[ShippedDate]]="","",IF(Table1[[#This Row],[OrderDate]]="","",Table1[[#This Row],[ShippedDate]]-Table1[[#This Row],[OrderDate]]))</f>
        <v>2</v>
      </c>
      <c r="I633" s="3">
        <v>3</v>
      </c>
      <c r="J633" s="2">
        <v>8.5</v>
      </c>
      <c r="K633" s="2">
        <f>SUMIF(order_details!A:A,Table1[[#This Row],[orderID]],order_details!F:F)</f>
        <v>611.29999999999995</v>
      </c>
      <c r="L633" s="9">
        <f>_xlfn.XLOOKUP(Table1[[#This Row],[orderID]],Table3[orderID],Table3[discount])</f>
        <v>0</v>
      </c>
      <c r="M633" s="2">
        <f>SUM(Table1[[#This Row],[Sales]],Table1[[#This Row],[freight]])</f>
        <v>619.79999999999995</v>
      </c>
      <c r="N633" s="3">
        <f>_xlfn.XLOOKUP(Table1[[#This Row],[orderID]],Table3[orderID],Table3[quantity])</f>
        <v>12</v>
      </c>
      <c r="O633" s="6" t="str">
        <f>_xlfn.XLOOKUP(Table1[[#This Row],[CustomerID]],customers!A:A,customers!B:B)</f>
        <v>Wilman Kala</v>
      </c>
      <c r="P633" s="6" t="str">
        <f>_xlfn.XLOOKUP(Table1[[#This Row],[shipperID]],Table6[shipperID],Table6[companyName])</f>
        <v>Federal Shipping</v>
      </c>
      <c r="Q633">
        <f>YEAR(Table1[[#This Row],[OrderDate]])</f>
        <v>2015</v>
      </c>
      <c r="R633">
        <f>MONTH(Table1[[#This Row],[OrderDate]])</f>
        <v>2</v>
      </c>
      <c r="S633" t="str">
        <f>"Q"&amp;ROUNDUP(Table1[[#This Row],[month]]/3,0)</f>
        <v>Q1</v>
      </c>
      <c r="T633" t="str">
        <f>CONCATENATE(Table1[[#This Row],[year]],"-",Table1[[#This Row],[Quarter]])</f>
        <v>2015-Q1</v>
      </c>
      <c r="U633" s="6" t="str">
        <f>IF(H632="","Pending",IF(Table1[[#This Row],[Days to ship]]&lt;Table1[[#This Row],[RequiredDate]],"On Time","Late"))</f>
        <v>On Time</v>
      </c>
      <c r="V633">
        <f>_xlfn.XLOOKUP(Table1[[#This Row],[orderID]],Table3[orderID],Table3[unitPrice])</f>
        <v>18.399999999999999</v>
      </c>
    </row>
    <row r="634" spans="1:22" x14ac:dyDescent="0.45">
      <c r="A634" s="3">
        <v>10880</v>
      </c>
      <c r="B634" s="6" t="s">
        <v>179</v>
      </c>
      <c r="C634" s="3">
        <v>7</v>
      </c>
      <c r="D634" s="6" t="str">
        <f>_xlfn.XLOOKUP(Table1[[#This Row],[EmployeeID]],Table4[employeeID],Table4[employeeName])</f>
        <v>Robert King</v>
      </c>
      <c r="E634" s="1">
        <v>42045</v>
      </c>
      <c r="F634" s="1">
        <v>42087</v>
      </c>
      <c r="G634" s="1">
        <v>42053</v>
      </c>
      <c r="H634" s="3">
        <f>IF(Table1[[#This Row],[ShippedDate]]="","",IF(Table1[[#This Row],[OrderDate]]="","",Table1[[#This Row],[ShippedDate]]-Table1[[#This Row],[OrderDate]]))</f>
        <v>8</v>
      </c>
      <c r="I634" s="3">
        <v>1</v>
      </c>
      <c r="J634" s="2">
        <v>88.01</v>
      </c>
      <c r="K634" s="2">
        <f>SUMIF(order_details!A:A,Table1[[#This Row],[orderID]],order_details!F:F)</f>
        <v>1500</v>
      </c>
      <c r="L634" s="9">
        <f>_xlfn.XLOOKUP(Table1[[#This Row],[orderID]],Table3[orderID],Table3[discount])</f>
        <v>0.2</v>
      </c>
      <c r="M634" s="2">
        <f>SUM(Table1[[#This Row],[Sales]],Table1[[#This Row],[freight]])</f>
        <v>1588.01</v>
      </c>
      <c r="N634" s="3">
        <f>_xlfn.XLOOKUP(Table1[[#This Row],[orderID]],Table3[orderID],Table3[quantity])</f>
        <v>30</v>
      </c>
      <c r="O634" s="6" t="str">
        <f>_xlfn.XLOOKUP(Table1[[#This Row],[CustomerID]],customers!A:A,customers!B:B)</f>
        <v>Folk och fä HB</v>
      </c>
      <c r="P634" s="6" t="str">
        <f>_xlfn.XLOOKUP(Table1[[#This Row],[shipperID]],Table6[shipperID],Table6[companyName])</f>
        <v>Speedy Express</v>
      </c>
      <c r="Q634">
        <f>YEAR(Table1[[#This Row],[OrderDate]])</f>
        <v>2015</v>
      </c>
      <c r="R634">
        <f>MONTH(Table1[[#This Row],[OrderDate]])</f>
        <v>2</v>
      </c>
      <c r="S634" t="str">
        <f>"Q"&amp;ROUNDUP(Table1[[#This Row],[month]]/3,0)</f>
        <v>Q1</v>
      </c>
      <c r="T634" t="str">
        <f>CONCATENATE(Table1[[#This Row],[year]],"-",Table1[[#This Row],[Quarter]])</f>
        <v>2015-Q1</v>
      </c>
      <c r="U634" s="6" t="str">
        <f>IF(H633="","Pending",IF(Table1[[#This Row],[Days to ship]]&lt;Table1[[#This Row],[RequiredDate]],"On Time","Late"))</f>
        <v>On Time</v>
      </c>
      <c r="V634">
        <f>_xlfn.XLOOKUP(Table1[[#This Row],[orderID]],Table3[orderID],Table3[unitPrice])</f>
        <v>9</v>
      </c>
    </row>
    <row r="635" spans="1:22" x14ac:dyDescent="0.45">
      <c r="A635" s="3">
        <v>10881</v>
      </c>
      <c r="B635" s="6" t="s">
        <v>175</v>
      </c>
      <c r="C635" s="3">
        <v>4</v>
      </c>
      <c r="D635" s="6" t="str">
        <f>_xlfn.XLOOKUP(Table1[[#This Row],[EmployeeID]],Table4[employeeID],Table4[employeeName])</f>
        <v>Margaret Peacock</v>
      </c>
      <c r="E635" s="1">
        <v>42046</v>
      </c>
      <c r="F635" s="1">
        <v>42074</v>
      </c>
      <c r="G635" s="1">
        <v>42053</v>
      </c>
      <c r="H635" s="3">
        <f>IF(Table1[[#This Row],[ShippedDate]]="","",IF(Table1[[#This Row],[OrderDate]]="","",Table1[[#This Row],[ShippedDate]]-Table1[[#This Row],[OrderDate]]))</f>
        <v>7</v>
      </c>
      <c r="I635" s="3">
        <v>1</v>
      </c>
      <c r="J635" s="2">
        <v>2.84</v>
      </c>
      <c r="K635" s="2">
        <f>SUMIF(order_details!A:A,Table1[[#This Row],[orderID]],order_details!F:F)</f>
        <v>150</v>
      </c>
      <c r="L635" s="9">
        <f>_xlfn.XLOOKUP(Table1[[#This Row],[orderID]],Table3[orderID],Table3[discount])</f>
        <v>0</v>
      </c>
      <c r="M635" s="2">
        <f>SUM(Table1[[#This Row],[Sales]],Table1[[#This Row],[freight]])</f>
        <v>152.84</v>
      </c>
      <c r="N635" s="3">
        <f>_xlfn.XLOOKUP(Table1[[#This Row],[orderID]],Table3[orderID],Table3[quantity])</f>
        <v>10</v>
      </c>
      <c r="O635" s="6" t="str">
        <f>_xlfn.XLOOKUP(Table1[[#This Row],[CustomerID]],customers!A:A,customers!B:B)</f>
        <v>Cactus Comidas para llevar</v>
      </c>
      <c r="P635" s="6" t="str">
        <f>_xlfn.XLOOKUP(Table1[[#This Row],[shipperID]],Table6[shipperID],Table6[companyName])</f>
        <v>Speedy Express</v>
      </c>
      <c r="Q635">
        <f>YEAR(Table1[[#This Row],[OrderDate]])</f>
        <v>2015</v>
      </c>
      <c r="R635">
        <f>MONTH(Table1[[#This Row],[OrderDate]])</f>
        <v>2</v>
      </c>
      <c r="S635" t="str">
        <f>"Q"&amp;ROUNDUP(Table1[[#This Row],[month]]/3,0)</f>
        <v>Q1</v>
      </c>
      <c r="T635" t="str">
        <f>CONCATENATE(Table1[[#This Row],[year]],"-",Table1[[#This Row],[Quarter]])</f>
        <v>2015-Q1</v>
      </c>
      <c r="U635" s="6" t="str">
        <f>IF(H634="","Pending",IF(Table1[[#This Row],[Days to ship]]&lt;Table1[[#This Row],[RequiredDate]],"On Time","Late"))</f>
        <v>On Time</v>
      </c>
      <c r="V635">
        <f>_xlfn.XLOOKUP(Table1[[#This Row],[orderID]],Table3[orderID],Table3[unitPrice])</f>
        <v>15</v>
      </c>
    </row>
    <row r="636" spans="1:22" x14ac:dyDescent="0.45">
      <c r="A636" s="3">
        <v>10882</v>
      </c>
      <c r="B636" s="6" t="s">
        <v>165</v>
      </c>
      <c r="C636" s="3">
        <v>4</v>
      </c>
      <c r="D636" s="6" t="str">
        <f>_xlfn.XLOOKUP(Table1[[#This Row],[EmployeeID]],Table4[employeeID],Table4[employeeName])</f>
        <v>Margaret Peacock</v>
      </c>
      <c r="E636" s="1">
        <v>42046</v>
      </c>
      <c r="F636" s="1">
        <v>42074</v>
      </c>
      <c r="G636" s="1">
        <v>42055</v>
      </c>
      <c r="H636" s="3">
        <f>IF(Table1[[#This Row],[ShippedDate]]="","",IF(Table1[[#This Row],[OrderDate]]="","",Table1[[#This Row],[ShippedDate]]-Table1[[#This Row],[OrderDate]]))</f>
        <v>9</v>
      </c>
      <c r="I636" s="3">
        <v>3</v>
      </c>
      <c r="J636" s="2">
        <v>23.1</v>
      </c>
      <c r="K636" s="2">
        <f>SUMIF(order_details!A:A,Table1[[#This Row],[orderID]],order_details!F:F)</f>
        <v>892.64</v>
      </c>
      <c r="L636" s="9">
        <f>_xlfn.XLOOKUP(Table1[[#This Row],[orderID]],Table3[orderID],Table3[discount])</f>
        <v>0</v>
      </c>
      <c r="M636" s="2">
        <f>SUM(Table1[[#This Row],[Sales]],Table1[[#This Row],[freight]])</f>
        <v>915.74</v>
      </c>
      <c r="N636" s="3">
        <f>_xlfn.XLOOKUP(Table1[[#This Row],[orderID]],Table3[orderID],Table3[quantity])</f>
        <v>25</v>
      </c>
      <c r="O636" s="6" t="str">
        <f>_xlfn.XLOOKUP(Table1[[#This Row],[CustomerID]],customers!A:A,customers!B:B)</f>
        <v>Save-a-lot Markets</v>
      </c>
      <c r="P636" s="6" t="str">
        <f>_xlfn.XLOOKUP(Table1[[#This Row],[shipperID]],Table6[shipperID],Table6[companyName])</f>
        <v>Federal Shipping</v>
      </c>
      <c r="Q636">
        <f>YEAR(Table1[[#This Row],[OrderDate]])</f>
        <v>2015</v>
      </c>
      <c r="R636">
        <f>MONTH(Table1[[#This Row],[OrderDate]])</f>
        <v>2</v>
      </c>
      <c r="S636" t="str">
        <f>"Q"&amp;ROUNDUP(Table1[[#This Row],[month]]/3,0)</f>
        <v>Q1</v>
      </c>
      <c r="T636" t="str">
        <f>CONCATENATE(Table1[[#This Row],[year]],"-",Table1[[#This Row],[Quarter]])</f>
        <v>2015-Q1</v>
      </c>
      <c r="U636" s="6" t="str">
        <f>IF(H635="","Pending",IF(Table1[[#This Row],[Days to ship]]&lt;Table1[[#This Row],[RequiredDate]],"On Time","Late"))</f>
        <v>On Time</v>
      </c>
      <c r="V636">
        <f>_xlfn.XLOOKUP(Table1[[#This Row],[orderID]],Table3[orderID],Table3[unitPrice])</f>
        <v>14</v>
      </c>
    </row>
    <row r="637" spans="1:22" x14ac:dyDescent="0.45">
      <c r="A637" s="3">
        <v>10883</v>
      </c>
      <c r="B637" s="6" t="s">
        <v>197</v>
      </c>
      <c r="C637" s="3">
        <v>8</v>
      </c>
      <c r="D637" s="6" t="str">
        <f>_xlfn.XLOOKUP(Table1[[#This Row],[EmployeeID]],Table4[employeeID],Table4[employeeName])</f>
        <v>Laura Callahan</v>
      </c>
      <c r="E637" s="1">
        <v>42047</v>
      </c>
      <c r="F637" s="1">
        <v>42075</v>
      </c>
      <c r="G637" s="1">
        <v>42055</v>
      </c>
      <c r="H637" s="3">
        <f>IF(Table1[[#This Row],[ShippedDate]]="","",IF(Table1[[#This Row],[OrderDate]]="","",Table1[[#This Row],[ShippedDate]]-Table1[[#This Row],[OrderDate]]))</f>
        <v>8</v>
      </c>
      <c r="I637" s="3">
        <v>3</v>
      </c>
      <c r="J637" s="2">
        <v>0.53</v>
      </c>
      <c r="K637" s="2">
        <f>SUMIF(order_details!A:A,Table1[[#This Row],[orderID]],order_details!F:F)</f>
        <v>36</v>
      </c>
      <c r="L637" s="9">
        <f>_xlfn.XLOOKUP(Table1[[#This Row],[orderID]],Table3[orderID],Table3[discount])</f>
        <v>0</v>
      </c>
      <c r="M637" s="2">
        <f>SUM(Table1[[#This Row],[Sales]],Table1[[#This Row],[freight]])</f>
        <v>36.53</v>
      </c>
      <c r="N637" s="3">
        <f>_xlfn.XLOOKUP(Table1[[#This Row],[orderID]],Table3[orderID],Table3[quantity])</f>
        <v>8</v>
      </c>
      <c r="O637" s="6" t="str">
        <f>_xlfn.XLOOKUP(Table1[[#This Row],[CustomerID]],customers!A:A,customers!B:B)</f>
        <v>Lonesome Pine Restaurant</v>
      </c>
      <c r="P637" s="6" t="str">
        <f>_xlfn.XLOOKUP(Table1[[#This Row],[shipperID]],Table6[shipperID],Table6[companyName])</f>
        <v>Federal Shipping</v>
      </c>
      <c r="Q637">
        <f>YEAR(Table1[[#This Row],[OrderDate]])</f>
        <v>2015</v>
      </c>
      <c r="R637">
        <f>MONTH(Table1[[#This Row],[OrderDate]])</f>
        <v>2</v>
      </c>
      <c r="S637" t="str">
        <f>"Q"&amp;ROUNDUP(Table1[[#This Row],[month]]/3,0)</f>
        <v>Q1</v>
      </c>
      <c r="T637" t="str">
        <f>CONCATENATE(Table1[[#This Row],[year]],"-",Table1[[#This Row],[Quarter]])</f>
        <v>2015-Q1</v>
      </c>
      <c r="U637" s="6" t="str">
        <f>IF(H636="","Pending",IF(Table1[[#This Row],[Days to ship]]&lt;Table1[[#This Row],[RequiredDate]],"On Time","Late"))</f>
        <v>On Time</v>
      </c>
      <c r="V637">
        <f>_xlfn.XLOOKUP(Table1[[#This Row],[orderID]],Table3[orderID],Table3[unitPrice])</f>
        <v>4.5</v>
      </c>
    </row>
    <row r="638" spans="1:22" x14ac:dyDescent="0.45">
      <c r="A638" s="3">
        <v>10884</v>
      </c>
      <c r="B638" s="6" t="s">
        <v>225</v>
      </c>
      <c r="C638" s="3">
        <v>4</v>
      </c>
      <c r="D638" s="6" t="str">
        <f>_xlfn.XLOOKUP(Table1[[#This Row],[EmployeeID]],Table4[employeeID],Table4[employeeName])</f>
        <v>Margaret Peacock</v>
      </c>
      <c r="E638" s="1">
        <v>42047</v>
      </c>
      <c r="F638" s="1">
        <v>42075</v>
      </c>
      <c r="G638" s="1">
        <v>42048</v>
      </c>
      <c r="H638" s="3">
        <f>IF(Table1[[#This Row],[ShippedDate]]="","",IF(Table1[[#This Row],[OrderDate]]="","",Table1[[#This Row],[ShippedDate]]-Table1[[#This Row],[OrderDate]]))</f>
        <v>1</v>
      </c>
      <c r="I638" s="3">
        <v>2</v>
      </c>
      <c r="J638" s="2">
        <v>90.97</v>
      </c>
      <c r="K638" s="2">
        <f>SUMIF(order_details!A:A,Table1[[#This Row],[orderID]],order_details!F:F)</f>
        <v>1378.07</v>
      </c>
      <c r="L638" s="9">
        <f>_xlfn.XLOOKUP(Table1[[#This Row],[orderID]],Table3[orderID],Table3[discount])</f>
        <v>0.05</v>
      </c>
      <c r="M638" s="2">
        <f>SUM(Table1[[#This Row],[Sales]],Table1[[#This Row],[freight]])</f>
        <v>1469.04</v>
      </c>
      <c r="N638" s="3">
        <f>_xlfn.XLOOKUP(Table1[[#This Row],[orderID]],Table3[orderID],Table3[quantity])</f>
        <v>40</v>
      </c>
      <c r="O638" s="6" t="str">
        <f>_xlfn.XLOOKUP(Table1[[#This Row],[CustomerID]],customers!A:A,customers!B:B)</f>
        <v>Let's Stop N Shop</v>
      </c>
      <c r="P638" s="6" t="str">
        <f>_xlfn.XLOOKUP(Table1[[#This Row],[shipperID]],Table6[shipperID],Table6[companyName])</f>
        <v>United Package</v>
      </c>
      <c r="Q638">
        <f>YEAR(Table1[[#This Row],[OrderDate]])</f>
        <v>2015</v>
      </c>
      <c r="R638">
        <f>MONTH(Table1[[#This Row],[OrderDate]])</f>
        <v>2</v>
      </c>
      <c r="S638" t="str">
        <f>"Q"&amp;ROUNDUP(Table1[[#This Row],[month]]/3,0)</f>
        <v>Q1</v>
      </c>
      <c r="T638" t="str">
        <f>CONCATENATE(Table1[[#This Row],[year]],"-",Table1[[#This Row],[Quarter]])</f>
        <v>2015-Q1</v>
      </c>
      <c r="U638" s="6" t="str">
        <f>IF(H637="","Pending",IF(Table1[[#This Row],[Days to ship]]&lt;Table1[[#This Row],[RequiredDate]],"On Time","Late"))</f>
        <v>On Time</v>
      </c>
      <c r="V638">
        <f>_xlfn.XLOOKUP(Table1[[#This Row],[orderID]],Table3[orderID],Table3[unitPrice])</f>
        <v>10</v>
      </c>
    </row>
    <row r="639" spans="1:22" x14ac:dyDescent="0.45">
      <c r="A639" s="3">
        <v>10885</v>
      </c>
      <c r="B639" s="6" t="s">
        <v>188</v>
      </c>
      <c r="C639" s="3">
        <v>6</v>
      </c>
      <c r="D639" s="6" t="str">
        <f>_xlfn.XLOOKUP(Table1[[#This Row],[EmployeeID]],Table4[employeeID],Table4[employeeName])</f>
        <v>Michael Suyama</v>
      </c>
      <c r="E639" s="1">
        <v>42047</v>
      </c>
      <c r="F639" s="1">
        <v>42075</v>
      </c>
      <c r="G639" s="1">
        <v>42053</v>
      </c>
      <c r="H639" s="3">
        <f>IF(Table1[[#This Row],[ShippedDate]]="","",IF(Table1[[#This Row],[OrderDate]]="","",Table1[[#This Row],[ShippedDate]]-Table1[[#This Row],[OrderDate]]))</f>
        <v>6</v>
      </c>
      <c r="I639" s="3">
        <v>3</v>
      </c>
      <c r="J639" s="2">
        <v>5.64</v>
      </c>
      <c r="K639" s="2">
        <f>SUMIF(order_details!A:A,Table1[[#This Row],[orderID]],order_details!F:F)</f>
        <v>1209</v>
      </c>
      <c r="L639" s="9">
        <f>_xlfn.XLOOKUP(Table1[[#This Row],[orderID]],Table3[orderID],Table3[discount])</f>
        <v>0</v>
      </c>
      <c r="M639" s="2">
        <f>SUM(Table1[[#This Row],[Sales]],Table1[[#This Row],[freight]])</f>
        <v>1214.6400000000001</v>
      </c>
      <c r="N639" s="3">
        <f>_xlfn.XLOOKUP(Table1[[#This Row],[orderID]],Table3[orderID],Table3[quantity])</f>
        <v>20</v>
      </c>
      <c r="O639" s="6" t="str">
        <f>_xlfn.XLOOKUP(Table1[[#This Row],[CustomerID]],customers!A:A,customers!B:B)</f>
        <v>Suprêmes délices</v>
      </c>
      <c r="P639" s="6" t="str">
        <f>_xlfn.XLOOKUP(Table1[[#This Row],[shipperID]],Table6[shipperID],Table6[companyName])</f>
        <v>Federal Shipping</v>
      </c>
      <c r="Q639">
        <f>YEAR(Table1[[#This Row],[OrderDate]])</f>
        <v>2015</v>
      </c>
      <c r="R639">
        <f>MONTH(Table1[[#This Row],[OrderDate]])</f>
        <v>2</v>
      </c>
      <c r="S639" t="str">
        <f>"Q"&amp;ROUNDUP(Table1[[#This Row],[month]]/3,0)</f>
        <v>Q1</v>
      </c>
      <c r="T639" t="str">
        <f>CONCATENATE(Table1[[#This Row],[year]],"-",Table1[[#This Row],[Quarter]])</f>
        <v>2015-Q1</v>
      </c>
      <c r="U639" s="6" t="str">
        <f>IF(H638="","Pending",IF(Table1[[#This Row],[Days to ship]]&lt;Table1[[#This Row],[RequiredDate]],"On Time","Late"))</f>
        <v>On Time</v>
      </c>
      <c r="V639">
        <f>_xlfn.XLOOKUP(Table1[[#This Row],[orderID]],Table3[orderID],Table3[unitPrice])</f>
        <v>19</v>
      </c>
    </row>
    <row r="640" spans="1:22" x14ac:dyDescent="0.45">
      <c r="A640" s="3">
        <v>10886</v>
      </c>
      <c r="B640" s="6" t="s">
        <v>177</v>
      </c>
      <c r="C640" s="3">
        <v>1</v>
      </c>
      <c r="D640" s="6" t="str">
        <f>_xlfn.XLOOKUP(Table1[[#This Row],[EmployeeID]],Table4[employeeID],Table4[employeeName])</f>
        <v>Nancy Davolio</v>
      </c>
      <c r="E640" s="1">
        <v>42048</v>
      </c>
      <c r="F640" s="1">
        <v>42076</v>
      </c>
      <c r="G640" s="1">
        <v>42065</v>
      </c>
      <c r="H640" s="3">
        <f>IF(Table1[[#This Row],[ShippedDate]]="","",IF(Table1[[#This Row],[OrderDate]]="","",Table1[[#This Row],[ShippedDate]]-Table1[[#This Row],[OrderDate]]))</f>
        <v>17</v>
      </c>
      <c r="I640" s="3">
        <v>1</v>
      </c>
      <c r="J640" s="2">
        <v>4.99</v>
      </c>
      <c r="K640" s="2">
        <f>SUMIF(order_details!A:A,Table1[[#This Row],[orderID]],order_details!F:F)</f>
        <v>3127.5</v>
      </c>
      <c r="L640" s="9">
        <f>_xlfn.XLOOKUP(Table1[[#This Row],[orderID]],Table3[orderID],Table3[discount])</f>
        <v>0</v>
      </c>
      <c r="M640" s="2">
        <f>SUM(Table1[[#This Row],[Sales]],Table1[[#This Row],[freight]])</f>
        <v>3132.49</v>
      </c>
      <c r="N640" s="3">
        <f>_xlfn.XLOOKUP(Table1[[#This Row],[orderID]],Table3[orderID],Table3[quantity])</f>
        <v>70</v>
      </c>
      <c r="O640" s="6" t="str">
        <f>_xlfn.XLOOKUP(Table1[[#This Row],[CustomerID]],customers!A:A,customers!B:B)</f>
        <v>Hanari Carnes</v>
      </c>
      <c r="P640" s="6" t="str">
        <f>_xlfn.XLOOKUP(Table1[[#This Row],[shipperID]],Table6[shipperID],Table6[companyName])</f>
        <v>Speedy Express</v>
      </c>
      <c r="Q640">
        <f>YEAR(Table1[[#This Row],[OrderDate]])</f>
        <v>2015</v>
      </c>
      <c r="R640">
        <f>MONTH(Table1[[#This Row],[OrderDate]])</f>
        <v>2</v>
      </c>
      <c r="S640" t="str">
        <f>"Q"&amp;ROUNDUP(Table1[[#This Row],[month]]/3,0)</f>
        <v>Q1</v>
      </c>
      <c r="T640" t="str">
        <f>CONCATENATE(Table1[[#This Row],[year]],"-",Table1[[#This Row],[Quarter]])</f>
        <v>2015-Q1</v>
      </c>
      <c r="U640" s="6" t="str">
        <f>IF(H639="","Pending",IF(Table1[[#This Row],[Days to ship]]&lt;Table1[[#This Row],[RequiredDate]],"On Time","Late"))</f>
        <v>On Time</v>
      </c>
      <c r="V640">
        <f>_xlfn.XLOOKUP(Table1[[#This Row],[orderID]],Table3[orderID],Table3[unitPrice])</f>
        <v>31</v>
      </c>
    </row>
    <row r="641" spans="1:22" x14ac:dyDescent="0.45">
      <c r="A641" s="3">
        <v>10887</v>
      </c>
      <c r="B641" s="6" t="s">
        <v>221</v>
      </c>
      <c r="C641" s="3">
        <v>8</v>
      </c>
      <c r="D641" s="6" t="str">
        <f>_xlfn.XLOOKUP(Table1[[#This Row],[EmployeeID]],Table4[employeeID],Table4[employeeName])</f>
        <v>Laura Callahan</v>
      </c>
      <c r="E641" s="1">
        <v>42048</v>
      </c>
      <c r="F641" s="1">
        <v>42076</v>
      </c>
      <c r="G641" s="1">
        <v>42051</v>
      </c>
      <c r="H641" s="3">
        <f>IF(Table1[[#This Row],[ShippedDate]]="","",IF(Table1[[#This Row],[OrderDate]]="","",Table1[[#This Row],[ShippedDate]]-Table1[[#This Row],[OrderDate]]))</f>
        <v>3</v>
      </c>
      <c r="I641" s="3">
        <v>3</v>
      </c>
      <c r="J641" s="2">
        <v>1.25</v>
      </c>
      <c r="K641" s="2">
        <f>SUMIF(order_details!A:A,Table1[[#This Row],[orderID]],order_details!F:F)</f>
        <v>70</v>
      </c>
      <c r="L641" s="9">
        <f>_xlfn.XLOOKUP(Table1[[#This Row],[orderID]],Table3[orderID],Table3[discount])</f>
        <v>0</v>
      </c>
      <c r="M641" s="2">
        <f>SUM(Table1[[#This Row],[Sales]],Table1[[#This Row],[freight]])</f>
        <v>71.25</v>
      </c>
      <c r="N641" s="3">
        <f>_xlfn.XLOOKUP(Table1[[#This Row],[orderID]],Table3[orderID],Table3[quantity])</f>
        <v>5</v>
      </c>
      <c r="O641" s="6" t="str">
        <f>_xlfn.XLOOKUP(Table1[[#This Row],[CustomerID]],customers!A:A,customers!B:B)</f>
        <v>Galería del gastrónomo</v>
      </c>
      <c r="P641" s="6" t="str">
        <f>_xlfn.XLOOKUP(Table1[[#This Row],[shipperID]],Table6[shipperID],Table6[companyName])</f>
        <v>Federal Shipping</v>
      </c>
      <c r="Q641">
        <f>YEAR(Table1[[#This Row],[OrderDate]])</f>
        <v>2015</v>
      </c>
      <c r="R641">
        <f>MONTH(Table1[[#This Row],[OrderDate]])</f>
        <v>2</v>
      </c>
      <c r="S641" t="str">
        <f>"Q"&amp;ROUNDUP(Table1[[#This Row],[month]]/3,0)</f>
        <v>Q1</v>
      </c>
      <c r="T641" t="str">
        <f>CONCATENATE(Table1[[#This Row],[year]],"-",Table1[[#This Row],[Quarter]])</f>
        <v>2015-Q1</v>
      </c>
      <c r="U641" s="6" t="str">
        <f>IF(H640="","Pending",IF(Table1[[#This Row],[Days to ship]]&lt;Table1[[#This Row],[RequiredDate]],"On Time","Late"))</f>
        <v>On Time</v>
      </c>
      <c r="V641">
        <f>_xlfn.XLOOKUP(Table1[[#This Row],[orderID]],Table3[orderID],Table3[unitPrice])</f>
        <v>14</v>
      </c>
    </row>
    <row r="642" spans="1:22" x14ac:dyDescent="0.45">
      <c r="A642" s="3">
        <v>10888</v>
      </c>
      <c r="B642" s="6" t="s">
        <v>189</v>
      </c>
      <c r="C642" s="3">
        <v>1</v>
      </c>
      <c r="D642" s="6" t="str">
        <f>_xlfn.XLOOKUP(Table1[[#This Row],[EmployeeID]],Table4[employeeID],Table4[employeeName])</f>
        <v>Nancy Davolio</v>
      </c>
      <c r="E642" s="1">
        <v>42051</v>
      </c>
      <c r="F642" s="1">
        <v>42079</v>
      </c>
      <c r="G642" s="1">
        <v>42058</v>
      </c>
      <c r="H642" s="3">
        <f>IF(Table1[[#This Row],[ShippedDate]]="","",IF(Table1[[#This Row],[OrderDate]]="","",Table1[[#This Row],[ShippedDate]]-Table1[[#This Row],[OrderDate]]))</f>
        <v>7</v>
      </c>
      <c r="I642" s="3">
        <v>2</v>
      </c>
      <c r="J642" s="2">
        <v>51.87</v>
      </c>
      <c r="K642" s="2">
        <f>SUMIF(order_details!A:A,Table1[[#This Row],[orderID]],order_details!F:F)</f>
        <v>605</v>
      </c>
      <c r="L642" s="9">
        <f>_xlfn.XLOOKUP(Table1[[#This Row],[orderID]],Table3[orderID],Table3[discount])</f>
        <v>0</v>
      </c>
      <c r="M642" s="2">
        <f>SUM(Table1[[#This Row],[Sales]],Table1[[#This Row],[freight]])</f>
        <v>656.87</v>
      </c>
      <c r="N642" s="3">
        <f>_xlfn.XLOOKUP(Table1[[#This Row],[orderID]],Table3[orderID],Table3[quantity])</f>
        <v>20</v>
      </c>
      <c r="O642" s="6" t="str">
        <f>_xlfn.XLOOKUP(Table1[[#This Row],[CustomerID]],customers!A:A,customers!B:B)</f>
        <v>Godos Cocina Típica</v>
      </c>
      <c r="P642" s="6" t="str">
        <f>_xlfn.XLOOKUP(Table1[[#This Row],[shipperID]],Table6[shipperID],Table6[companyName])</f>
        <v>United Package</v>
      </c>
      <c r="Q642">
        <f>YEAR(Table1[[#This Row],[OrderDate]])</f>
        <v>2015</v>
      </c>
      <c r="R642">
        <f>MONTH(Table1[[#This Row],[OrderDate]])</f>
        <v>2</v>
      </c>
      <c r="S642" t="str">
        <f>"Q"&amp;ROUNDUP(Table1[[#This Row],[month]]/3,0)</f>
        <v>Q1</v>
      </c>
      <c r="T642" t="str">
        <f>CONCATENATE(Table1[[#This Row],[year]],"-",Table1[[#This Row],[Quarter]])</f>
        <v>2015-Q1</v>
      </c>
      <c r="U642" s="6" t="str">
        <f>IF(H641="","Pending",IF(Table1[[#This Row],[Days to ship]]&lt;Table1[[#This Row],[RequiredDate]],"On Time","Late"))</f>
        <v>On Time</v>
      </c>
      <c r="V642">
        <f>_xlfn.XLOOKUP(Table1[[#This Row],[orderID]],Table3[orderID],Table3[unitPrice])</f>
        <v>19</v>
      </c>
    </row>
    <row r="643" spans="1:22" x14ac:dyDescent="0.45">
      <c r="A643" s="3">
        <v>10889</v>
      </c>
      <c r="B643" s="6" t="s">
        <v>153</v>
      </c>
      <c r="C643" s="3">
        <v>9</v>
      </c>
      <c r="D643" s="6" t="str">
        <f>_xlfn.XLOOKUP(Table1[[#This Row],[EmployeeID]],Table4[employeeID],Table4[employeeName])</f>
        <v>Anne Dodsworth</v>
      </c>
      <c r="E643" s="1">
        <v>42051</v>
      </c>
      <c r="F643" s="1">
        <v>42079</v>
      </c>
      <c r="G643" s="1">
        <v>42058</v>
      </c>
      <c r="H643" s="3">
        <f>IF(Table1[[#This Row],[ShippedDate]]="","",IF(Table1[[#This Row],[OrderDate]]="","",Table1[[#This Row],[ShippedDate]]-Table1[[#This Row],[OrderDate]]))</f>
        <v>7</v>
      </c>
      <c r="I643" s="3">
        <v>3</v>
      </c>
      <c r="J643" s="2">
        <v>280.61</v>
      </c>
      <c r="K643" s="2">
        <f>SUMIF(order_details!A:A,Table1[[#This Row],[orderID]],order_details!F:F)</f>
        <v>11380</v>
      </c>
      <c r="L643" s="9">
        <f>_xlfn.XLOOKUP(Table1[[#This Row],[orderID]],Table3[orderID],Table3[discount])</f>
        <v>0</v>
      </c>
      <c r="M643" s="2">
        <f>SUM(Table1[[#This Row],[Sales]],Table1[[#This Row],[freight]])</f>
        <v>11660.61</v>
      </c>
      <c r="N643" s="3">
        <f>_xlfn.XLOOKUP(Table1[[#This Row],[orderID]],Table3[orderID],Table3[quantity])</f>
        <v>40</v>
      </c>
      <c r="O643" s="6" t="str">
        <f>_xlfn.XLOOKUP(Table1[[#This Row],[CustomerID]],customers!A:A,customers!B:B)</f>
        <v>Rattlesnake Canyon Grocery</v>
      </c>
      <c r="P643" s="6" t="str">
        <f>_xlfn.XLOOKUP(Table1[[#This Row],[shipperID]],Table6[shipperID],Table6[companyName])</f>
        <v>Federal Shipping</v>
      </c>
      <c r="Q643">
        <f>YEAR(Table1[[#This Row],[OrderDate]])</f>
        <v>2015</v>
      </c>
      <c r="R643">
        <f>MONTH(Table1[[#This Row],[OrderDate]])</f>
        <v>2</v>
      </c>
      <c r="S643" t="str">
        <f>"Q"&amp;ROUNDUP(Table1[[#This Row],[month]]/3,0)</f>
        <v>Q1</v>
      </c>
      <c r="T643" t="str">
        <f>CONCATENATE(Table1[[#This Row],[year]],"-",Table1[[#This Row],[Quarter]])</f>
        <v>2015-Q1</v>
      </c>
      <c r="U643" s="6" t="str">
        <f>IF(H642="","Pending",IF(Table1[[#This Row],[Days to ship]]&lt;Table1[[#This Row],[RequiredDate]],"On Time","Late"))</f>
        <v>On Time</v>
      </c>
      <c r="V643">
        <f>_xlfn.XLOOKUP(Table1[[#This Row],[orderID]],Table3[orderID],Table3[unitPrice])</f>
        <v>21</v>
      </c>
    </row>
    <row r="644" spans="1:22" x14ac:dyDescent="0.45">
      <c r="A644" s="3">
        <v>10890</v>
      </c>
      <c r="B644" s="6" t="s">
        <v>224</v>
      </c>
      <c r="C644" s="3">
        <v>7</v>
      </c>
      <c r="D644" s="6" t="str">
        <f>_xlfn.XLOOKUP(Table1[[#This Row],[EmployeeID]],Table4[employeeID],Table4[employeeName])</f>
        <v>Robert King</v>
      </c>
      <c r="E644" s="1">
        <v>42051</v>
      </c>
      <c r="F644" s="1">
        <v>42079</v>
      </c>
      <c r="G644" s="1">
        <v>42053</v>
      </c>
      <c r="H644" s="3">
        <f>IF(Table1[[#This Row],[ShippedDate]]="","",IF(Table1[[#This Row],[OrderDate]]="","",Table1[[#This Row],[ShippedDate]]-Table1[[#This Row],[OrderDate]]))</f>
        <v>2</v>
      </c>
      <c r="I644" s="3">
        <v>1</v>
      </c>
      <c r="J644" s="2">
        <v>32.76</v>
      </c>
      <c r="K644" s="2">
        <f>SUMIF(order_details!A:A,Table1[[#This Row],[orderID]],order_details!F:F)</f>
        <v>860.1</v>
      </c>
      <c r="L644" s="9">
        <f>_xlfn.XLOOKUP(Table1[[#This Row],[orderID]],Table3[orderID],Table3[discount])</f>
        <v>0</v>
      </c>
      <c r="M644" s="2">
        <f>SUM(Table1[[#This Row],[Sales]],Table1[[#This Row],[freight]])</f>
        <v>892.86</v>
      </c>
      <c r="N644" s="3">
        <f>_xlfn.XLOOKUP(Table1[[#This Row],[orderID]],Table3[orderID],Table3[quantity])</f>
        <v>15</v>
      </c>
      <c r="O644" s="6" t="str">
        <f>_xlfn.XLOOKUP(Table1[[#This Row],[CustomerID]],customers!A:A,customers!B:B)</f>
        <v>Du monde entier</v>
      </c>
      <c r="P644" s="6" t="str">
        <f>_xlfn.XLOOKUP(Table1[[#This Row],[shipperID]],Table6[shipperID],Table6[companyName])</f>
        <v>Speedy Express</v>
      </c>
      <c r="Q644">
        <f>YEAR(Table1[[#This Row],[OrderDate]])</f>
        <v>2015</v>
      </c>
      <c r="R644">
        <f>MONTH(Table1[[#This Row],[OrderDate]])</f>
        <v>2</v>
      </c>
      <c r="S644" t="str">
        <f>"Q"&amp;ROUNDUP(Table1[[#This Row],[month]]/3,0)</f>
        <v>Q1</v>
      </c>
      <c r="T644" t="str">
        <f>CONCATENATE(Table1[[#This Row],[year]],"-",Table1[[#This Row],[Quarter]])</f>
        <v>2015-Q1</v>
      </c>
      <c r="U644" s="6" t="str">
        <f>IF(H643="","Pending",IF(Table1[[#This Row],[Days to ship]]&lt;Table1[[#This Row],[RequiredDate]],"On Time","Late"))</f>
        <v>On Time</v>
      </c>
      <c r="V644">
        <f>_xlfn.XLOOKUP(Table1[[#This Row],[orderID]],Table3[orderID],Table3[unitPrice])</f>
        <v>39</v>
      </c>
    </row>
    <row r="645" spans="1:22" x14ac:dyDescent="0.45">
      <c r="A645" s="3">
        <v>10891</v>
      </c>
      <c r="B645" s="6" t="s">
        <v>160</v>
      </c>
      <c r="C645" s="3">
        <v>7</v>
      </c>
      <c r="D645" s="6" t="str">
        <f>_xlfn.XLOOKUP(Table1[[#This Row],[EmployeeID]],Table4[employeeID],Table4[employeeName])</f>
        <v>Robert King</v>
      </c>
      <c r="E645" s="1">
        <v>42052</v>
      </c>
      <c r="F645" s="1">
        <v>42080</v>
      </c>
      <c r="G645" s="1">
        <v>42054</v>
      </c>
      <c r="H645" s="3">
        <f>IF(Table1[[#This Row],[ShippedDate]]="","",IF(Table1[[#This Row],[OrderDate]]="","",Table1[[#This Row],[ShippedDate]]-Table1[[#This Row],[OrderDate]]))</f>
        <v>2</v>
      </c>
      <c r="I645" s="3">
        <v>2</v>
      </c>
      <c r="J645" s="2">
        <v>20.37</v>
      </c>
      <c r="K645" s="2">
        <f>SUMIF(order_details!A:A,Table1[[#This Row],[orderID]],order_details!F:F)</f>
        <v>368.9325</v>
      </c>
      <c r="L645" s="9">
        <f>_xlfn.XLOOKUP(Table1[[#This Row],[orderID]],Table3[orderID],Table3[discount])</f>
        <v>0.05</v>
      </c>
      <c r="M645" s="2">
        <f>SUM(Table1[[#This Row],[Sales]],Table1[[#This Row],[freight]])</f>
        <v>389.30250000000001</v>
      </c>
      <c r="N645" s="3">
        <f>_xlfn.XLOOKUP(Table1[[#This Row],[orderID]],Table3[orderID],Table3[quantity])</f>
        <v>15</v>
      </c>
      <c r="O645" s="6" t="str">
        <f>_xlfn.XLOOKUP(Table1[[#This Row],[CustomerID]],customers!A:A,customers!B:B)</f>
        <v>Lehmanns Marktstand</v>
      </c>
      <c r="P645" s="6" t="str">
        <f>_xlfn.XLOOKUP(Table1[[#This Row],[shipperID]],Table6[shipperID],Table6[companyName])</f>
        <v>United Package</v>
      </c>
      <c r="Q645">
        <f>YEAR(Table1[[#This Row],[OrderDate]])</f>
        <v>2015</v>
      </c>
      <c r="R645">
        <f>MONTH(Table1[[#This Row],[OrderDate]])</f>
        <v>2</v>
      </c>
      <c r="S645" t="str">
        <f>"Q"&amp;ROUNDUP(Table1[[#This Row],[month]]/3,0)</f>
        <v>Q1</v>
      </c>
      <c r="T645" t="str">
        <f>CONCATENATE(Table1[[#This Row],[year]],"-",Table1[[#This Row],[Quarter]])</f>
        <v>2015-Q1</v>
      </c>
      <c r="U645" s="6" t="str">
        <f>IF(H644="","Pending",IF(Table1[[#This Row],[Days to ship]]&lt;Table1[[#This Row],[RequiredDate]],"On Time","Late"))</f>
        <v>On Time</v>
      </c>
      <c r="V645">
        <f>_xlfn.XLOOKUP(Table1[[#This Row],[orderID]],Table3[orderID],Table3[unitPrice])</f>
        <v>25.89</v>
      </c>
    </row>
    <row r="646" spans="1:22" x14ac:dyDescent="0.45">
      <c r="A646" s="3">
        <v>10892</v>
      </c>
      <c r="B646" s="6" t="s">
        <v>205</v>
      </c>
      <c r="C646" s="3">
        <v>4</v>
      </c>
      <c r="D646" s="6" t="str">
        <f>_xlfn.XLOOKUP(Table1[[#This Row],[EmployeeID]],Table4[employeeID],Table4[employeeName])</f>
        <v>Margaret Peacock</v>
      </c>
      <c r="E646" s="1">
        <v>42052</v>
      </c>
      <c r="F646" s="1">
        <v>42080</v>
      </c>
      <c r="G646" s="1">
        <v>42054</v>
      </c>
      <c r="H646" s="3">
        <f>IF(Table1[[#This Row],[ShippedDate]]="","",IF(Table1[[#This Row],[OrderDate]]="","",Table1[[#This Row],[ShippedDate]]-Table1[[#This Row],[OrderDate]]))</f>
        <v>2</v>
      </c>
      <c r="I646" s="3">
        <v>2</v>
      </c>
      <c r="J646" s="2">
        <v>120.27</v>
      </c>
      <c r="K646" s="2">
        <f>SUMIF(order_details!A:A,Table1[[#This Row],[orderID]],order_details!F:F)</f>
        <v>2090</v>
      </c>
      <c r="L646" s="9">
        <f>_xlfn.XLOOKUP(Table1[[#This Row],[orderID]],Table3[orderID],Table3[discount])</f>
        <v>0.05</v>
      </c>
      <c r="M646" s="2">
        <f>SUM(Table1[[#This Row],[Sales]],Table1[[#This Row],[freight]])</f>
        <v>2210.27</v>
      </c>
      <c r="N646" s="3">
        <f>_xlfn.XLOOKUP(Table1[[#This Row],[orderID]],Table3[orderID],Table3[quantity])</f>
        <v>40</v>
      </c>
      <c r="O646" s="6" t="str">
        <f>_xlfn.XLOOKUP(Table1[[#This Row],[CustomerID]],customers!A:A,customers!B:B)</f>
        <v>Maison Dewey</v>
      </c>
      <c r="P646" s="6" t="str">
        <f>_xlfn.XLOOKUP(Table1[[#This Row],[shipperID]],Table6[shipperID],Table6[companyName])</f>
        <v>United Package</v>
      </c>
      <c r="Q646">
        <f>YEAR(Table1[[#This Row],[OrderDate]])</f>
        <v>2015</v>
      </c>
      <c r="R646">
        <f>MONTH(Table1[[#This Row],[OrderDate]])</f>
        <v>2</v>
      </c>
      <c r="S646" t="str">
        <f>"Q"&amp;ROUNDUP(Table1[[#This Row],[month]]/3,0)</f>
        <v>Q1</v>
      </c>
      <c r="T646" t="str">
        <f>CONCATENATE(Table1[[#This Row],[year]],"-",Table1[[#This Row],[Quarter]])</f>
        <v>2015-Q1</v>
      </c>
      <c r="U646" s="6" t="str">
        <f>IF(H645="","Pending",IF(Table1[[#This Row],[Days to ship]]&lt;Table1[[#This Row],[RequiredDate]],"On Time","Late"))</f>
        <v>On Time</v>
      </c>
      <c r="V646">
        <f>_xlfn.XLOOKUP(Table1[[#This Row],[orderID]],Table3[orderID],Table3[unitPrice])</f>
        <v>55</v>
      </c>
    </row>
    <row r="647" spans="1:22" x14ac:dyDescent="0.45">
      <c r="A647" s="3">
        <v>10893</v>
      </c>
      <c r="B647" s="6" t="s">
        <v>191</v>
      </c>
      <c r="C647" s="3">
        <v>9</v>
      </c>
      <c r="D647" s="6" t="str">
        <f>_xlfn.XLOOKUP(Table1[[#This Row],[EmployeeID]],Table4[employeeID],Table4[employeeName])</f>
        <v>Anne Dodsworth</v>
      </c>
      <c r="E647" s="1">
        <v>42053</v>
      </c>
      <c r="F647" s="1">
        <v>42081</v>
      </c>
      <c r="G647" s="1">
        <v>42055</v>
      </c>
      <c r="H647" s="3">
        <f>IF(Table1[[#This Row],[ShippedDate]]="","",IF(Table1[[#This Row],[OrderDate]]="","",Table1[[#This Row],[ShippedDate]]-Table1[[#This Row],[OrderDate]]))</f>
        <v>2</v>
      </c>
      <c r="I647" s="3">
        <v>2</v>
      </c>
      <c r="J647" s="2">
        <v>77.78</v>
      </c>
      <c r="K647" s="2">
        <f>SUMIF(order_details!A:A,Table1[[#This Row],[orderID]],order_details!F:F)</f>
        <v>5502.11</v>
      </c>
      <c r="L647" s="9">
        <f>_xlfn.XLOOKUP(Table1[[#This Row],[orderID]],Table3[orderID],Table3[discount])</f>
        <v>0</v>
      </c>
      <c r="M647" s="2">
        <f>SUM(Table1[[#This Row],[Sales]],Table1[[#This Row],[freight]])</f>
        <v>5579.8899999999994</v>
      </c>
      <c r="N647" s="3">
        <f>_xlfn.XLOOKUP(Table1[[#This Row],[orderID]],Table3[orderID],Table3[quantity])</f>
        <v>30</v>
      </c>
      <c r="O647" s="6" t="str">
        <f>_xlfn.XLOOKUP(Table1[[#This Row],[CustomerID]],customers!A:A,customers!B:B)</f>
        <v>Königlich Essen</v>
      </c>
      <c r="P647" s="6" t="str">
        <f>_xlfn.XLOOKUP(Table1[[#This Row],[shipperID]],Table6[shipperID],Table6[companyName])</f>
        <v>United Package</v>
      </c>
      <c r="Q647">
        <f>YEAR(Table1[[#This Row],[OrderDate]])</f>
        <v>2015</v>
      </c>
      <c r="R647">
        <f>MONTH(Table1[[#This Row],[OrderDate]])</f>
        <v>2</v>
      </c>
      <c r="S647" t="str">
        <f>"Q"&amp;ROUNDUP(Table1[[#This Row],[month]]/3,0)</f>
        <v>Q1</v>
      </c>
      <c r="T647" t="str">
        <f>CONCATENATE(Table1[[#This Row],[year]],"-",Table1[[#This Row],[Quarter]])</f>
        <v>2015-Q1</v>
      </c>
      <c r="U647" s="6" t="str">
        <f>IF(H646="","Pending",IF(Table1[[#This Row],[Days to ship]]&lt;Table1[[#This Row],[RequiredDate]],"On Time","Late"))</f>
        <v>On Time</v>
      </c>
      <c r="V647">
        <f>_xlfn.XLOOKUP(Table1[[#This Row],[orderID]],Table3[orderID],Table3[unitPrice])</f>
        <v>40</v>
      </c>
    </row>
    <row r="648" spans="1:22" x14ac:dyDescent="0.45">
      <c r="A648" s="3">
        <v>10894</v>
      </c>
      <c r="B648" s="6" t="s">
        <v>165</v>
      </c>
      <c r="C648" s="3">
        <v>1</v>
      </c>
      <c r="D648" s="6" t="str">
        <f>_xlfn.XLOOKUP(Table1[[#This Row],[EmployeeID]],Table4[employeeID],Table4[employeeName])</f>
        <v>Nancy Davolio</v>
      </c>
      <c r="E648" s="1">
        <v>42053</v>
      </c>
      <c r="F648" s="1">
        <v>42081</v>
      </c>
      <c r="G648" s="1">
        <v>42055</v>
      </c>
      <c r="H648" s="3">
        <f>IF(Table1[[#This Row],[ShippedDate]]="","",IF(Table1[[#This Row],[OrderDate]]="","",Table1[[#This Row],[ShippedDate]]-Table1[[#This Row],[OrderDate]]))</f>
        <v>2</v>
      </c>
      <c r="I648" s="3">
        <v>1</v>
      </c>
      <c r="J648" s="2">
        <v>116.13</v>
      </c>
      <c r="K648" s="2">
        <f>SUMIF(order_details!A:A,Table1[[#This Row],[orderID]],order_details!F:F)</f>
        <v>2753.1</v>
      </c>
      <c r="L648" s="9">
        <f>_xlfn.XLOOKUP(Table1[[#This Row],[orderID]],Table3[orderID],Table3[discount])</f>
        <v>0.05</v>
      </c>
      <c r="M648" s="2">
        <f>SUM(Table1[[#This Row],[Sales]],Table1[[#This Row],[freight]])</f>
        <v>2869.23</v>
      </c>
      <c r="N648" s="3">
        <f>_xlfn.XLOOKUP(Table1[[#This Row],[orderID]],Table3[orderID],Table3[quantity])</f>
        <v>28</v>
      </c>
      <c r="O648" s="6" t="str">
        <f>_xlfn.XLOOKUP(Table1[[#This Row],[CustomerID]],customers!A:A,customers!B:B)</f>
        <v>Save-a-lot Markets</v>
      </c>
      <c r="P648" s="6" t="str">
        <f>_xlfn.XLOOKUP(Table1[[#This Row],[shipperID]],Table6[shipperID],Table6[companyName])</f>
        <v>Speedy Express</v>
      </c>
      <c r="Q648">
        <f>YEAR(Table1[[#This Row],[OrderDate]])</f>
        <v>2015</v>
      </c>
      <c r="R648">
        <f>MONTH(Table1[[#This Row],[OrderDate]])</f>
        <v>2</v>
      </c>
      <c r="S648" t="str">
        <f>"Q"&amp;ROUNDUP(Table1[[#This Row],[month]]/3,0)</f>
        <v>Q1</v>
      </c>
      <c r="T648" t="str">
        <f>CONCATENATE(Table1[[#This Row],[year]],"-",Table1[[#This Row],[Quarter]])</f>
        <v>2015-Q1</v>
      </c>
      <c r="U648" s="6" t="str">
        <f>IF(H647="","Pending",IF(Table1[[#This Row],[Days to ship]]&lt;Table1[[#This Row],[RequiredDate]],"On Time","Late"))</f>
        <v>On Time</v>
      </c>
      <c r="V648">
        <f>_xlfn.XLOOKUP(Table1[[#This Row],[orderID]],Table3[orderID],Table3[unitPrice])</f>
        <v>6</v>
      </c>
    </row>
    <row r="649" spans="1:22" x14ac:dyDescent="0.45">
      <c r="A649" s="3">
        <v>10895</v>
      </c>
      <c r="B649" s="6" t="s">
        <v>158</v>
      </c>
      <c r="C649" s="3">
        <v>3</v>
      </c>
      <c r="D649" s="6" t="str">
        <f>_xlfn.XLOOKUP(Table1[[#This Row],[EmployeeID]],Table4[employeeID],Table4[employeeName])</f>
        <v>Janet Leverling</v>
      </c>
      <c r="E649" s="1">
        <v>42053</v>
      </c>
      <c r="F649" s="1">
        <v>42081</v>
      </c>
      <c r="G649" s="1">
        <v>42058</v>
      </c>
      <c r="H649" s="3">
        <f>IF(Table1[[#This Row],[ShippedDate]]="","",IF(Table1[[#This Row],[OrderDate]]="","",Table1[[#This Row],[ShippedDate]]-Table1[[#This Row],[OrderDate]]))</f>
        <v>5</v>
      </c>
      <c r="I649" s="3">
        <v>1</v>
      </c>
      <c r="J649" s="2">
        <v>162.75</v>
      </c>
      <c r="K649" s="2">
        <f>SUMIF(order_details!A:A,Table1[[#This Row],[orderID]],order_details!F:F)</f>
        <v>6379.4</v>
      </c>
      <c r="L649" s="9">
        <f>_xlfn.XLOOKUP(Table1[[#This Row],[orderID]],Table3[orderID],Table3[discount])</f>
        <v>0</v>
      </c>
      <c r="M649" s="2">
        <f>SUM(Table1[[#This Row],[Sales]],Table1[[#This Row],[freight]])</f>
        <v>6542.15</v>
      </c>
      <c r="N649" s="3">
        <f>_xlfn.XLOOKUP(Table1[[#This Row],[orderID]],Table3[orderID],Table3[quantity])</f>
        <v>110</v>
      </c>
      <c r="O649" s="6" t="str">
        <f>_xlfn.XLOOKUP(Table1[[#This Row],[CustomerID]],customers!A:A,customers!B:B)</f>
        <v>Ernst Handel</v>
      </c>
      <c r="P649" s="6" t="str">
        <f>_xlfn.XLOOKUP(Table1[[#This Row],[shipperID]],Table6[shipperID],Table6[companyName])</f>
        <v>Speedy Express</v>
      </c>
      <c r="Q649">
        <f>YEAR(Table1[[#This Row],[OrderDate]])</f>
        <v>2015</v>
      </c>
      <c r="R649">
        <f>MONTH(Table1[[#This Row],[OrderDate]])</f>
        <v>2</v>
      </c>
      <c r="S649" t="str">
        <f>"Q"&amp;ROUNDUP(Table1[[#This Row],[month]]/3,0)</f>
        <v>Q1</v>
      </c>
      <c r="T649" t="str">
        <f>CONCATENATE(Table1[[#This Row],[year]],"-",Table1[[#This Row],[Quarter]])</f>
        <v>2015-Q1</v>
      </c>
      <c r="U649" s="6" t="str">
        <f>IF(H648="","Pending",IF(Table1[[#This Row],[Days to ship]]&lt;Table1[[#This Row],[RequiredDate]],"On Time","Late"))</f>
        <v>On Time</v>
      </c>
      <c r="V649">
        <f>_xlfn.XLOOKUP(Table1[[#This Row],[orderID]],Table3[orderID],Table3[unitPrice])</f>
        <v>4.5</v>
      </c>
    </row>
    <row r="650" spans="1:22" x14ac:dyDescent="0.45">
      <c r="A650" s="3">
        <v>10896</v>
      </c>
      <c r="B650" s="6" t="s">
        <v>205</v>
      </c>
      <c r="C650" s="3">
        <v>7</v>
      </c>
      <c r="D650" s="6" t="str">
        <f>_xlfn.XLOOKUP(Table1[[#This Row],[EmployeeID]],Table4[employeeID],Table4[employeeName])</f>
        <v>Robert King</v>
      </c>
      <c r="E650" s="1">
        <v>42054</v>
      </c>
      <c r="F650" s="1">
        <v>42082</v>
      </c>
      <c r="G650" s="1">
        <v>42062</v>
      </c>
      <c r="H650" s="3">
        <f>IF(Table1[[#This Row],[ShippedDate]]="","",IF(Table1[[#This Row],[OrderDate]]="","",Table1[[#This Row],[ShippedDate]]-Table1[[#This Row],[OrderDate]]))</f>
        <v>8</v>
      </c>
      <c r="I650" s="3">
        <v>3</v>
      </c>
      <c r="J650" s="2">
        <v>32.450000000000003</v>
      </c>
      <c r="K650" s="2">
        <f>SUMIF(order_details!A:A,Table1[[#This Row],[orderID]],order_details!F:F)</f>
        <v>750.5</v>
      </c>
      <c r="L650" s="9">
        <f>_xlfn.XLOOKUP(Table1[[#This Row],[orderID]],Table3[orderID],Table3[discount])</f>
        <v>0</v>
      </c>
      <c r="M650" s="2">
        <f>SUM(Table1[[#This Row],[Sales]],Table1[[#This Row],[freight]])</f>
        <v>782.95</v>
      </c>
      <c r="N650" s="3">
        <f>_xlfn.XLOOKUP(Table1[[#This Row],[orderID]],Table3[orderID],Table3[quantity])</f>
        <v>15</v>
      </c>
      <c r="O650" s="6" t="str">
        <f>_xlfn.XLOOKUP(Table1[[#This Row],[CustomerID]],customers!A:A,customers!B:B)</f>
        <v>Maison Dewey</v>
      </c>
      <c r="P650" s="6" t="str">
        <f>_xlfn.XLOOKUP(Table1[[#This Row],[shipperID]],Table6[shipperID],Table6[companyName])</f>
        <v>Federal Shipping</v>
      </c>
      <c r="Q650">
        <f>YEAR(Table1[[#This Row],[OrderDate]])</f>
        <v>2015</v>
      </c>
      <c r="R650">
        <f>MONTH(Table1[[#This Row],[OrderDate]])</f>
        <v>2</v>
      </c>
      <c r="S650" t="str">
        <f>"Q"&amp;ROUNDUP(Table1[[#This Row],[month]]/3,0)</f>
        <v>Q1</v>
      </c>
      <c r="T650" t="str">
        <f>CONCATENATE(Table1[[#This Row],[year]],"-",Table1[[#This Row],[Quarter]])</f>
        <v>2015-Q1</v>
      </c>
      <c r="U650" s="6" t="str">
        <f>IF(H649="","Pending",IF(Table1[[#This Row],[Days to ship]]&lt;Table1[[#This Row],[RequiredDate]],"On Time","Late"))</f>
        <v>On Time</v>
      </c>
      <c r="V650">
        <f>_xlfn.XLOOKUP(Table1[[#This Row],[orderID]],Table3[orderID],Table3[unitPrice])</f>
        <v>9.5</v>
      </c>
    </row>
    <row r="651" spans="1:22" x14ac:dyDescent="0.45">
      <c r="A651" s="3">
        <v>10897</v>
      </c>
      <c r="B651" s="6" t="s">
        <v>166</v>
      </c>
      <c r="C651" s="3">
        <v>3</v>
      </c>
      <c r="D651" s="6" t="str">
        <f>_xlfn.XLOOKUP(Table1[[#This Row],[EmployeeID]],Table4[employeeID],Table4[employeeName])</f>
        <v>Janet Leverling</v>
      </c>
      <c r="E651" s="1">
        <v>42054</v>
      </c>
      <c r="F651" s="1">
        <v>42082</v>
      </c>
      <c r="G651" s="1">
        <v>42060</v>
      </c>
      <c r="H651" s="3">
        <f>IF(Table1[[#This Row],[ShippedDate]]="","",IF(Table1[[#This Row],[OrderDate]]="","",Table1[[#This Row],[ShippedDate]]-Table1[[#This Row],[OrderDate]]))</f>
        <v>6</v>
      </c>
      <c r="I651" s="3">
        <v>2</v>
      </c>
      <c r="J651" s="2">
        <v>603.54</v>
      </c>
      <c r="K651" s="2">
        <f>SUMIF(order_details!A:A,Table1[[#This Row],[orderID]],order_details!F:F)</f>
        <v>10835.240000000002</v>
      </c>
      <c r="L651" s="9">
        <f>_xlfn.XLOOKUP(Table1[[#This Row],[orderID]],Table3[orderID],Table3[discount])</f>
        <v>0</v>
      </c>
      <c r="M651" s="2">
        <f>SUM(Table1[[#This Row],[Sales]],Table1[[#This Row],[freight]])</f>
        <v>11438.780000000002</v>
      </c>
      <c r="N651" s="3">
        <f>_xlfn.XLOOKUP(Table1[[#This Row],[orderID]],Table3[orderID],Table3[quantity])</f>
        <v>80</v>
      </c>
      <c r="O651" s="6" t="str">
        <f>_xlfn.XLOOKUP(Table1[[#This Row],[CustomerID]],customers!A:A,customers!B:B)</f>
        <v>Hungry Owl All-Night Grocers</v>
      </c>
      <c r="P651" s="6" t="str">
        <f>_xlfn.XLOOKUP(Table1[[#This Row],[shipperID]],Table6[shipperID],Table6[companyName])</f>
        <v>United Package</v>
      </c>
      <c r="Q651">
        <f>YEAR(Table1[[#This Row],[OrderDate]])</f>
        <v>2015</v>
      </c>
      <c r="R651">
        <f>MONTH(Table1[[#This Row],[OrderDate]])</f>
        <v>2</v>
      </c>
      <c r="S651" t="str">
        <f>"Q"&amp;ROUNDUP(Table1[[#This Row],[month]]/3,0)</f>
        <v>Q1</v>
      </c>
      <c r="T651" t="str">
        <f>CONCATENATE(Table1[[#This Row],[year]],"-",Table1[[#This Row],[Quarter]])</f>
        <v>2015-Q1</v>
      </c>
      <c r="U651" s="6" t="str">
        <f>IF(H650="","Pending",IF(Table1[[#This Row],[Days to ship]]&lt;Table1[[#This Row],[RequiredDate]],"On Time","Late"))</f>
        <v>On Time</v>
      </c>
      <c r="V651">
        <f>_xlfn.XLOOKUP(Table1[[#This Row],[orderID]],Table3[orderID],Table3[unitPrice])</f>
        <v>123.79</v>
      </c>
    </row>
    <row r="652" spans="1:22" x14ac:dyDescent="0.45">
      <c r="A652" s="3">
        <v>10898</v>
      </c>
      <c r="B652" s="6" t="s">
        <v>210</v>
      </c>
      <c r="C652" s="3">
        <v>4</v>
      </c>
      <c r="D652" s="6" t="str">
        <f>_xlfn.XLOOKUP(Table1[[#This Row],[EmployeeID]],Table4[employeeID],Table4[employeeName])</f>
        <v>Margaret Peacock</v>
      </c>
      <c r="E652" s="1">
        <v>42055</v>
      </c>
      <c r="F652" s="1">
        <v>42083</v>
      </c>
      <c r="G652" s="1">
        <v>42069</v>
      </c>
      <c r="H652" s="3">
        <f>IF(Table1[[#This Row],[ShippedDate]]="","",IF(Table1[[#This Row],[OrderDate]]="","",Table1[[#This Row],[ShippedDate]]-Table1[[#This Row],[OrderDate]]))</f>
        <v>14</v>
      </c>
      <c r="I652" s="3">
        <v>2</v>
      </c>
      <c r="J652" s="2">
        <v>1.27</v>
      </c>
      <c r="K652" s="2">
        <f>SUMIF(order_details!A:A,Table1[[#This Row],[orderID]],order_details!F:F)</f>
        <v>30</v>
      </c>
      <c r="L652" s="9">
        <f>_xlfn.XLOOKUP(Table1[[#This Row],[orderID]],Table3[orderID],Table3[discount])</f>
        <v>0</v>
      </c>
      <c r="M652" s="2">
        <f>SUM(Table1[[#This Row],[Sales]],Table1[[#This Row],[freight]])</f>
        <v>31.27</v>
      </c>
      <c r="N652" s="3">
        <f>_xlfn.XLOOKUP(Table1[[#This Row],[orderID]],Table3[orderID],Table3[quantity])</f>
        <v>5</v>
      </c>
      <c r="O652" s="6" t="str">
        <f>_xlfn.XLOOKUP(Table1[[#This Row],[CustomerID]],customers!A:A,customers!B:B)</f>
        <v>Océano Atlántico Ltda.</v>
      </c>
      <c r="P652" s="6" t="str">
        <f>_xlfn.XLOOKUP(Table1[[#This Row],[shipperID]],Table6[shipperID],Table6[companyName])</f>
        <v>United Package</v>
      </c>
      <c r="Q652">
        <f>YEAR(Table1[[#This Row],[OrderDate]])</f>
        <v>2015</v>
      </c>
      <c r="R652">
        <f>MONTH(Table1[[#This Row],[OrderDate]])</f>
        <v>2</v>
      </c>
      <c r="S652" t="str">
        <f>"Q"&amp;ROUNDUP(Table1[[#This Row],[month]]/3,0)</f>
        <v>Q1</v>
      </c>
      <c r="T652" t="str">
        <f>CONCATENATE(Table1[[#This Row],[year]],"-",Table1[[#This Row],[Quarter]])</f>
        <v>2015-Q1</v>
      </c>
      <c r="U652" s="6" t="str">
        <f>IF(H651="","Pending",IF(Table1[[#This Row],[Days to ship]]&lt;Table1[[#This Row],[RequiredDate]],"On Time","Late"))</f>
        <v>On Time</v>
      </c>
      <c r="V652">
        <f>_xlfn.XLOOKUP(Table1[[#This Row],[orderID]],Table3[orderID],Table3[unitPrice])</f>
        <v>6</v>
      </c>
    </row>
    <row r="653" spans="1:22" x14ac:dyDescent="0.45">
      <c r="A653" s="3">
        <v>10899</v>
      </c>
      <c r="B653" s="6" t="s">
        <v>159</v>
      </c>
      <c r="C653" s="3">
        <v>5</v>
      </c>
      <c r="D653" s="6" t="str">
        <f>_xlfn.XLOOKUP(Table1[[#This Row],[EmployeeID]],Table4[employeeID],Table4[employeeName])</f>
        <v>Steven Buchanan</v>
      </c>
      <c r="E653" s="1">
        <v>42055</v>
      </c>
      <c r="F653" s="1">
        <v>42083</v>
      </c>
      <c r="G653" s="1">
        <v>42061</v>
      </c>
      <c r="H653" s="3">
        <f>IF(Table1[[#This Row],[ShippedDate]]="","",IF(Table1[[#This Row],[OrderDate]]="","",Table1[[#This Row],[ShippedDate]]-Table1[[#This Row],[OrderDate]]))</f>
        <v>6</v>
      </c>
      <c r="I653" s="3">
        <v>3</v>
      </c>
      <c r="J653" s="2">
        <v>1.21</v>
      </c>
      <c r="K653" s="2">
        <f>SUMIF(order_details!A:A,Table1[[#This Row],[orderID]],order_details!F:F)</f>
        <v>122.39999999999999</v>
      </c>
      <c r="L653" s="9">
        <f>_xlfn.XLOOKUP(Table1[[#This Row],[orderID]],Table3[orderID],Table3[discount])</f>
        <v>0.15</v>
      </c>
      <c r="M653" s="2">
        <f>SUM(Table1[[#This Row],[Sales]],Table1[[#This Row],[freight]])</f>
        <v>123.60999999999999</v>
      </c>
      <c r="N653" s="3">
        <f>_xlfn.XLOOKUP(Table1[[#This Row],[orderID]],Table3[orderID],Table3[quantity])</f>
        <v>8</v>
      </c>
      <c r="O653" s="6" t="str">
        <f>_xlfn.XLOOKUP(Table1[[#This Row],[CustomerID]],customers!A:A,customers!B:B)</f>
        <v>LILA-Supermercado</v>
      </c>
      <c r="P653" s="6" t="str">
        <f>_xlfn.XLOOKUP(Table1[[#This Row],[shipperID]],Table6[shipperID],Table6[companyName])</f>
        <v>Federal Shipping</v>
      </c>
      <c r="Q653">
        <f>YEAR(Table1[[#This Row],[OrderDate]])</f>
        <v>2015</v>
      </c>
      <c r="R653">
        <f>MONTH(Table1[[#This Row],[OrderDate]])</f>
        <v>2</v>
      </c>
      <c r="S653" t="str">
        <f>"Q"&amp;ROUNDUP(Table1[[#This Row],[month]]/3,0)</f>
        <v>Q1</v>
      </c>
      <c r="T653" t="str">
        <f>CONCATENATE(Table1[[#This Row],[year]],"-",Table1[[#This Row],[Quarter]])</f>
        <v>2015-Q1</v>
      </c>
      <c r="U653" s="6" t="str">
        <f>IF(H652="","Pending",IF(Table1[[#This Row],[Days to ship]]&lt;Table1[[#This Row],[RequiredDate]],"On Time","Late"))</f>
        <v>On Time</v>
      </c>
      <c r="V653">
        <f>_xlfn.XLOOKUP(Table1[[#This Row],[orderID]],Table3[orderID],Table3[unitPrice])</f>
        <v>18</v>
      </c>
    </row>
    <row r="654" spans="1:22" x14ac:dyDescent="0.45">
      <c r="A654" s="3">
        <v>10900</v>
      </c>
      <c r="B654" s="6" t="s">
        <v>219</v>
      </c>
      <c r="C654" s="3">
        <v>1</v>
      </c>
      <c r="D654" s="6" t="str">
        <f>_xlfn.XLOOKUP(Table1[[#This Row],[EmployeeID]],Table4[employeeID],Table4[employeeName])</f>
        <v>Nancy Davolio</v>
      </c>
      <c r="E654" s="1">
        <v>42055</v>
      </c>
      <c r="F654" s="1">
        <v>42083</v>
      </c>
      <c r="G654" s="1">
        <v>42067</v>
      </c>
      <c r="H654" s="3">
        <f>IF(Table1[[#This Row],[ShippedDate]]="","",IF(Table1[[#This Row],[OrderDate]]="","",Table1[[#This Row],[ShippedDate]]-Table1[[#This Row],[OrderDate]]))</f>
        <v>12</v>
      </c>
      <c r="I654" s="3">
        <v>2</v>
      </c>
      <c r="J654" s="2">
        <v>1.66</v>
      </c>
      <c r="K654" s="2">
        <f>SUMIF(order_details!A:A,Table1[[#This Row],[orderID]],order_details!F:F)</f>
        <v>33.75</v>
      </c>
      <c r="L654" s="9">
        <f>_xlfn.XLOOKUP(Table1[[#This Row],[orderID]],Table3[orderID],Table3[discount])</f>
        <v>0.25</v>
      </c>
      <c r="M654" s="2">
        <f>SUM(Table1[[#This Row],[Sales]],Table1[[#This Row],[freight]])</f>
        <v>35.409999999999997</v>
      </c>
      <c r="N654" s="3">
        <f>_xlfn.XLOOKUP(Table1[[#This Row],[orderID]],Table3[orderID],Table3[quantity])</f>
        <v>3</v>
      </c>
      <c r="O654" s="6" t="str">
        <f>_xlfn.XLOOKUP(Table1[[#This Row],[CustomerID]],customers!A:A,customers!B:B)</f>
        <v>Wellington Importadora</v>
      </c>
      <c r="P654" s="6" t="str">
        <f>_xlfn.XLOOKUP(Table1[[#This Row],[shipperID]],Table6[shipperID],Table6[companyName])</f>
        <v>United Package</v>
      </c>
      <c r="Q654">
        <f>YEAR(Table1[[#This Row],[OrderDate]])</f>
        <v>2015</v>
      </c>
      <c r="R654">
        <f>MONTH(Table1[[#This Row],[OrderDate]])</f>
        <v>2</v>
      </c>
      <c r="S654" t="str">
        <f>"Q"&amp;ROUNDUP(Table1[[#This Row],[month]]/3,0)</f>
        <v>Q1</v>
      </c>
      <c r="T654" t="str">
        <f>CONCATENATE(Table1[[#This Row],[year]],"-",Table1[[#This Row],[Quarter]])</f>
        <v>2015-Q1</v>
      </c>
      <c r="U654" s="6" t="str">
        <f>IF(H653="","Pending",IF(Table1[[#This Row],[Days to ship]]&lt;Table1[[#This Row],[RequiredDate]],"On Time","Late"))</f>
        <v>On Time</v>
      </c>
      <c r="V654">
        <f>_xlfn.XLOOKUP(Table1[[#This Row],[orderID]],Table3[orderID],Table3[unitPrice])</f>
        <v>15</v>
      </c>
    </row>
    <row r="655" spans="1:22" x14ac:dyDescent="0.45">
      <c r="A655" s="3">
        <v>10901</v>
      </c>
      <c r="B655" s="6" t="s">
        <v>174</v>
      </c>
      <c r="C655" s="3">
        <v>4</v>
      </c>
      <c r="D655" s="6" t="str">
        <f>_xlfn.XLOOKUP(Table1[[#This Row],[EmployeeID]],Table4[employeeID],Table4[employeeName])</f>
        <v>Margaret Peacock</v>
      </c>
      <c r="E655" s="1">
        <v>42058</v>
      </c>
      <c r="F655" s="1">
        <v>42086</v>
      </c>
      <c r="G655" s="1">
        <v>42061</v>
      </c>
      <c r="H655" s="3">
        <f>IF(Table1[[#This Row],[ShippedDate]]="","",IF(Table1[[#This Row],[OrderDate]]="","",Table1[[#This Row],[ShippedDate]]-Table1[[#This Row],[OrderDate]]))</f>
        <v>3</v>
      </c>
      <c r="I655" s="3">
        <v>1</v>
      </c>
      <c r="J655" s="2">
        <v>62.09</v>
      </c>
      <c r="K655" s="2">
        <f>SUMIF(order_details!A:A,Table1[[#This Row],[orderID]],order_details!F:F)</f>
        <v>934.5</v>
      </c>
      <c r="L655" s="9">
        <f>_xlfn.XLOOKUP(Table1[[#This Row],[orderID]],Table3[orderID],Table3[discount])</f>
        <v>0</v>
      </c>
      <c r="M655" s="2">
        <f>SUM(Table1[[#This Row],[Sales]],Table1[[#This Row],[freight]])</f>
        <v>996.59</v>
      </c>
      <c r="N655" s="3">
        <f>_xlfn.XLOOKUP(Table1[[#This Row],[orderID]],Table3[orderID],Table3[quantity])</f>
        <v>30</v>
      </c>
      <c r="O655" s="6" t="str">
        <f>_xlfn.XLOOKUP(Table1[[#This Row],[CustomerID]],customers!A:A,customers!B:B)</f>
        <v>HILARION-Abastos</v>
      </c>
      <c r="P655" s="6" t="str">
        <f>_xlfn.XLOOKUP(Table1[[#This Row],[shipperID]],Table6[shipperID],Table6[companyName])</f>
        <v>Speedy Express</v>
      </c>
      <c r="Q655">
        <f>YEAR(Table1[[#This Row],[OrderDate]])</f>
        <v>2015</v>
      </c>
      <c r="R655">
        <f>MONTH(Table1[[#This Row],[OrderDate]])</f>
        <v>2</v>
      </c>
      <c r="S655" t="str">
        <f>"Q"&amp;ROUNDUP(Table1[[#This Row],[month]]/3,0)</f>
        <v>Q1</v>
      </c>
      <c r="T655" t="str">
        <f>CONCATENATE(Table1[[#This Row],[year]],"-",Table1[[#This Row],[Quarter]])</f>
        <v>2015-Q1</v>
      </c>
      <c r="U655" s="6" t="str">
        <f>IF(H654="","Pending",IF(Table1[[#This Row],[Days to ship]]&lt;Table1[[#This Row],[RequiredDate]],"On Time","Late"))</f>
        <v>On Time</v>
      </c>
      <c r="V655">
        <f>_xlfn.XLOOKUP(Table1[[#This Row],[orderID]],Table3[orderID],Table3[unitPrice])</f>
        <v>9.65</v>
      </c>
    </row>
    <row r="656" spans="1:22" x14ac:dyDescent="0.45">
      <c r="A656" s="3">
        <v>10902</v>
      </c>
      <c r="B656" s="6" t="s">
        <v>179</v>
      </c>
      <c r="C656" s="3">
        <v>1</v>
      </c>
      <c r="D656" s="6" t="str">
        <f>_xlfn.XLOOKUP(Table1[[#This Row],[EmployeeID]],Table4[employeeID],Table4[employeeName])</f>
        <v>Nancy Davolio</v>
      </c>
      <c r="E656" s="1">
        <v>42058</v>
      </c>
      <c r="F656" s="1">
        <v>42086</v>
      </c>
      <c r="G656" s="1">
        <v>42066</v>
      </c>
      <c r="H656" s="3">
        <f>IF(Table1[[#This Row],[ShippedDate]]="","",IF(Table1[[#This Row],[OrderDate]]="","",Table1[[#This Row],[ShippedDate]]-Table1[[#This Row],[OrderDate]]))</f>
        <v>8</v>
      </c>
      <c r="I656" s="3">
        <v>1</v>
      </c>
      <c r="J656" s="2">
        <v>44.15</v>
      </c>
      <c r="K656" s="2">
        <f>SUMIF(order_details!A:A,Table1[[#This Row],[orderID]],order_details!F:F)</f>
        <v>863.43</v>
      </c>
      <c r="L656" s="9">
        <f>_xlfn.XLOOKUP(Table1[[#This Row],[orderID]],Table3[orderID],Table3[discount])</f>
        <v>0.15</v>
      </c>
      <c r="M656" s="2">
        <f>SUM(Table1[[#This Row],[Sales]],Table1[[#This Row],[freight]])</f>
        <v>907.57999999999993</v>
      </c>
      <c r="N656" s="3">
        <f>_xlfn.XLOOKUP(Table1[[#This Row],[orderID]],Table3[orderID],Table3[quantity])</f>
        <v>30</v>
      </c>
      <c r="O656" s="6" t="str">
        <f>_xlfn.XLOOKUP(Table1[[#This Row],[CustomerID]],customers!A:A,customers!B:B)</f>
        <v>Folk och fä HB</v>
      </c>
      <c r="P656" s="6" t="str">
        <f>_xlfn.XLOOKUP(Table1[[#This Row],[shipperID]],Table6[shipperID],Table6[companyName])</f>
        <v>Speedy Express</v>
      </c>
      <c r="Q656">
        <f>YEAR(Table1[[#This Row],[OrderDate]])</f>
        <v>2015</v>
      </c>
      <c r="R656">
        <f>MONTH(Table1[[#This Row],[OrderDate]])</f>
        <v>2</v>
      </c>
      <c r="S656" t="str">
        <f>"Q"&amp;ROUNDUP(Table1[[#This Row],[month]]/3,0)</f>
        <v>Q1</v>
      </c>
      <c r="T656" t="str">
        <f>CONCATENATE(Table1[[#This Row],[year]],"-",Table1[[#This Row],[Quarter]])</f>
        <v>2015-Q1</v>
      </c>
      <c r="U656" s="6" t="str">
        <f>IF(H655="","Pending",IF(Table1[[#This Row],[Days to ship]]&lt;Table1[[#This Row],[RequiredDate]],"On Time","Late"))</f>
        <v>On Time</v>
      </c>
      <c r="V656">
        <f>_xlfn.XLOOKUP(Table1[[#This Row],[orderID]],Table3[orderID],Table3[unitPrice])</f>
        <v>24</v>
      </c>
    </row>
    <row r="657" spans="1:22" x14ac:dyDescent="0.45">
      <c r="A657" s="3">
        <v>10903</v>
      </c>
      <c r="B657" s="6" t="s">
        <v>177</v>
      </c>
      <c r="C657" s="3">
        <v>3</v>
      </c>
      <c r="D657" s="6" t="str">
        <f>_xlfn.XLOOKUP(Table1[[#This Row],[EmployeeID]],Table4[employeeID],Table4[employeeName])</f>
        <v>Janet Leverling</v>
      </c>
      <c r="E657" s="1">
        <v>42059</v>
      </c>
      <c r="F657" s="1">
        <v>42087</v>
      </c>
      <c r="G657" s="1">
        <v>42067</v>
      </c>
      <c r="H657" s="3">
        <f>IF(Table1[[#This Row],[ShippedDate]]="","",IF(Table1[[#This Row],[OrderDate]]="","",Table1[[#This Row],[ShippedDate]]-Table1[[#This Row],[OrderDate]]))</f>
        <v>8</v>
      </c>
      <c r="I657" s="3">
        <v>3</v>
      </c>
      <c r="J657" s="2">
        <v>36.71</v>
      </c>
      <c r="K657" s="2">
        <f>SUMIF(order_details!A:A,Table1[[#This Row],[orderID]],order_details!F:F)</f>
        <v>932.05</v>
      </c>
      <c r="L657" s="9">
        <f>_xlfn.XLOOKUP(Table1[[#This Row],[orderID]],Table3[orderID],Table3[discount])</f>
        <v>0</v>
      </c>
      <c r="M657" s="2">
        <f>SUM(Table1[[#This Row],[Sales]],Table1[[#This Row],[freight]])</f>
        <v>968.76</v>
      </c>
      <c r="N657" s="3">
        <f>_xlfn.XLOOKUP(Table1[[#This Row],[orderID]],Table3[orderID],Table3[quantity])</f>
        <v>40</v>
      </c>
      <c r="O657" s="6" t="str">
        <f>_xlfn.XLOOKUP(Table1[[#This Row],[CustomerID]],customers!A:A,customers!B:B)</f>
        <v>Hanari Carnes</v>
      </c>
      <c r="P657" s="6" t="str">
        <f>_xlfn.XLOOKUP(Table1[[#This Row],[shipperID]],Table6[shipperID],Table6[companyName])</f>
        <v>Federal Shipping</v>
      </c>
      <c r="Q657">
        <f>YEAR(Table1[[#This Row],[OrderDate]])</f>
        <v>2015</v>
      </c>
      <c r="R657">
        <f>MONTH(Table1[[#This Row],[OrderDate]])</f>
        <v>2</v>
      </c>
      <c r="S657" t="str">
        <f>"Q"&amp;ROUNDUP(Table1[[#This Row],[month]]/3,0)</f>
        <v>Q1</v>
      </c>
      <c r="T657" t="str">
        <f>CONCATENATE(Table1[[#This Row],[year]],"-",Table1[[#This Row],[Quarter]])</f>
        <v>2015-Q1</v>
      </c>
      <c r="U657" s="6" t="str">
        <f>IF(H656="","Pending",IF(Table1[[#This Row],[Days to ship]]&lt;Table1[[#This Row],[RequiredDate]],"On Time","Late"))</f>
        <v>On Time</v>
      </c>
      <c r="V657">
        <f>_xlfn.XLOOKUP(Table1[[#This Row],[orderID]],Table3[orderID],Table3[unitPrice])</f>
        <v>6</v>
      </c>
    </row>
    <row r="658" spans="1:22" x14ac:dyDescent="0.45">
      <c r="A658" s="3">
        <v>10904</v>
      </c>
      <c r="B658" s="6" t="s">
        <v>164</v>
      </c>
      <c r="C658" s="3">
        <v>3</v>
      </c>
      <c r="D658" s="6" t="str">
        <f>_xlfn.XLOOKUP(Table1[[#This Row],[EmployeeID]],Table4[employeeID],Table4[employeeName])</f>
        <v>Janet Leverling</v>
      </c>
      <c r="E658" s="1">
        <v>42059</v>
      </c>
      <c r="F658" s="1">
        <v>42087</v>
      </c>
      <c r="G658" s="1">
        <v>42062</v>
      </c>
      <c r="H658" s="3">
        <f>IF(Table1[[#This Row],[ShippedDate]]="","",IF(Table1[[#This Row],[OrderDate]]="","",Table1[[#This Row],[ShippedDate]]-Table1[[#This Row],[OrderDate]]))</f>
        <v>3</v>
      </c>
      <c r="I658" s="3">
        <v>3</v>
      </c>
      <c r="J658" s="2">
        <v>162.94999999999999</v>
      </c>
      <c r="K658" s="2">
        <f>SUMIF(order_details!A:A,Table1[[#This Row],[orderID]],order_details!F:F)</f>
        <v>1924.25</v>
      </c>
      <c r="L658" s="9">
        <f>_xlfn.XLOOKUP(Table1[[#This Row],[orderID]],Table3[orderID],Table3[discount])</f>
        <v>0</v>
      </c>
      <c r="M658" s="2">
        <f>SUM(Table1[[#This Row],[Sales]],Table1[[#This Row],[freight]])</f>
        <v>2087.1999999999998</v>
      </c>
      <c r="N658" s="3">
        <f>_xlfn.XLOOKUP(Table1[[#This Row],[orderID]],Table3[orderID],Table3[quantity])</f>
        <v>15</v>
      </c>
      <c r="O658" s="6" t="str">
        <f>_xlfn.XLOOKUP(Table1[[#This Row],[CustomerID]],customers!A:A,customers!B:B)</f>
        <v>White Clover Markets</v>
      </c>
      <c r="P658" s="6" t="str">
        <f>_xlfn.XLOOKUP(Table1[[#This Row],[shipperID]],Table6[shipperID],Table6[companyName])</f>
        <v>Federal Shipping</v>
      </c>
      <c r="Q658">
        <f>YEAR(Table1[[#This Row],[OrderDate]])</f>
        <v>2015</v>
      </c>
      <c r="R658">
        <f>MONTH(Table1[[#This Row],[OrderDate]])</f>
        <v>2</v>
      </c>
      <c r="S658" t="str">
        <f>"Q"&amp;ROUNDUP(Table1[[#This Row],[month]]/3,0)</f>
        <v>Q1</v>
      </c>
      <c r="T658" t="str">
        <f>CONCATENATE(Table1[[#This Row],[year]],"-",Table1[[#This Row],[Quarter]])</f>
        <v>2015-Q1</v>
      </c>
      <c r="U658" s="6" t="str">
        <f>IF(H657="","Pending",IF(Table1[[#This Row],[Days to ship]]&lt;Table1[[#This Row],[RequiredDate]],"On Time","Late"))</f>
        <v>On Time</v>
      </c>
      <c r="V658">
        <f>_xlfn.XLOOKUP(Table1[[#This Row],[orderID]],Table3[orderID],Table3[unitPrice])</f>
        <v>13.25</v>
      </c>
    </row>
    <row r="659" spans="1:22" x14ac:dyDescent="0.45">
      <c r="A659" s="3">
        <v>10905</v>
      </c>
      <c r="B659" s="6" t="s">
        <v>219</v>
      </c>
      <c r="C659" s="3">
        <v>9</v>
      </c>
      <c r="D659" s="6" t="str">
        <f>_xlfn.XLOOKUP(Table1[[#This Row],[EmployeeID]],Table4[employeeID],Table4[employeeName])</f>
        <v>Anne Dodsworth</v>
      </c>
      <c r="E659" s="1">
        <v>42059</v>
      </c>
      <c r="F659" s="1">
        <v>42087</v>
      </c>
      <c r="G659" s="1">
        <v>42069</v>
      </c>
      <c r="H659" s="3">
        <f>IF(Table1[[#This Row],[ShippedDate]]="","",IF(Table1[[#This Row],[OrderDate]]="","",Table1[[#This Row],[ShippedDate]]-Table1[[#This Row],[OrderDate]]))</f>
        <v>10</v>
      </c>
      <c r="I659" s="3">
        <v>2</v>
      </c>
      <c r="J659" s="2">
        <v>13.72</v>
      </c>
      <c r="K659" s="2">
        <f>SUMIF(order_details!A:A,Table1[[#This Row],[orderID]],order_details!F:F)</f>
        <v>342</v>
      </c>
      <c r="L659" s="9">
        <f>_xlfn.XLOOKUP(Table1[[#This Row],[orderID]],Table3[orderID],Table3[discount])</f>
        <v>0.05</v>
      </c>
      <c r="M659" s="2">
        <f>SUM(Table1[[#This Row],[Sales]],Table1[[#This Row],[freight]])</f>
        <v>355.72</v>
      </c>
      <c r="N659" s="3">
        <f>_xlfn.XLOOKUP(Table1[[#This Row],[orderID]],Table3[orderID],Table3[quantity])</f>
        <v>20</v>
      </c>
      <c r="O659" s="6" t="str">
        <f>_xlfn.XLOOKUP(Table1[[#This Row],[CustomerID]],customers!A:A,customers!B:B)</f>
        <v>Wellington Importadora</v>
      </c>
      <c r="P659" s="6" t="str">
        <f>_xlfn.XLOOKUP(Table1[[#This Row],[shipperID]],Table6[shipperID],Table6[companyName])</f>
        <v>United Package</v>
      </c>
      <c r="Q659">
        <f>YEAR(Table1[[#This Row],[OrderDate]])</f>
        <v>2015</v>
      </c>
      <c r="R659">
        <f>MONTH(Table1[[#This Row],[OrderDate]])</f>
        <v>2</v>
      </c>
      <c r="S659" t="str">
        <f>"Q"&amp;ROUNDUP(Table1[[#This Row],[month]]/3,0)</f>
        <v>Q1</v>
      </c>
      <c r="T659" t="str">
        <f>CONCATENATE(Table1[[#This Row],[year]],"-",Table1[[#This Row],[Quarter]])</f>
        <v>2015-Q1</v>
      </c>
      <c r="U659" s="6" t="str">
        <f>IF(H658="","Pending",IF(Table1[[#This Row],[Days to ship]]&lt;Table1[[#This Row],[RequiredDate]],"On Time","Late"))</f>
        <v>On Time</v>
      </c>
      <c r="V659">
        <f>_xlfn.XLOOKUP(Table1[[#This Row],[orderID]],Table3[orderID],Table3[unitPrice])</f>
        <v>18</v>
      </c>
    </row>
    <row r="660" spans="1:22" x14ac:dyDescent="0.45">
      <c r="A660" s="3">
        <v>10906</v>
      </c>
      <c r="B660" s="6" t="s">
        <v>183</v>
      </c>
      <c r="C660" s="3">
        <v>4</v>
      </c>
      <c r="D660" s="6" t="str">
        <f>_xlfn.XLOOKUP(Table1[[#This Row],[EmployeeID]],Table4[employeeID],Table4[employeeName])</f>
        <v>Margaret Peacock</v>
      </c>
      <c r="E660" s="1">
        <v>42060</v>
      </c>
      <c r="F660" s="1">
        <v>42074</v>
      </c>
      <c r="G660" s="1">
        <v>42066</v>
      </c>
      <c r="H660" s="3">
        <f>IF(Table1[[#This Row],[ShippedDate]]="","",IF(Table1[[#This Row],[OrderDate]]="","",Table1[[#This Row],[ShippedDate]]-Table1[[#This Row],[OrderDate]]))</f>
        <v>6</v>
      </c>
      <c r="I660" s="3">
        <v>3</v>
      </c>
      <c r="J660" s="2">
        <v>26.29</v>
      </c>
      <c r="K660" s="2">
        <f>SUMIF(order_details!A:A,Table1[[#This Row],[orderID]],order_details!F:F)</f>
        <v>427.5</v>
      </c>
      <c r="L660" s="9">
        <f>_xlfn.XLOOKUP(Table1[[#This Row],[orderID]],Table3[orderID],Table3[discount])</f>
        <v>0</v>
      </c>
      <c r="M660" s="2">
        <f>SUM(Table1[[#This Row],[Sales]],Table1[[#This Row],[freight]])</f>
        <v>453.79</v>
      </c>
      <c r="N660" s="3">
        <f>_xlfn.XLOOKUP(Table1[[#This Row],[orderID]],Table3[orderID],Table3[quantity])</f>
        <v>15</v>
      </c>
      <c r="O660" s="6" t="str">
        <f>_xlfn.XLOOKUP(Table1[[#This Row],[CustomerID]],customers!A:A,customers!B:B)</f>
        <v>Wolski  Zajazd</v>
      </c>
      <c r="P660" s="6" t="str">
        <f>_xlfn.XLOOKUP(Table1[[#This Row],[shipperID]],Table6[shipperID],Table6[companyName])</f>
        <v>Federal Shipping</v>
      </c>
      <c r="Q660">
        <f>YEAR(Table1[[#This Row],[OrderDate]])</f>
        <v>2015</v>
      </c>
      <c r="R660">
        <f>MONTH(Table1[[#This Row],[OrderDate]])</f>
        <v>2</v>
      </c>
      <c r="S660" t="str">
        <f>"Q"&amp;ROUNDUP(Table1[[#This Row],[month]]/3,0)</f>
        <v>Q1</v>
      </c>
      <c r="T660" t="str">
        <f>CONCATENATE(Table1[[#This Row],[year]],"-",Table1[[#This Row],[Quarter]])</f>
        <v>2015-Q1</v>
      </c>
      <c r="U660" s="6" t="str">
        <f>IF(H659="","Pending",IF(Table1[[#This Row],[Days to ship]]&lt;Table1[[#This Row],[RequiredDate]],"On Time","Late"))</f>
        <v>On Time</v>
      </c>
      <c r="V660">
        <f>_xlfn.XLOOKUP(Table1[[#This Row],[orderID]],Table3[orderID],Table3[unitPrice])</f>
        <v>28.5</v>
      </c>
    </row>
    <row r="661" spans="1:22" x14ac:dyDescent="0.45">
      <c r="A661" s="3">
        <v>10907</v>
      </c>
      <c r="B661" s="6" t="s">
        <v>184</v>
      </c>
      <c r="C661" s="3">
        <v>6</v>
      </c>
      <c r="D661" s="6" t="str">
        <f>_xlfn.XLOOKUP(Table1[[#This Row],[EmployeeID]],Table4[employeeID],Table4[employeeName])</f>
        <v>Michael Suyama</v>
      </c>
      <c r="E661" s="1">
        <v>42060</v>
      </c>
      <c r="F661" s="1">
        <v>42088</v>
      </c>
      <c r="G661" s="1">
        <v>42062</v>
      </c>
      <c r="H661" s="3">
        <f>IF(Table1[[#This Row],[ShippedDate]]="","",IF(Table1[[#This Row],[OrderDate]]="","",Table1[[#This Row],[ShippedDate]]-Table1[[#This Row],[OrderDate]]))</f>
        <v>2</v>
      </c>
      <c r="I661" s="3">
        <v>3</v>
      </c>
      <c r="J661" s="2">
        <v>9.19</v>
      </c>
      <c r="K661" s="2">
        <f>SUMIF(order_details!A:A,Table1[[#This Row],[orderID]],order_details!F:F)</f>
        <v>108.5</v>
      </c>
      <c r="L661" s="9">
        <f>_xlfn.XLOOKUP(Table1[[#This Row],[orderID]],Table3[orderID],Table3[discount])</f>
        <v>0</v>
      </c>
      <c r="M661" s="2">
        <f>SUM(Table1[[#This Row],[Sales]],Table1[[#This Row],[freight]])</f>
        <v>117.69</v>
      </c>
      <c r="N661" s="3">
        <f>_xlfn.XLOOKUP(Table1[[#This Row],[orderID]],Table3[orderID],Table3[quantity])</f>
        <v>14</v>
      </c>
      <c r="O661" s="6" t="str">
        <f>_xlfn.XLOOKUP(Table1[[#This Row],[CustomerID]],customers!A:A,customers!B:B)</f>
        <v>Spécialités du monde</v>
      </c>
      <c r="P661" s="6" t="str">
        <f>_xlfn.XLOOKUP(Table1[[#This Row],[shipperID]],Table6[shipperID],Table6[companyName])</f>
        <v>Federal Shipping</v>
      </c>
      <c r="Q661">
        <f>YEAR(Table1[[#This Row],[OrderDate]])</f>
        <v>2015</v>
      </c>
      <c r="R661">
        <f>MONTH(Table1[[#This Row],[OrderDate]])</f>
        <v>2</v>
      </c>
      <c r="S661" t="str">
        <f>"Q"&amp;ROUNDUP(Table1[[#This Row],[month]]/3,0)</f>
        <v>Q1</v>
      </c>
      <c r="T661" t="str">
        <f>CONCATENATE(Table1[[#This Row],[year]],"-",Table1[[#This Row],[Quarter]])</f>
        <v>2015-Q1</v>
      </c>
      <c r="U661" s="6" t="str">
        <f>IF(H660="","Pending",IF(Table1[[#This Row],[Days to ship]]&lt;Table1[[#This Row],[RequiredDate]],"On Time","Late"))</f>
        <v>On Time</v>
      </c>
      <c r="V661">
        <f>_xlfn.XLOOKUP(Table1[[#This Row],[orderID]],Table3[orderID],Table3[unitPrice])</f>
        <v>7.75</v>
      </c>
    </row>
    <row r="662" spans="1:22" x14ac:dyDescent="0.45">
      <c r="A662" s="3">
        <v>10908</v>
      </c>
      <c r="B662" s="6" t="s">
        <v>167</v>
      </c>
      <c r="C662" s="3">
        <v>4</v>
      </c>
      <c r="D662" s="6" t="str">
        <f>_xlfn.XLOOKUP(Table1[[#This Row],[EmployeeID]],Table4[employeeID],Table4[employeeName])</f>
        <v>Margaret Peacock</v>
      </c>
      <c r="E662" s="1">
        <v>42061</v>
      </c>
      <c r="F662" s="1">
        <v>42089</v>
      </c>
      <c r="G662" s="1">
        <v>42069</v>
      </c>
      <c r="H662" s="3">
        <f>IF(Table1[[#This Row],[ShippedDate]]="","",IF(Table1[[#This Row],[OrderDate]]="","",Table1[[#This Row],[ShippedDate]]-Table1[[#This Row],[OrderDate]]))</f>
        <v>8</v>
      </c>
      <c r="I662" s="3">
        <v>2</v>
      </c>
      <c r="J662" s="2">
        <v>32.96</v>
      </c>
      <c r="K662" s="2">
        <f>SUMIF(order_details!A:A,Table1[[#This Row],[orderID]],order_details!F:F)</f>
        <v>663.1</v>
      </c>
      <c r="L662" s="9">
        <f>_xlfn.XLOOKUP(Table1[[#This Row],[orderID]],Table3[orderID],Table3[discount])</f>
        <v>0.05</v>
      </c>
      <c r="M662" s="2">
        <f>SUM(Table1[[#This Row],[Sales]],Table1[[#This Row],[freight]])</f>
        <v>696.06000000000006</v>
      </c>
      <c r="N662" s="3">
        <f>_xlfn.XLOOKUP(Table1[[#This Row],[orderID]],Table3[orderID],Table3[quantity])</f>
        <v>20</v>
      </c>
      <c r="O662" s="6" t="str">
        <f>_xlfn.XLOOKUP(Table1[[#This Row],[CustomerID]],customers!A:A,customers!B:B)</f>
        <v>Reggiani Caseifici</v>
      </c>
      <c r="P662" s="6" t="str">
        <f>_xlfn.XLOOKUP(Table1[[#This Row],[shipperID]],Table6[shipperID],Table6[companyName])</f>
        <v>United Package</v>
      </c>
      <c r="Q662">
        <f>YEAR(Table1[[#This Row],[OrderDate]])</f>
        <v>2015</v>
      </c>
      <c r="R662">
        <f>MONTH(Table1[[#This Row],[OrderDate]])</f>
        <v>2</v>
      </c>
      <c r="S662" t="str">
        <f>"Q"&amp;ROUNDUP(Table1[[#This Row],[month]]/3,0)</f>
        <v>Q1</v>
      </c>
      <c r="T662" t="str">
        <f>CONCATENATE(Table1[[#This Row],[year]],"-",Table1[[#This Row],[Quarter]])</f>
        <v>2015-Q1</v>
      </c>
      <c r="U662" s="6" t="str">
        <f>IF(H661="","Pending",IF(Table1[[#This Row],[Days to ship]]&lt;Table1[[#This Row],[RequiredDate]],"On Time","Late"))</f>
        <v>On Time</v>
      </c>
      <c r="V662">
        <f>_xlfn.XLOOKUP(Table1[[#This Row],[orderID]],Table3[orderID],Table3[unitPrice])</f>
        <v>30</v>
      </c>
    </row>
    <row r="663" spans="1:22" x14ac:dyDescent="0.45">
      <c r="A663" s="3">
        <v>10909</v>
      </c>
      <c r="B663" s="6" t="s">
        <v>199</v>
      </c>
      <c r="C663" s="3">
        <v>1</v>
      </c>
      <c r="D663" s="6" t="str">
        <f>_xlfn.XLOOKUP(Table1[[#This Row],[EmployeeID]],Table4[employeeID],Table4[employeeName])</f>
        <v>Nancy Davolio</v>
      </c>
      <c r="E663" s="1">
        <v>42061</v>
      </c>
      <c r="F663" s="1">
        <v>42089</v>
      </c>
      <c r="G663" s="1">
        <v>42073</v>
      </c>
      <c r="H663" s="3">
        <f>IF(Table1[[#This Row],[ShippedDate]]="","",IF(Table1[[#This Row],[OrderDate]]="","",Table1[[#This Row],[ShippedDate]]-Table1[[#This Row],[OrderDate]]))</f>
        <v>12</v>
      </c>
      <c r="I663" s="3">
        <v>2</v>
      </c>
      <c r="J663" s="2">
        <v>53.05</v>
      </c>
      <c r="K663" s="2">
        <f>SUMIF(order_details!A:A,Table1[[#This Row],[orderID]],order_details!F:F)</f>
        <v>670</v>
      </c>
      <c r="L663" s="9">
        <f>_xlfn.XLOOKUP(Table1[[#This Row],[orderID]],Table3[orderID],Table3[discount])</f>
        <v>0</v>
      </c>
      <c r="M663" s="2">
        <f>SUM(Table1[[#This Row],[Sales]],Table1[[#This Row],[freight]])</f>
        <v>723.05</v>
      </c>
      <c r="N663" s="3">
        <f>_xlfn.XLOOKUP(Table1[[#This Row],[orderID]],Table3[orderID],Table3[quantity])</f>
        <v>12</v>
      </c>
      <c r="O663" s="6" t="str">
        <f>_xlfn.XLOOKUP(Table1[[#This Row],[CustomerID]],customers!A:A,customers!B:B)</f>
        <v>Santé Gourmet</v>
      </c>
      <c r="P663" s="6" t="str">
        <f>_xlfn.XLOOKUP(Table1[[#This Row],[shipperID]],Table6[shipperID],Table6[companyName])</f>
        <v>United Package</v>
      </c>
      <c r="Q663">
        <f>YEAR(Table1[[#This Row],[OrderDate]])</f>
        <v>2015</v>
      </c>
      <c r="R663">
        <f>MONTH(Table1[[#This Row],[OrderDate]])</f>
        <v>2</v>
      </c>
      <c r="S663" t="str">
        <f>"Q"&amp;ROUNDUP(Table1[[#This Row],[month]]/3,0)</f>
        <v>Q1</v>
      </c>
      <c r="T663" t="str">
        <f>CONCATENATE(Table1[[#This Row],[year]],"-",Table1[[#This Row],[Quarter]])</f>
        <v>2015-Q1</v>
      </c>
      <c r="U663" s="6" t="str">
        <f>IF(H662="","Pending",IF(Table1[[#This Row],[Days to ship]]&lt;Table1[[#This Row],[RequiredDate]],"On Time","Late"))</f>
        <v>On Time</v>
      </c>
      <c r="V663">
        <f>_xlfn.XLOOKUP(Table1[[#This Row],[orderID]],Table3[orderID],Table3[unitPrice])</f>
        <v>30</v>
      </c>
    </row>
    <row r="664" spans="1:22" x14ac:dyDescent="0.45">
      <c r="A664" s="3">
        <v>10910</v>
      </c>
      <c r="B664" s="6" t="s">
        <v>204</v>
      </c>
      <c r="C664" s="3">
        <v>1</v>
      </c>
      <c r="D664" s="6" t="str">
        <f>_xlfn.XLOOKUP(Table1[[#This Row],[EmployeeID]],Table4[employeeID],Table4[employeeName])</f>
        <v>Nancy Davolio</v>
      </c>
      <c r="E664" s="1">
        <v>42061</v>
      </c>
      <c r="F664" s="1">
        <v>42089</v>
      </c>
      <c r="G664" s="1">
        <v>42067</v>
      </c>
      <c r="H664" s="3">
        <f>IF(Table1[[#This Row],[ShippedDate]]="","",IF(Table1[[#This Row],[OrderDate]]="","",Table1[[#This Row],[ShippedDate]]-Table1[[#This Row],[OrderDate]]))</f>
        <v>6</v>
      </c>
      <c r="I664" s="3">
        <v>3</v>
      </c>
      <c r="J664" s="2">
        <v>38.11</v>
      </c>
      <c r="K664" s="2">
        <f>SUMIF(order_details!A:A,Table1[[#This Row],[orderID]],order_details!F:F)</f>
        <v>452.9</v>
      </c>
      <c r="L664" s="9">
        <f>_xlfn.XLOOKUP(Table1[[#This Row],[orderID]],Table3[orderID],Table3[discount])</f>
        <v>0</v>
      </c>
      <c r="M664" s="2">
        <f>SUM(Table1[[#This Row],[Sales]],Table1[[#This Row],[freight]])</f>
        <v>491.01</v>
      </c>
      <c r="N664" s="3">
        <f>_xlfn.XLOOKUP(Table1[[#This Row],[orderID]],Table3[orderID],Table3[quantity])</f>
        <v>12</v>
      </c>
      <c r="O664" s="6" t="str">
        <f>_xlfn.XLOOKUP(Table1[[#This Row],[CustomerID]],customers!A:A,customers!B:B)</f>
        <v>Wilman Kala</v>
      </c>
      <c r="P664" s="6" t="str">
        <f>_xlfn.XLOOKUP(Table1[[#This Row],[shipperID]],Table6[shipperID],Table6[companyName])</f>
        <v>Federal Shipping</v>
      </c>
      <c r="Q664">
        <f>YEAR(Table1[[#This Row],[OrderDate]])</f>
        <v>2015</v>
      </c>
      <c r="R664">
        <f>MONTH(Table1[[#This Row],[OrderDate]])</f>
        <v>2</v>
      </c>
      <c r="S664" t="str">
        <f>"Q"&amp;ROUNDUP(Table1[[#This Row],[month]]/3,0)</f>
        <v>Q1</v>
      </c>
      <c r="T664" t="str">
        <f>CONCATENATE(Table1[[#This Row],[year]],"-",Table1[[#This Row],[Quarter]])</f>
        <v>2015-Q1</v>
      </c>
      <c r="U664" s="6" t="str">
        <f>IF(H663="","Pending",IF(Table1[[#This Row],[Days to ship]]&lt;Table1[[#This Row],[RequiredDate]],"On Time","Late"))</f>
        <v>On Time</v>
      </c>
      <c r="V664">
        <f>_xlfn.XLOOKUP(Table1[[#This Row],[orderID]],Table3[orderID],Table3[unitPrice])</f>
        <v>9.1999999999999993</v>
      </c>
    </row>
    <row r="665" spans="1:22" x14ac:dyDescent="0.45">
      <c r="A665" s="3">
        <v>10911</v>
      </c>
      <c r="B665" s="6" t="s">
        <v>189</v>
      </c>
      <c r="C665" s="3">
        <v>3</v>
      </c>
      <c r="D665" s="6" t="str">
        <f>_xlfn.XLOOKUP(Table1[[#This Row],[EmployeeID]],Table4[employeeID],Table4[employeeName])</f>
        <v>Janet Leverling</v>
      </c>
      <c r="E665" s="1">
        <v>42061</v>
      </c>
      <c r="F665" s="1">
        <v>42089</v>
      </c>
      <c r="G665" s="1">
        <v>42068</v>
      </c>
      <c r="H665" s="3">
        <f>IF(Table1[[#This Row],[ShippedDate]]="","",IF(Table1[[#This Row],[OrderDate]]="","",Table1[[#This Row],[ShippedDate]]-Table1[[#This Row],[OrderDate]]))</f>
        <v>7</v>
      </c>
      <c r="I665" s="3">
        <v>1</v>
      </c>
      <c r="J665" s="2">
        <v>38.19</v>
      </c>
      <c r="K665" s="2">
        <f>SUMIF(order_details!A:A,Table1[[#This Row],[orderID]],order_details!F:F)</f>
        <v>858</v>
      </c>
      <c r="L665" s="9">
        <f>_xlfn.XLOOKUP(Table1[[#This Row],[orderID]],Table3[orderID],Table3[discount])</f>
        <v>0</v>
      </c>
      <c r="M665" s="2">
        <f>SUM(Table1[[#This Row],[Sales]],Table1[[#This Row],[freight]])</f>
        <v>896.19</v>
      </c>
      <c r="N665" s="3">
        <f>_xlfn.XLOOKUP(Table1[[#This Row],[orderID]],Table3[orderID],Table3[quantity])</f>
        <v>10</v>
      </c>
      <c r="O665" s="6" t="str">
        <f>_xlfn.XLOOKUP(Table1[[#This Row],[CustomerID]],customers!A:A,customers!B:B)</f>
        <v>Godos Cocina Típica</v>
      </c>
      <c r="P665" s="6" t="str">
        <f>_xlfn.XLOOKUP(Table1[[#This Row],[shipperID]],Table6[shipperID],Table6[companyName])</f>
        <v>Speedy Express</v>
      </c>
      <c r="Q665">
        <f>YEAR(Table1[[#This Row],[OrderDate]])</f>
        <v>2015</v>
      </c>
      <c r="R665">
        <f>MONTH(Table1[[#This Row],[OrderDate]])</f>
        <v>2</v>
      </c>
      <c r="S665" t="str">
        <f>"Q"&amp;ROUNDUP(Table1[[#This Row],[month]]/3,0)</f>
        <v>Q1</v>
      </c>
      <c r="T665" t="str">
        <f>CONCATENATE(Table1[[#This Row],[year]],"-",Table1[[#This Row],[Quarter]])</f>
        <v>2015-Q1</v>
      </c>
      <c r="U665" s="6" t="str">
        <f>IF(H664="","Pending",IF(Table1[[#This Row],[Days to ship]]&lt;Table1[[#This Row],[RequiredDate]],"On Time","Late"))</f>
        <v>On Time</v>
      </c>
      <c r="V665">
        <f>_xlfn.XLOOKUP(Table1[[#This Row],[orderID]],Table3[orderID],Table3[unitPrice])</f>
        <v>18</v>
      </c>
    </row>
    <row r="666" spans="1:22" x14ac:dyDescent="0.45">
      <c r="A666" s="3">
        <v>10912</v>
      </c>
      <c r="B666" s="6" t="s">
        <v>166</v>
      </c>
      <c r="C666" s="3">
        <v>2</v>
      </c>
      <c r="D666" s="6" t="str">
        <f>_xlfn.XLOOKUP(Table1[[#This Row],[EmployeeID]],Table4[employeeID],Table4[employeeName])</f>
        <v>Andrew Fuller</v>
      </c>
      <c r="E666" s="1">
        <v>42061</v>
      </c>
      <c r="F666" s="1">
        <v>42089</v>
      </c>
      <c r="G666" s="1">
        <v>42081</v>
      </c>
      <c r="H666" s="3">
        <f>IF(Table1[[#This Row],[ShippedDate]]="","",IF(Table1[[#This Row],[OrderDate]]="","",Table1[[#This Row],[ShippedDate]]-Table1[[#This Row],[OrderDate]]))</f>
        <v>20</v>
      </c>
      <c r="I666" s="3">
        <v>2</v>
      </c>
      <c r="J666" s="2">
        <v>580.91</v>
      </c>
      <c r="K666" s="2">
        <f>SUMIF(order_details!A:A,Table1[[#This Row],[orderID]],order_details!F:F)</f>
        <v>6200.55</v>
      </c>
      <c r="L666" s="9">
        <f>_xlfn.XLOOKUP(Table1[[#This Row],[orderID]],Table3[orderID],Table3[discount])</f>
        <v>0.25</v>
      </c>
      <c r="M666" s="2">
        <f>SUM(Table1[[#This Row],[Sales]],Table1[[#This Row],[freight]])</f>
        <v>6781.46</v>
      </c>
      <c r="N666" s="3">
        <f>_xlfn.XLOOKUP(Table1[[#This Row],[orderID]],Table3[orderID],Table3[quantity])</f>
        <v>40</v>
      </c>
      <c r="O666" s="6" t="str">
        <f>_xlfn.XLOOKUP(Table1[[#This Row],[CustomerID]],customers!A:A,customers!B:B)</f>
        <v>Hungry Owl All-Night Grocers</v>
      </c>
      <c r="P666" s="6" t="str">
        <f>_xlfn.XLOOKUP(Table1[[#This Row],[shipperID]],Table6[shipperID],Table6[companyName])</f>
        <v>United Package</v>
      </c>
      <c r="Q666">
        <f>YEAR(Table1[[#This Row],[OrderDate]])</f>
        <v>2015</v>
      </c>
      <c r="R666">
        <f>MONTH(Table1[[#This Row],[OrderDate]])</f>
        <v>2</v>
      </c>
      <c r="S666" t="str">
        <f>"Q"&amp;ROUNDUP(Table1[[#This Row],[month]]/3,0)</f>
        <v>Q1</v>
      </c>
      <c r="T666" t="str">
        <f>CONCATENATE(Table1[[#This Row],[year]],"-",Table1[[#This Row],[Quarter]])</f>
        <v>2015-Q1</v>
      </c>
      <c r="U666" s="6" t="str">
        <f>IF(H665="","Pending",IF(Table1[[#This Row],[Days to ship]]&lt;Table1[[#This Row],[RequiredDate]],"On Time","Late"))</f>
        <v>On Time</v>
      </c>
      <c r="V666">
        <f>_xlfn.XLOOKUP(Table1[[#This Row],[orderID]],Table3[orderID],Table3[unitPrice])</f>
        <v>21</v>
      </c>
    </row>
    <row r="667" spans="1:22" x14ac:dyDescent="0.45">
      <c r="A667" s="3">
        <v>10913</v>
      </c>
      <c r="B667" s="6" t="s">
        <v>162</v>
      </c>
      <c r="C667" s="3">
        <v>4</v>
      </c>
      <c r="D667" s="6" t="str">
        <f>_xlfn.XLOOKUP(Table1[[#This Row],[EmployeeID]],Table4[employeeID],Table4[employeeName])</f>
        <v>Margaret Peacock</v>
      </c>
      <c r="E667" s="1">
        <v>42061</v>
      </c>
      <c r="F667" s="1">
        <v>42089</v>
      </c>
      <c r="G667" s="1">
        <v>42067</v>
      </c>
      <c r="H667" s="3">
        <f>IF(Table1[[#This Row],[ShippedDate]]="","",IF(Table1[[#This Row],[OrderDate]]="","",Table1[[#This Row],[ShippedDate]]-Table1[[#This Row],[OrderDate]]))</f>
        <v>6</v>
      </c>
      <c r="I667" s="3">
        <v>1</v>
      </c>
      <c r="J667" s="2">
        <v>33.049999999999997</v>
      </c>
      <c r="K667" s="2">
        <f>SUMIF(order_details!A:A,Table1[[#This Row],[orderID]],order_details!F:F)</f>
        <v>768.75</v>
      </c>
      <c r="L667" s="9">
        <f>_xlfn.XLOOKUP(Table1[[#This Row],[orderID]],Table3[orderID],Table3[discount])</f>
        <v>0.25</v>
      </c>
      <c r="M667" s="2">
        <f>SUM(Table1[[#This Row],[Sales]],Table1[[#This Row],[freight]])</f>
        <v>801.8</v>
      </c>
      <c r="N667" s="3">
        <f>_xlfn.XLOOKUP(Table1[[#This Row],[orderID]],Table3[orderID],Table3[quantity])</f>
        <v>30</v>
      </c>
      <c r="O667" s="6" t="str">
        <f>_xlfn.XLOOKUP(Table1[[#This Row],[CustomerID]],customers!A:A,customers!B:B)</f>
        <v>Queen Cozinha</v>
      </c>
      <c r="P667" s="6" t="str">
        <f>_xlfn.XLOOKUP(Table1[[#This Row],[shipperID]],Table6[shipperID],Table6[companyName])</f>
        <v>Speedy Express</v>
      </c>
      <c r="Q667">
        <f>YEAR(Table1[[#This Row],[OrderDate]])</f>
        <v>2015</v>
      </c>
      <c r="R667">
        <f>MONTH(Table1[[#This Row],[OrderDate]])</f>
        <v>2</v>
      </c>
      <c r="S667" t="str">
        <f>"Q"&amp;ROUNDUP(Table1[[#This Row],[month]]/3,0)</f>
        <v>Q1</v>
      </c>
      <c r="T667" t="str">
        <f>CONCATENATE(Table1[[#This Row],[year]],"-",Table1[[#This Row],[Quarter]])</f>
        <v>2015-Q1</v>
      </c>
      <c r="U667" s="6" t="str">
        <f>IF(H666="","Pending",IF(Table1[[#This Row],[Days to ship]]&lt;Table1[[#This Row],[RequiredDate]],"On Time","Late"))</f>
        <v>On Time</v>
      </c>
      <c r="V667">
        <f>_xlfn.XLOOKUP(Table1[[#This Row],[orderID]],Table3[orderID],Table3[unitPrice])</f>
        <v>22</v>
      </c>
    </row>
    <row r="668" spans="1:22" x14ac:dyDescent="0.45">
      <c r="A668" s="3">
        <v>10914</v>
      </c>
      <c r="B668" s="6" t="s">
        <v>162</v>
      </c>
      <c r="C668" s="3">
        <v>6</v>
      </c>
      <c r="D668" s="6" t="str">
        <f>_xlfn.XLOOKUP(Table1[[#This Row],[EmployeeID]],Table4[employeeID],Table4[employeeName])</f>
        <v>Michael Suyama</v>
      </c>
      <c r="E668" s="1">
        <v>42062</v>
      </c>
      <c r="F668" s="1">
        <v>42090</v>
      </c>
      <c r="G668" s="1">
        <v>42065</v>
      </c>
      <c r="H668" s="3">
        <f>IF(Table1[[#This Row],[ShippedDate]]="","",IF(Table1[[#This Row],[OrderDate]]="","",Table1[[#This Row],[ShippedDate]]-Table1[[#This Row],[OrderDate]]))</f>
        <v>3</v>
      </c>
      <c r="I668" s="3">
        <v>1</v>
      </c>
      <c r="J668" s="2">
        <v>21.19</v>
      </c>
      <c r="K668" s="2">
        <f>SUMIF(order_details!A:A,Table1[[#This Row],[orderID]],order_details!F:F)</f>
        <v>537.5</v>
      </c>
      <c r="L668" s="9">
        <f>_xlfn.XLOOKUP(Table1[[#This Row],[orderID]],Table3[orderID],Table3[discount])</f>
        <v>0</v>
      </c>
      <c r="M668" s="2">
        <f>SUM(Table1[[#This Row],[Sales]],Table1[[#This Row],[freight]])</f>
        <v>558.69000000000005</v>
      </c>
      <c r="N668" s="3">
        <f>_xlfn.XLOOKUP(Table1[[#This Row],[orderID]],Table3[orderID],Table3[quantity])</f>
        <v>25</v>
      </c>
      <c r="O668" s="6" t="str">
        <f>_xlfn.XLOOKUP(Table1[[#This Row],[CustomerID]],customers!A:A,customers!B:B)</f>
        <v>Queen Cozinha</v>
      </c>
      <c r="P668" s="6" t="str">
        <f>_xlfn.XLOOKUP(Table1[[#This Row],[shipperID]],Table6[shipperID],Table6[companyName])</f>
        <v>Speedy Express</v>
      </c>
      <c r="Q668">
        <f>YEAR(Table1[[#This Row],[OrderDate]])</f>
        <v>2015</v>
      </c>
      <c r="R668">
        <f>MONTH(Table1[[#This Row],[OrderDate]])</f>
        <v>2</v>
      </c>
      <c r="S668" t="str">
        <f>"Q"&amp;ROUNDUP(Table1[[#This Row],[month]]/3,0)</f>
        <v>Q1</v>
      </c>
      <c r="T668" t="str">
        <f>CONCATENATE(Table1[[#This Row],[year]],"-",Table1[[#This Row],[Quarter]])</f>
        <v>2015-Q1</v>
      </c>
      <c r="U668" s="6" t="str">
        <f>IF(H667="","Pending",IF(Table1[[#This Row],[Days to ship]]&lt;Table1[[#This Row],[RequiredDate]],"On Time","Late"))</f>
        <v>On Time</v>
      </c>
      <c r="V668">
        <f>_xlfn.XLOOKUP(Table1[[#This Row],[orderID]],Table3[orderID],Table3[unitPrice])</f>
        <v>21.5</v>
      </c>
    </row>
    <row r="669" spans="1:22" x14ac:dyDescent="0.45">
      <c r="A669" s="3">
        <v>10915</v>
      </c>
      <c r="B669" s="6" t="s">
        <v>161</v>
      </c>
      <c r="C669" s="3">
        <v>2</v>
      </c>
      <c r="D669" s="6" t="str">
        <f>_xlfn.XLOOKUP(Table1[[#This Row],[EmployeeID]],Table4[employeeID],Table4[employeeName])</f>
        <v>Andrew Fuller</v>
      </c>
      <c r="E669" s="1">
        <v>42062</v>
      </c>
      <c r="F669" s="1">
        <v>42090</v>
      </c>
      <c r="G669" s="1">
        <v>42065</v>
      </c>
      <c r="H669" s="3">
        <f>IF(Table1[[#This Row],[ShippedDate]]="","",IF(Table1[[#This Row],[OrderDate]]="","",Table1[[#This Row],[ShippedDate]]-Table1[[#This Row],[OrderDate]]))</f>
        <v>3</v>
      </c>
      <c r="I669" s="3">
        <v>2</v>
      </c>
      <c r="J669" s="2">
        <v>3.51</v>
      </c>
      <c r="K669" s="2">
        <f>SUMIF(order_details!A:A,Table1[[#This Row],[orderID]],order_details!F:F)</f>
        <v>539.5</v>
      </c>
      <c r="L669" s="9">
        <f>_xlfn.XLOOKUP(Table1[[#This Row],[orderID]],Table3[orderID],Table3[discount])</f>
        <v>0</v>
      </c>
      <c r="M669" s="2">
        <f>SUM(Table1[[#This Row],[Sales]],Table1[[#This Row],[freight]])</f>
        <v>543.01</v>
      </c>
      <c r="N669" s="3">
        <f>_xlfn.XLOOKUP(Table1[[#This Row],[orderID]],Table3[orderID],Table3[quantity])</f>
        <v>10</v>
      </c>
      <c r="O669" s="6" t="str">
        <f>_xlfn.XLOOKUP(Table1[[#This Row],[CustomerID]],customers!A:A,customers!B:B)</f>
        <v>Tortuga Restaurante</v>
      </c>
      <c r="P669" s="6" t="str">
        <f>_xlfn.XLOOKUP(Table1[[#This Row],[shipperID]],Table6[shipperID],Table6[companyName])</f>
        <v>United Package</v>
      </c>
      <c r="Q669">
        <f>YEAR(Table1[[#This Row],[OrderDate]])</f>
        <v>2015</v>
      </c>
      <c r="R669">
        <f>MONTH(Table1[[#This Row],[OrderDate]])</f>
        <v>2</v>
      </c>
      <c r="S669" t="str">
        <f>"Q"&amp;ROUNDUP(Table1[[#This Row],[month]]/3,0)</f>
        <v>Q1</v>
      </c>
      <c r="T669" t="str">
        <f>CONCATENATE(Table1[[#This Row],[year]],"-",Table1[[#This Row],[Quarter]])</f>
        <v>2015-Q1</v>
      </c>
      <c r="U669" s="6" t="str">
        <f>IF(H668="","Pending",IF(Table1[[#This Row],[Days to ship]]&lt;Table1[[#This Row],[RequiredDate]],"On Time","Late"))</f>
        <v>On Time</v>
      </c>
      <c r="V669">
        <f>_xlfn.XLOOKUP(Table1[[#This Row],[orderID]],Table3[orderID],Table3[unitPrice])</f>
        <v>39</v>
      </c>
    </row>
    <row r="670" spans="1:22" x14ac:dyDescent="0.45">
      <c r="A670" s="3">
        <v>10916</v>
      </c>
      <c r="B670" s="6" t="s">
        <v>196</v>
      </c>
      <c r="C670" s="3">
        <v>1</v>
      </c>
      <c r="D670" s="6" t="str">
        <f>_xlfn.XLOOKUP(Table1[[#This Row],[EmployeeID]],Table4[employeeID],Table4[employeeName])</f>
        <v>Nancy Davolio</v>
      </c>
      <c r="E670" s="1">
        <v>42062</v>
      </c>
      <c r="F670" s="1">
        <v>42090</v>
      </c>
      <c r="G670" s="1">
        <v>42072</v>
      </c>
      <c r="H670" s="3">
        <f>IF(Table1[[#This Row],[ShippedDate]]="","",IF(Table1[[#This Row],[OrderDate]]="","",Table1[[#This Row],[ShippedDate]]-Table1[[#This Row],[OrderDate]]))</f>
        <v>10</v>
      </c>
      <c r="I670" s="3">
        <v>2</v>
      </c>
      <c r="J670" s="2">
        <v>63.77</v>
      </c>
      <c r="K670" s="2">
        <f>SUMIF(order_details!A:A,Table1[[#This Row],[orderID]],order_details!F:F)</f>
        <v>686.7</v>
      </c>
      <c r="L670" s="9">
        <f>_xlfn.XLOOKUP(Table1[[#This Row],[orderID]],Table3[orderID],Table3[discount])</f>
        <v>0</v>
      </c>
      <c r="M670" s="2">
        <f>SUM(Table1[[#This Row],[Sales]],Table1[[#This Row],[freight]])</f>
        <v>750.47</v>
      </c>
      <c r="N670" s="3">
        <f>_xlfn.XLOOKUP(Table1[[#This Row],[orderID]],Table3[orderID],Table3[quantity])</f>
        <v>6</v>
      </c>
      <c r="O670" s="6" t="str">
        <f>_xlfn.XLOOKUP(Table1[[#This Row],[CustomerID]],customers!A:A,customers!B:B)</f>
        <v>Rancho grande</v>
      </c>
      <c r="P670" s="6" t="str">
        <f>_xlfn.XLOOKUP(Table1[[#This Row],[shipperID]],Table6[shipperID],Table6[companyName])</f>
        <v>United Package</v>
      </c>
      <c r="Q670">
        <f>YEAR(Table1[[#This Row],[OrderDate]])</f>
        <v>2015</v>
      </c>
      <c r="R670">
        <f>MONTH(Table1[[#This Row],[OrderDate]])</f>
        <v>2</v>
      </c>
      <c r="S670" t="str">
        <f>"Q"&amp;ROUNDUP(Table1[[#This Row],[month]]/3,0)</f>
        <v>Q1</v>
      </c>
      <c r="T670" t="str">
        <f>CONCATENATE(Table1[[#This Row],[year]],"-",Table1[[#This Row],[Quarter]])</f>
        <v>2015-Q1</v>
      </c>
      <c r="U670" s="6" t="str">
        <f>IF(H669="","Pending",IF(Table1[[#This Row],[Days to ship]]&lt;Table1[[#This Row],[RequiredDate]],"On Time","Late"))</f>
        <v>On Time</v>
      </c>
      <c r="V670">
        <f>_xlfn.XLOOKUP(Table1[[#This Row],[orderID]],Table3[orderID],Table3[unitPrice])</f>
        <v>17.45</v>
      </c>
    </row>
    <row r="671" spans="1:22" x14ac:dyDescent="0.45">
      <c r="A671" s="3">
        <v>10917</v>
      </c>
      <c r="B671" s="6" t="s">
        <v>200</v>
      </c>
      <c r="C671" s="3">
        <v>4</v>
      </c>
      <c r="D671" s="6" t="str">
        <f>_xlfn.XLOOKUP(Table1[[#This Row],[EmployeeID]],Table4[employeeID],Table4[employeeName])</f>
        <v>Margaret Peacock</v>
      </c>
      <c r="E671" s="1">
        <v>42065</v>
      </c>
      <c r="F671" s="1">
        <v>42093</v>
      </c>
      <c r="G671" s="1">
        <v>42074</v>
      </c>
      <c r="H671" s="3">
        <f>IF(Table1[[#This Row],[ShippedDate]]="","",IF(Table1[[#This Row],[OrderDate]]="","",Table1[[#This Row],[ShippedDate]]-Table1[[#This Row],[OrderDate]]))</f>
        <v>9</v>
      </c>
      <c r="I671" s="3">
        <v>2</v>
      </c>
      <c r="J671" s="2">
        <v>8.2899999999999991</v>
      </c>
      <c r="K671" s="2">
        <f>SUMIF(order_details!A:A,Table1[[#This Row],[orderID]],order_details!F:F)</f>
        <v>365.89</v>
      </c>
      <c r="L671" s="9">
        <f>_xlfn.XLOOKUP(Table1[[#This Row],[orderID]],Table3[orderID],Table3[discount])</f>
        <v>0</v>
      </c>
      <c r="M671" s="2">
        <f>SUM(Table1[[#This Row],[Sales]],Table1[[#This Row],[freight]])</f>
        <v>374.18</v>
      </c>
      <c r="N671" s="3">
        <f>_xlfn.XLOOKUP(Table1[[#This Row],[orderID]],Table3[orderID],Table3[quantity])</f>
        <v>1</v>
      </c>
      <c r="O671" s="6" t="str">
        <f>_xlfn.XLOOKUP(Table1[[#This Row],[CustomerID]],customers!A:A,customers!B:B)</f>
        <v>Romero y tomillo</v>
      </c>
      <c r="P671" s="6" t="str">
        <f>_xlfn.XLOOKUP(Table1[[#This Row],[shipperID]],Table6[shipperID],Table6[companyName])</f>
        <v>United Package</v>
      </c>
      <c r="Q671">
        <f>YEAR(Table1[[#This Row],[OrderDate]])</f>
        <v>2015</v>
      </c>
      <c r="R671">
        <f>MONTH(Table1[[#This Row],[OrderDate]])</f>
        <v>3</v>
      </c>
      <c r="S671" t="str">
        <f>"Q"&amp;ROUNDUP(Table1[[#This Row],[month]]/3,0)</f>
        <v>Q1</v>
      </c>
      <c r="T671" t="str">
        <f>CONCATENATE(Table1[[#This Row],[year]],"-",Table1[[#This Row],[Quarter]])</f>
        <v>2015-Q1</v>
      </c>
      <c r="U671" s="6" t="str">
        <f>IF(H670="","Pending",IF(Table1[[#This Row],[Days to ship]]&lt;Table1[[#This Row],[RequiredDate]],"On Time","Late"))</f>
        <v>On Time</v>
      </c>
      <c r="V671">
        <f>_xlfn.XLOOKUP(Table1[[#This Row],[orderID]],Table3[orderID],Table3[unitPrice])</f>
        <v>25.89</v>
      </c>
    </row>
    <row r="672" spans="1:22" x14ac:dyDescent="0.45">
      <c r="A672" s="3">
        <v>10918</v>
      </c>
      <c r="B672" s="6" t="s">
        <v>181</v>
      </c>
      <c r="C672" s="3">
        <v>3</v>
      </c>
      <c r="D672" s="6" t="str">
        <f>_xlfn.XLOOKUP(Table1[[#This Row],[EmployeeID]],Table4[employeeID],Table4[employeeName])</f>
        <v>Janet Leverling</v>
      </c>
      <c r="E672" s="1">
        <v>42065</v>
      </c>
      <c r="F672" s="1">
        <v>42093</v>
      </c>
      <c r="G672" s="1">
        <v>42074</v>
      </c>
      <c r="H672" s="3">
        <f>IF(Table1[[#This Row],[ShippedDate]]="","",IF(Table1[[#This Row],[OrderDate]]="","",Table1[[#This Row],[ShippedDate]]-Table1[[#This Row],[OrderDate]]))</f>
        <v>9</v>
      </c>
      <c r="I672" s="3">
        <v>3</v>
      </c>
      <c r="J672" s="2">
        <v>48.83</v>
      </c>
      <c r="K672" s="2">
        <f>SUMIF(order_details!A:A,Table1[[#This Row],[orderID]],order_details!F:F)</f>
        <v>1447.5</v>
      </c>
      <c r="L672" s="9">
        <f>_xlfn.XLOOKUP(Table1[[#This Row],[orderID]],Table3[orderID],Table3[discount])</f>
        <v>0.25</v>
      </c>
      <c r="M672" s="2">
        <f>SUM(Table1[[#This Row],[Sales]],Table1[[#This Row],[freight]])</f>
        <v>1496.33</v>
      </c>
      <c r="N672" s="3">
        <f>_xlfn.XLOOKUP(Table1[[#This Row],[orderID]],Table3[orderID],Table3[quantity])</f>
        <v>60</v>
      </c>
      <c r="O672" s="6" t="str">
        <f>_xlfn.XLOOKUP(Table1[[#This Row],[CustomerID]],customers!A:A,customers!B:B)</f>
        <v>Bottom-Dollar Markets</v>
      </c>
      <c r="P672" s="6" t="str">
        <f>_xlfn.XLOOKUP(Table1[[#This Row],[shipperID]],Table6[shipperID],Table6[companyName])</f>
        <v>Federal Shipping</v>
      </c>
      <c r="Q672">
        <f>YEAR(Table1[[#This Row],[OrderDate]])</f>
        <v>2015</v>
      </c>
      <c r="R672">
        <f>MONTH(Table1[[#This Row],[OrderDate]])</f>
        <v>3</v>
      </c>
      <c r="S672" t="str">
        <f>"Q"&amp;ROUNDUP(Table1[[#This Row],[month]]/3,0)</f>
        <v>Q1</v>
      </c>
      <c r="T672" t="str">
        <f>CONCATENATE(Table1[[#This Row],[year]],"-",Table1[[#This Row],[Quarter]])</f>
        <v>2015-Q1</v>
      </c>
      <c r="U672" s="6" t="str">
        <f>IF(H671="","Pending",IF(Table1[[#This Row],[Days to ship]]&lt;Table1[[#This Row],[RequiredDate]],"On Time","Late"))</f>
        <v>On Time</v>
      </c>
      <c r="V672">
        <f>_xlfn.XLOOKUP(Table1[[#This Row],[orderID]],Table3[orderID],Table3[unitPrice])</f>
        <v>18</v>
      </c>
    </row>
    <row r="673" spans="1:22" x14ac:dyDescent="0.45">
      <c r="A673" s="3">
        <v>10919</v>
      </c>
      <c r="B673" s="6" t="s">
        <v>187</v>
      </c>
      <c r="C673" s="3">
        <v>2</v>
      </c>
      <c r="D673" s="6" t="str">
        <f>_xlfn.XLOOKUP(Table1[[#This Row],[EmployeeID]],Table4[employeeID],Table4[employeeName])</f>
        <v>Andrew Fuller</v>
      </c>
      <c r="E673" s="1">
        <v>42065</v>
      </c>
      <c r="F673" s="1">
        <v>42093</v>
      </c>
      <c r="G673" s="1">
        <v>42067</v>
      </c>
      <c r="H673" s="3">
        <f>IF(Table1[[#This Row],[ShippedDate]]="","",IF(Table1[[#This Row],[OrderDate]]="","",Table1[[#This Row],[ShippedDate]]-Table1[[#This Row],[OrderDate]]))</f>
        <v>2</v>
      </c>
      <c r="I673" s="3">
        <v>2</v>
      </c>
      <c r="J673" s="2">
        <v>19.8</v>
      </c>
      <c r="K673" s="2">
        <f>SUMIF(order_details!A:A,Table1[[#This Row],[orderID]],order_details!F:F)</f>
        <v>1122.8</v>
      </c>
      <c r="L673" s="9">
        <f>_xlfn.XLOOKUP(Table1[[#This Row],[orderID]],Table3[orderID],Table3[discount])</f>
        <v>0</v>
      </c>
      <c r="M673" s="2">
        <f>SUM(Table1[[#This Row],[Sales]],Table1[[#This Row],[freight]])</f>
        <v>1142.5999999999999</v>
      </c>
      <c r="N673" s="3">
        <f>_xlfn.XLOOKUP(Table1[[#This Row],[orderID]],Table3[orderID],Table3[quantity])</f>
        <v>24</v>
      </c>
      <c r="O673" s="6" t="str">
        <f>_xlfn.XLOOKUP(Table1[[#This Row],[CustomerID]],customers!A:A,customers!B:B)</f>
        <v>LINO-Delicateses</v>
      </c>
      <c r="P673" s="6" t="str">
        <f>_xlfn.XLOOKUP(Table1[[#This Row],[shipperID]],Table6[shipperID],Table6[companyName])</f>
        <v>United Package</v>
      </c>
      <c r="Q673">
        <f>YEAR(Table1[[#This Row],[OrderDate]])</f>
        <v>2015</v>
      </c>
      <c r="R673">
        <f>MONTH(Table1[[#This Row],[OrderDate]])</f>
        <v>3</v>
      </c>
      <c r="S673" t="str">
        <f>"Q"&amp;ROUNDUP(Table1[[#This Row],[month]]/3,0)</f>
        <v>Q1</v>
      </c>
      <c r="T673" t="str">
        <f>CONCATENATE(Table1[[#This Row],[year]],"-",Table1[[#This Row],[Quarter]])</f>
        <v>2015-Q1</v>
      </c>
      <c r="U673" s="6" t="str">
        <f>IF(H672="","Pending",IF(Table1[[#This Row],[Days to ship]]&lt;Table1[[#This Row],[RequiredDate]],"On Time","Late"))</f>
        <v>On Time</v>
      </c>
      <c r="V673">
        <f>_xlfn.XLOOKUP(Table1[[#This Row],[orderID]],Table3[orderID],Table3[unitPrice])</f>
        <v>17.45</v>
      </c>
    </row>
    <row r="674" spans="1:22" x14ac:dyDescent="0.45">
      <c r="A674" s="3">
        <v>10920</v>
      </c>
      <c r="B674" s="6" t="s">
        <v>198</v>
      </c>
      <c r="C674" s="3">
        <v>4</v>
      </c>
      <c r="D674" s="6" t="str">
        <f>_xlfn.XLOOKUP(Table1[[#This Row],[EmployeeID]],Table4[employeeID],Table4[employeeName])</f>
        <v>Margaret Peacock</v>
      </c>
      <c r="E674" s="1">
        <v>42066</v>
      </c>
      <c r="F674" s="1">
        <v>42094</v>
      </c>
      <c r="G674" s="1">
        <v>42072</v>
      </c>
      <c r="H674" s="3">
        <f>IF(Table1[[#This Row],[ShippedDate]]="","",IF(Table1[[#This Row],[OrderDate]]="","",Table1[[#This Row],[ShippedDate]]-Table1[[#This Row],[OrderDate]]))</f>
        <v>6</v>
      </c>
      <c r="I674" s="3">
        <v>2</v>
      </c>
      <c r="J674" s="2">
        <v>29.61</v>
      </c>
      <c r="K674" s="2">
        <f>SUMIF(order_details!A:A,Table1[[#This Row],[orderID]],order_details!F:F)</f>
        <v>390</v>
      </c>
      <c r="L674" s="9">
        <f>_xlfn.XLOOKUP(Table1[[#This Row],[orderID]],Table3[orderID],Table3[discount])</f>
        <v>0</v>
      </c>
      <c r="M674" s="2">
        <f>SUM(Table1[[#This Row],[Sales]],Table1[[#This Row],[freight]])</f>
        <v>419.61</v>
      </c>
      <c r="N674" s="3">
        <f>_xlfn.XLOOKUP(Table1[[#This Row],[orderID]],Table3[orderID],Table3[quantity])</f>
        <v>24</v>
      </c>
      <c r="O674" s="6" t="str">
        <f>_xlfn.XLOOKUP(Table1[[#This Row],[CustomerID]],customers!A:A,customers!B:B)</f>
        <v>Around the Horn</v>
      </c>
      <c r="P674" s="6" t="str">
        <f>_xlfn.XLOOKUP(Table1[[#This Row],[shipperID]],Table6[shipperID],Table6[companyName])</f>
        <v>United Package</v>
      </c>
      <c r="Q674">
        <f>YEAR(Table1[[#This Row],[OrderDate]])</f>
        <v>2015</v>
      </c>
      <c r="R674">
        <f>MONTH(Table1[[#This Row],[OrderDate]])</f>
        <v>3</v>
      </c>
      <c r="S674" t="str">
        <f>"Q"&amp;ROUNDUP(Table1[[#This Row],[month]]/3,0)</f>
        <v>Q1</v>
      </c>
      <c r="T674" t="str">
        <f>CONCATENATE(Table1[[#This Row],[year]],"-",Table1[[#This Row],[Quarter]])</f>
        <v>2015-Q1</v>
      </c>
      <c r="U674" s="6" t="str">
        <f>IF(H673="","Pending",IF(Table1[[#This Row],[Days to ship]]&lt;Table1[[#This Row],[RequiredDate]],"On Time","Late"))</f>
        <v>On Time</v>
      </c>
      <c r="V674">
        <f>_xlfn.XLOOKUP(Table1[[#This Row],[orderID]],Table3[orderID],Table3[unitPrice])</f>
        <v>16.25</v>
      </c>
    </row>
    <row r="675" spans="1:22" x14ac:dyDescent="0.45">
      <c r="A675" s="3">
        <v>10921</v>
      </c>
      <c r="B675" s="6" t="s">
        <v>207</v>
      </c>
      <c r="C675" s="3">
        <v>1</v>
      </c>
      <c r="D675" s="6" t="str">
        <f>_xlfn.XLOOKUP(Table1[[#This Row],[EmployeeID]],Table4[employeeID],Table4[employeeName])</f>
        <v>Nancy Davolio</v>
      </c>
      <c r="E675" s="1">
        <v>42066</v>
      </c>
      <c r="F675" s="1">
        <v>42108</v>
      </c>
      <c r="G675" s="1">
        <v>42072</v>
      </c>
      <c r="H675" s="3">
        <f>IF(Table1[[#This Row],[ShippedDate]]="","",IF(Table1[[#This Row],[OrderDate]]="","",Table1[[#This Row],[ShippedDate]]-Table1[[#This Row],[OrderDate]]))</f>
        <v>6</v>
      </c>
      <c r="I675" s="3">
        <v>1</v>
      </c>
      <c r="J675" s="2">
        <v>176.48</v>
      </c>
      <c r="K675" s="2">
        <f>SUMIF(order_details!A:A,Table1[[#This Row],[orderID]],order_details!F:F)</f>
        <v>1936</v>
      </c>
      <c r="L675" s="9">
        <f>_xlfn.XLOOKUP(Table1[[#This Row],[orderID]],Table3[orderID],Table3[discount])</f>
        <v>0</v>
      </c>
      <c r="M675" s="2">
        <f>SUM(Table1[[#This Row],[Sales]],Table1[[#This Row],[freight]])</f>
        <v>2112.48</v>
      </c>
      <c r="N675" s="3">
        <f>_xlfn.XLOOKUP(Table1[[#This Row],[orderID]],Table3[orderID],Table3[quantity])</f>
        <v>10</v>
      </c>
      <c r="O675" s="6" t="str">
        <f>_xlfn.XLOOKUP(Table1[[#This Row],[CustomerID]],customers!A:A,customers!B:B)</f>
        <v>Vaffeljernet</v>
      </c>
      <c r="P675" s="6" t="str">
        <f>_xlfn.XLOOKUP(Table1[[#This Row],[shipperID]],Table6[shipperID],Table6[companyName])</f>
        <v>Speedy Express</v>
      </c>
      <c r="Q675">
        <f>YEAR(Table1[[#This Row],[OrderDate]])</f>
        <v>2015</v>
      </c>
      <c r="R675">
        <f>MONTH(Table1[[#This Row],[OrderDate]])</f>
        <v>3</v>
      </c>
      <c r="S675" t="str">
        <f>"Q"&amp;ROUNDUP(Table1[[#This Row],[month]]/3,0)</f>
        <v>Q1</v>
      </c>
      <c r="T675" t="str">
        <f>CONCATENATE(Table1[[#This Row],[year]],"-",Table1[[#This Row],[Quarter]])</f>
        <v>2015-Q1</v>
      </c>
      <c r="U675" s="6" t="str">
        <f>IF(H674="","Pending",IF(Table1[[#This Row],[Days to ship]]&lt;Table1[[#This Row],[RequiredDate]],"On Time","Late"))</f>
        <v>On Time</v>
      </c>
      <c r="V675">
        <f>_xlfn.XLOOKUP(Table1[[#This Row],[orderID]],Table3[orderID],Table3[unitPrice])</f>
        <v>18</v>
      </c>
    </row>
    <row r="676" spans="1:22" x14ac:dyDescent="0.45">
      <c r="A676" s="3">
        <v>10922</v>
      </c>
      <c r="B676" s="6" t="s">
        <v>177</v>
      </c>
      <c r="C676" s="3">
        <v>5</v>
      </c>
      <c r="D676" s="6" t="str">
        <f>_xlfn.XLOOKUP(Table1[[#This Row],[EmployeeID]],Table4[employeeID],Table4[employeeName])</f>
        <v>Steven Buchanan</v>
      </c>
      <c r="E676" s="1">
        <v>42066</v>
      </c>
      <c r="F676" s="1">
        <v>42094</v>
      </c>
      <c r="G676" s="1">
        <v>42068</v>
      </c>
      <c r="H676" s="3">
        <f>IF(Table1[[#This Row],[ShippedDate]]="","",IF(Table1[[#This Row],[OrderDate]]="","",Table1[[#This Row],[ShippedDate]]-Table1[[#This Row],[OrderDate]]))</f>
        <v>2</v>
      </c>
      <c r="I676" s="3">
        <v>3</v>
      </c>
      <c r="J676" s="2">
        <v>62.74</v>
      </c>
      <c r="K676" s="2">
        <f>SUMIF(order_details!A:A,Table1[[#This Row],[orderID]],order_details!F:F)</f>
        <v>742.5</v>
      </c>
      <c r="L676" s="9">
        <f>_xlfn.XLOOKUP(Table1[[#This Row],[orderID]],Table3[orderID],Table3[discount])</f>
        <v>0</v>
      </c>
      <c r="M676" s="2">
        <f>SUM(Table1[[#This Row],[Sales]],Table1[[#This Row],[freight]])</f>
        <v>805.24</v>
      </c>
      <c r="N676" s="3">
        <f>_xlfn.XLOOKUP(Table1[[#This Row],[orderID]],Table3[orderID],Table3[quantity])</f>
        <v>15</v>
      </c>
      <c r="O676" s="6" t="str">
        <f>_xlfn.XLOOKUP(Table1[[#This Row],[CustomerID]],customers!A:A,customers!B:B)</f>
        <v>Hanari Carnes</v>
      </c>
      <c r="P676" s="6" t="str">
        <f>_xlfn.XLOOKUP(Table1[[#This Row],[shipperID]],Table6[shipperID],Table6[companyName])</f>
        <v>Federal Shipping</v>
      </c>
      <c r="Q676">
        <f>YEAR(Table1[[#This Row],[OrderDate]])</f>
        <v>2015</v>
      </c>
      <c r="R676">
        <f>MONTH(Table1[[#This Row],[OrderDate]])</f>
        <v>3</v>
      </c>
      <c r="S676" t="str">
        <f>"Q"&amp;ROUNDUP(Table1[[#This Row],[month]]/3,0)</f>
        <v>Q1</v>
      </c>
      <c r="T676" t="str">
        <f>CONCATENATE(Table1[[#This Row],[year]],"-",Table1[[#This Row],[Quarter]])</f>
        <v>2015-Q1</v>
      </c>
      <c r="U676" s="6" t="str">
        <f>IF(H675="","Pending",IF(Table1[[#This Row],[Days to ship]]&lt;Table1[[#This Row],[RequiredDate]],"On Time","Late"))</f>
        <v>On Time</v>
      </c>
      <c r="V676">
        <f>_xlfn.XLOOKUP(Table1[[#This Row],[orderID]],Table3[orderID],Table3[unitPrice])</f>
        <v>39</v>
      </c>
    </row>
    <row r="677" spans="1:22" x14ac:dyDescent="0.45">
      <c r="A677" s="3">
        <v>10923</v>
      </c>
      <c r="B677" s="6" t="s">
        <v>178</v>
      </c>
      <c r="C677" s="3">
        <v>7</v>
      </c>
      <c r="D677" s="6" t="str">
        <f>_xlfn.XLOOKUP(Table1[[#This Row],[EmployeeID]],Table4[employeeID],Table4[employeeName])</f>
        <v>Robert King</v>
      </c>
      <c r="E677" s="1">
        <v>42066</v>
      </c>
      <c r="F677" s="1">
        <v>42108</v>
      </c>
      <c r="G677" s="1">
        <v>42076</v>
      </c>
      <c r="H677" s="3">
        <f>IF(Table1[[#This Row],[ShippedDate]]="","",IF(Table1[[#This Row],[OrderDate]]="","",Table1[[#This Row],[ShippedDate]]-Table1[[#This Row],[OrderDate]]))</f>
        <v>10</v>
      </c>
      <c r="I677" s="3">
        <v>3</v>
      </c>
      <c r="J677" s="2">
        <v>68.260000000000005</v>
      </c>
      <c r="K677" s="2">
        <f>SUMIF(order_details!A:A,Table1[[#This Row],[orderID]],order_details!F:F)</f>
        <v>748.8</v>
      </c>
      <c r="L677" s="9">
        <f>_xlfn.XLOOKUP(Table1[[#This Row],[orderID]],Table3[orderID],Table3[discount])</f>
        <v>0.2</v>
      </c>
      <c r="M677" s="2">
        <f>SUM(Table1[[#This Row],[Sales]],Table1[[#This Row],[freight]])</f>
        <v>817.06</v>
      </c>
      <c r="N677" s="3">
        <f>_xlfn.XLOOKUP(Table1[[#This Row],[orderID]],Table3[orderID],Table3[quantity])</f>
        <v>10</v>
      </c>
      <c r="O677" s="6" t="str">
        <f>_xlfn.XLOOKUP(Table1[[#This Row],[CustomerID]],customers!A:A,customers!B:B)</f>
        <v>La maison d'Asie</v>
      </c>
      <c r="P677" s="6" t="str">
        <f>_xlfn.XLOOKUP(Table1[[#This Row],[shipperID]],Table6[shipperID],Table6[companyName])</f>
        <v>Federal Shipping</v>
      </c>
      <c r="Q677">
        <f>YEAR(Table1[[#This Row],[OrderDate]])</f>
        <v>2015</v>
      </c>
      <c r="R677">
        <f>MONTH(Table1[[#This Row],[OrderDate]])</f>
        <v>3</v>
      </c>
      <c r="S677" t="str">
        <f>"Q"&amp;ROUNDUP(Table1[[#This Row],[month]]/3,0)</f>
        <v>Q1</v>
      </c>
      <c r="T677" t="str">
        <f>CONCATENATE(Table1[[#This Row],[year]],"-",Table1[[#This Row],[Quarter]])</f>
        <v>2015-Q1</v>
      </c>
      <c r="U677" s="6" t="str">
        <f>IF(H676="","Pending",IF(Table1[[#This Row],[Days to ship]]&lt;Table1[[#This Row],[RequiredDate]],"On Time","Late"))</f>
        <v>On Time</v>
      </c>
      <c r="V677">
        <f>_xlfn.XLOOKUP(Table1[[#This Row],[orderID]],Table3[orderID],Table3[unitPrice])</f>
        <v>14</v>
      </c>
    </row>
    <row r="678" spans="1:22" x14ac:dyDescent="0.45">
      <c r="A678" s="3">
        <v>10924</v>
      </c>
      <c r="B678" s="6" t="s">
        <v>223</v>
      </c>
      <c r="C678" s="3">
        <v>3</v>
      </c>
      <c r="D678" s="6" t="str">
        <f>_xlfn.XLOOKUP(Table1[[#This Row],[EmployeeID]],Table4[employeeID],Table4[employeeName])</f>
        <v>Janet Leverling</v>
      </c>
      <c r="E678" s="1">
        <v>42067</v>
      </c>
      <c r="F678" s="1">
        <v>42095</v>
      </c>
      <c r="G678" s="1">
        <v>42102</v>
      </c>
      <c r="H678" s="3">
        <f>IF(Table1[[#This Row],[ShippedDate]]="","",IF(Table1[[#This Row],[OrderDate]]="","",Table1[[#This Row],[ShippedDate]]-Table1[[#This Row],[OrderDate]]))</f>
        <v>35</v>
      </c>
      <c r="I678" s="3">
        <v>2</v>
      </c>
      <c r="J678" s="2">
        <v>151.52000000000001</v>
      </c>
      <c r="K678" s="2">
        <f>SUMIF(order_details!A:A,Table1[[#This Row],[orderID]],order_details!F:F)</f>
        <v>1835.7</v>
      </c>
      <c r="L678" s="9">
        <f>_xlfn.XLOOKUP(Table1[[#This Row],[orderID]],Table3[orderID],Table3[discount])</f>
        <v>0.1</v>
      </c>
      <c r="M678" s="2">
        <f>SUM(Table1[[#This Row],[Sales]],Table1[[#This Row],[freight]])</f>
        <v>1987.22</v>
      </c>
      <c r="N678" s="3">
        <f>_xlfn.XLOOKUP(Table1[[#This Row],[orderID]],Table3[orderID],Table3[quantity])</f>
        <v>20</v>
      </c>
      <c r="O678" s="6" t="str">
        <f>_xlfn.XLOOKUP(Table1[[#This Row],[CustomerID]],customers!A:A,customers!B:B)</f>
        <v>Berglunds snabbköp</v>
      </c>
      <c r="P678" s="6" t="str">
        <f>_xlfn.XLOOKUP(Table1[[#This Row],[shipperID]],Table6[shipperID],Table6[companyName])</f>
        <v>United Package</v>
      </c>
      <c r="Q678">
        <f>YEAR(Table1[[#This Row],[OrderDate]])</f>
        <v>2015</v>
      </c>
      <c r="R678">
        <f>MONTH(Table1[[#This Row],[OrderDate]])</f>
        <v>3</v>
      </c>
      <c r="S678" t="str">
        <f>"Q"&amp;ROUNDUP(Table1[[#This Row],[month]]/3,0)</f>
        <v>Q1</v>
      </c>
      <c r="T678" t="str">
        <f>CONCATENATE(Table1[[#This Row],[year]],"-",Table1[[#This Row],[Quarter]])</f>
        <v>2015-Q1</v>
      </c>
      <c r="U678" s="6" t="str">
        <f>IF(H677="","Pending",IF(Table1[[#This Row],[Days to ship]]&lt;Table1[[#This Row],[RequiredDate]],"On Time","Late"))</f>
        <v>On Time</v>
      </c>
      <c r="V678">
        <f>_xlfn.XLOOKUP(Table1[[#This Row],[orderID]],Table3[orderID],Table3[unitPrice])</f>
        <v>31</v>
      </c>
    </row>
    <row r="679" spans="1:22" x14ac:dyDescent="0.45">
      <c r="A679" s="3">
        <v>10925</v>
      </c>
      <c r="B679" s="6" t="s">
        <v>177</v>
      </c>
      <c r="C679" s="3">
        <v>3</v>
      </c>
      <c r="D679" s="6" t="str">
        <f>_xlfn.XLOOKUP(Table1[[#This Row],[EmployeeID]],Table4[employeeID],Table4[employeeName])</f>
        <v>Janet Leverling</v>
      </c>
      <c r="E679" s="1">
        <v>42067</v>
      </c>
      <c r="F679" s="1">
        <v>42095</v>
      </c>
      <c r="G679" s="1">
        <v>42076</v>
      </c>
      <c r="H679" s="3">
        <f>IF(Table1[[#This Row],[ShippedDate]]="","",IF(Table1[[#This Row],[OrderDate]]="","",Table1[[#This Row],[ShippedDate]]-Table1[[#This Row],[OrderDate]]))</f>
        <v>9</v>
      </c>
      <c r="I679" s="3">
        <v>1</v>
      </c>
      <c r="J679" s="2">
        <v>2.27</v>
      </c>
      <c r="K679" s="2">
        <f>SUMIF(order_details!A:A,Table1[[#This Row],[orderID]],order_details!F:F)</f>
        <v>475.15</v>
      </c>
      <c r="L679" s="9">
        <f>_xlfn.XLOOKUP(Table1[[#This Row],[orderID]],Table3[orderID],Table3[discount])</f>
        <v>0.15</v>
      </c>
      <c r="M679" s="2">
        <f>SUM(Table1[[#This Row],[Sales]],Table1[[#This Row],[freight]])</f>
        <v>477.41999999999996</v>
      </c>
      <c r="N679" s="3">
        <f>_xlfn.XLOOKUP(Table1[[#This Row],[orderID]],Table3[orderID],Table3[quantity])</f>
        <v>25</v>
      </c>
      <c r="O679" s="6" t="str">
        <f>_xlfn.XLOOKUP(Table1[[#This Row],[CustomerID]],customers!A:A,customers!B:B)</f>
        <v>Hanari Carnes</v>
      </c>
      <c r="P679" s="6" t="str">
        <f>_xlfn.XLOOKUP(Table1[[#This Row],[shipperID]],Table6[shipperID],Table6[companyName])</f>
        <v>Speedy Express</v>
      </c>
      <c r="Q679">
        <f>YEAR(Table1[[#This Row],[OrderDate]])</f>
        <v>2015</v>
      </c>
      <c r="R679">
        <f>MONTH(Table1[[#This Row],[OrderDate]])</f>
        <v>3</v>
      </c>
      <c r="S679" t="str">
        <f>"Q"&amp;ROUNDUP(Table1[[#This Row],[month]]/3,0)</f>
        <v>Q1</v>
      </c>
      <c r="T679" t="str">
        <f>CONCATENATE(Table1[[#This Row],[year]],"-",Table1[[#This Row],[Quarter]])</f>
        <v>2015-Q1</v>
      </c>
      <c r="U679" s="6" t="str">
        <f>IF(H678="","Pending",IF(Table1[[#This Row],[Days to ship]]&lt;Table1[[#This Row],[RequiredDate]],"On Time","Late"))</f>
        <v>On Time</v>
      </c>
      <c r="V679">
        <f>_xlfn.XLOOKUP(Table1[[#This Row],[orderID]],Table3[orderID],Table3[unitPrice])</f>
        <v>19</v>
      </c>
    </row>
    <row r="680" spans="1:22" x14ac:dyDescent="0.45">
      <c r="A680" s="3">
        <v>10926</v>
      </c>
      <c r="B680" s="6" t="s">
        <v>222</v>
      </c>
      <c r="C680" s="3">
        <v>4</v>
      </c>
      <c r="D680" s="6" t="str">
        <f>_xlfn.XLOOKUP(Table1[[#This Row],[EmployeeID]],Table4[employeeID],Table4[employeeName])</f>
        <v>Margaret Peacock</v>
      </c>
      <c r="E680" s="1">
        <v>42067</v>
      </c>
      <c r="F680" s="1">
        <v>42095</v>
      </c>
      <c r="G680" s="1">
        <v>42074</v>
      </c>
      <c r="H680" s="3">
        <f>IF(Table1[[#This Row],[ShippedDate]]="","",IF(Table1[[#This Row],[OrderDate]]="","",Table1[[#This Row],[ShippedDate]]-Table1[[#This Row],[OrderDate]]))</f>
        <v>7</v>
      </c>
      <c r="I680" s="3">
        <v>3</v>
      </c>
      <c r="J680" s="2">
        <v>39.92</v>
      </c>
      <c r="K680" s="2">
        <f>SUMIF(order_details!A:A,Table1[[#This Row],[orderID]],order_details!F:F)</f>
        <v>514.4</v>
      </c>
      <c r="L680" s="9">
        <f>_xlfn.XLOOKUP(Table1[[#This Row],[orderID]],Table3[orderID],Table3[discount])</f>
        <v>0</v>
      </c>
      <c r="M680" s="2">
        <f>SUM(Table1[[#This Row],[Sales]],Table1[[#This Row],[freight]])</f>
        <v>554.31999999999994</v>
      </c>
      <c r="N680" s="3">
        <f>_xlfn.XLOOKUP(Table1[[#This Row],[orderID]],Table3[orderID],Table3[quantity])</f>
        <v>2</v>
      </c>
      <c r="O680" s="6" t="str">
        <f>_xlfn.XLOOKUP(Table1[[#This Row],[CustomerID]],customers!A:A,customers!B:B)</f>
        <v>Ana Trujillo Emparedados y helados</v>
      </c>
      <c r="P680" s="6" t="str">
        <f>_xlfn.XLOOKUP(Table1[[#This Row],[shipperID]],Table6[shipperID],Table6[companyName])</f>
        <v>Federal Shipping</v>
      </c>
      <c r="Q680">
        <f>YEAR(Table1[[#This Row],[OrderDate]])</f>
        <v>2015</v>
      </c>
      <c r="R680">
        <f>MONTH(Table1[[#This Row],[OrderDate]])</f>
        <v>3</v>
      </c>
      <c r="S680" t="str">
        <f>"Q"&amp;ROUNDUP(Table1[[#This Row],[month]]/3,0)</f>
        <v>Q1</v>
      </c>
      <c r="T680" t="str">
        <f>CONCATENATE(Table1[[#This Row],[year]],"-",Table1[[#This Row],[Quarter]])</f>
        <v>2015-Q1</v>
      </c>
      <c r="U680" s="6" t="str">
        <f>IF(H679="","Pending",IF(Table1[[#This Row],[Days to ship]]&lt;Table1[[#This Row],[RequiredDate]],"On Time","Late"))</f>
        <v>On Time</v>
      </c>
      <c r="V680">
        <f>_xlfn.XLOOKUP(Table1[[#This Row],[orderID]],Table3[orderID],Table3[unitPrice])</f>
        <v>21</v>
      </c>
    </row>
    <row r="681" spans="1:22" x14ac:dyDescent="0.45">
      <c r="A681" s="3">
        <v>10927</v>
      </c>
      <c r="B681" s="6" t="s">
        <v>212</v>
      </c>
      <c r="C681" s="3">
        <v>4</v>
      </c>
      <c r="D681" s="6" t="str">
        <f>_xlfn.XLOOKUP(Table1[[#This Row],[EmployeeID]],Table4[employeeID],Table4[employeeName])</f>
        <v>Margaret Peacock</v>
      </c>
      <c r="E681" s="1">
        <v>42068</v>
      </c>
      <c r="F681" s="1">
        <v>42096</v>
      </c>
      <c r="G681" s="1">
        <v>42102</v>
      </c>
      <c r="H681" s="3">
        <f>IF(Table1[[#This Row],[ShippedDate]]="","",IF(Table1[[#This Row],[OrderDate]]="","",Table1[[#This Row],[ShippedDate]]-Table1[[#This Row],[OrderDate]]))</f>
        <v>34</v>
      </c>
      <c r="I681" s="3">
        <v>1</v>
      </c>
      <c r="J681" s="2">
        <v>19.79</v>
      </c>
      <c r="K681" s="2">
        <f>SUMIF(order_details!A:A,Table1[[#This Row],[orderID]],order_details!F:F)</f>
        <v>800</v>
      </c>
      <c r="L681" s="9">
        <f>_xlfn.XLOOKUP(Table1[[#This Row],[orderID]],Table3[orderID],Table3[discount])</f>
        <v>0</v>
      </c>
      <c r="M681" s="2">
        <f>SUM(Table1[[#This Row],[Sales]],Table1[[#This Row],[freight]])</f>
        <v>819.79</v>
      </c>
      <c r="N681" s="3">
        <f>_xlfn.XLOOKUP(Table1[[#This Row],[orderID]],Table3[orderID],Table3[quantity])</f>
        <v>5</v>
      </c>
      <c r="O681" s="6" t="str">
        <f>_xlfn.XLOOKUP(Table1[[#This Row],[CustomerID]],customers!A:A,customers!B:B)</f>
        <v>La corne d'abondance</v>
      </c>
      <c r="P681" s="6" t="str">
        <f>_xlfn.XLOOKUP(Table1[[#This Row],[shipperID]],Table6[shipperID],Table6[companyName])</f>
        <v>Speedy Express</v>
      </c>
      <c r="Q681">
        <f>YEAR(Table1[[#This Row],[OrderDate]])</f>
        <v>2015</v>
      </c>
      <c r="R681">
        <f>MONTH(Table1[[#This Row],[OrderDate]])</f>
        <v>3</v>
      </c>
      <c r="S681" t="str">
        <f>"Q"&amp;ROUNDUP(Table1[[#This Row],[month]]/3,0)</f>
        <v>Q1</v>
      </c>
      <c r="T681" t="str">
        <f>CONCATENATE(Table1[[#This Row],[year]],"-",Table1[[#This Row],[Quarter]])</f>
        <v>2015-Q1</v>
      </c>
      <c r="U681" s="6" t="str">
        <f>IF(H680="","Pending",IF(Table1[[#This Row],[Days to ship]]&lt;Table1[[#This Row],[RequiredDate]],"On Time","Late"))</f>
        <v>On Time</v>
      </c>
      <c r="V681">
        <f>_xlfn.XLOOKUP(Table1[[#This Row],[orderID]],Table3[orderID],Table3[unitPrice])</f>
        <v>81</v>
      </c>
    </row>
    <row r="682" spans="1:22" x14ac:dyDescent="0.45">
      <c r="A682" s="3">
        <v>10928</v>
      </c>
      <c r="B682" s="6" t="s">
        <v>221</v>
      </c>
      <c r="C682" s="3">
        <v>1</v>
      </c>
      <c r="D682" s="6" t="str">
        <f>_xlfn.XLOOKUP(Table1[[#This Row],[EmployeeID]],Table4[employeeID],Table4[employeeName])</f>
        <v>Nancy Davolio</v>
      </c>
      <c r="E682" s="1">
        <v>42068</v>
      </c>
      <c r="F682" s="1">
        <v>42096</v>
      </c>
      <c r="G682" s="1">
        <v>42081</v>
      </c>
      <c r="H682" s="3">
        <f>IF(Table1[[#This Row],[ShippedDate]]="","",IF(Table1[[#This Row],[OrderDate]]="","",Table1[[#This Row],[ShippedDate]]-Table1[[#This Row],[OrderDate]]))</f>
        <v>13</v>
      </c>
      <c r="I682" s="3">
        <v>1</v>
      </c>
      <c r="J682" s="2">
        <v>1.36</v>
      </c>
      <c r="K682" s="2">
        <f>SUMIF(order_details!A:A,Table1[[#This Row],[orderID]],order_details!F:F)</f>
        <v>137.5</v>
      </c>
      <c r="L682" s="9">
        <f>_xlfn.XLOOKUP(Table1[[#This Row],[orderID]],Table3[orderID],Table3[discount])</f>
        <v>0</v>
      </c>
      <c r="M682" s="2">
        <f>SUM(Table1[[#This Row],[Sales]],Table1[[#This Row],[freight]])</f>
        <v>138.86000000000001</v>
      </c>
      <c r="N682" s="3">
        <f>_xlfn.XLOOKUP(Table1[[#This Row],[orderID]],Table3[orderID],Table3[quantity])</f>
        <v>5</v>
      </c>
      <c r="O682" s="6" t="str">
        <f>_xlfn.XLOOKUP(Table1[[#This Row],[CustomerID]],customers!A:A,customers!B:B)</f>
        <v>Galería del gastrónomo</v>
      </c>
      <c r="P682" s="6" t="str">
        <f>_xlfn.XLOOKUP(Table1[[#This Row],[shipperID]],Table6[shipperID],Table6[companyName])</f>
        <v>Speedy Express</v>
      </c>
      <c r="Q682">
        <f>YEAR(Table1[[#This Row],[OrderDate]])</f>
        <v>2015</v>
      </c>
      <c r="R682">
        <f>MONTH(Table1[[#This Row],[OrderDate]])</f>
        <v>3</v>
      </c>
      <c r="S682" t="str">
        <f>"Q"&amp;ROUNDUP(Table1[[#This Row],[month]]/3,0)</f>
        <v>Q1</v>
      </c>
      <c r="T682" t="str">
        <f>CONCATENATE(Table1[[#This Row],[year]],"-",Table1[[#This Row],[Quarter]])</f>
        <v>2015-Q1</v>
      </c>
      <c r="U682" s="6" t="str">
        <f>IF(H681="","Pending",IF(Table1[[#This Row],[Days to ship]]&lt;Table1[[#This Row],[RequiredDate]],"On Time","Late"))</f>
        <v>On Time</v>
      </c>
      <c r="V682">
        <f>_xlfn.XLOOKUP(Table1[[#This Row],[orderID]],Table3[orderID],Table3[unitPrice])</f>
        <v>9.5</v>
      </c>
    </row>
    <row r="683" spans="1:22" x14ac:dyDescent="0.45">
      <c r="A683" s="3">
        <v>10929</v>
      </c>
      <c r="B683" s="6" t="s">
        <v>201</v>
      </c>
      <c r="C683" s="3">
        <v>6</v>
      </c>
      <c r="D683" s="6" t="str">
        <f>_xlfn.XLOOKUP(Table1[[#This Row],[EmployeeID]],Table4[employeeID],Table4[employeeName])</f>
        <v>Michael Suyama</v>
      </c>
      <c r="E683" s="1">
        <v>42068</v>
      </c>
      <c r="F683" s="1">
        <v>42096</v>
      </c>
      <c r="G683" s="1">
        <v>42075</v>
      </c>
      <c r="H683" s="3">
        <f>IF(Table1[[#This Row],[ShippedDate]]="","",IF(Table1[[#This Row],[OrderDate]]="","",Table1[[#This Row],[ShippedDate]]-Table1[[#This Row],[OrderDate]]))</f>
        <v>7</v>
      </c>
      <c r="I683" s="3">
        <v>1</v>
      </c>
      <c r="J683" s="2">
        <v>33.93</v>
      </c>
      <c r="K683" s="2">
        <f>SUMIF(order_details!A:A,Table1[[#This Row],[orderID]],order_details!F:F)</f>
        <v>1174.75</v>
      </c>
      <c r="L683" s="9">
        <f>_xlfn.XLOOKUP(Table1[[#This Row],[orderID]],Table3[orderID],Table3[discount])</f>
        <v>0</v>
      </c>
      <c r="M683" s="2">
        <f>SUM(Table1[[#This Row],[Sales]],Table1[[#This Row],[freight]])</f>
        <v>1208.68</v>
      </c>
      <c r="N683" s="3">
        <f>_xlfn.XLOOKUP(Table1[[#This Row],[orderID]],Table3[orderID],Table3[quantity])</f>
        <v>60</v>
      </c>
      <c r="O683" s="6" t="str">
        <f>_xlfn.XLOOKUP(Table1[[#This Row],[CustomerID]],customers!A:A,customers!B:B)</f>
        <v>Frankenversand</v>
      </c>
      <c r="P683" s="6" t="str">
        <f>_xlfn.XLOOKUP(Table1[[#This Row],[shipperID]],Table6[shipperID],Table6[companyName])</f>
        <v>Speedy Express</v>
      </c>
      <c r="Q683">
        <f>YEAR(Table1[[#This Row],[OrderDate]])</f>
        <v>2015</v>
      </c>
      <c r="R683">
        <f>MONTH(Table1[[#This Row],[OrderDate]])</f>
        <v>3</v>
      </c>
      <c r="S683" t="str">
        <f>"Q"&amp;ROUNDUP(Table1[[#This Row],[month]]/3,0)</f>
        <v>Q1</v>
      </c>
      <c r="T683" t="str">
        <f>CONCATENATE(Table1[[#This Row],[year]],"-",Table1[[#This Row],[Quarter]])</f>
        <v>2015-Q1</v>
      </c>
      <c r="U683" s="6" t="str">
        <f>IF(H682="","Pending",IF(Table1[[#This Row],[Days to ship]]&lt;Table1[[#This Row],[RequiredDate]],"On Time","Late"))</f>
        <v>On Time</v>
      </c>
      <c r="V683">
        <f>_xlfn.XLOOKUP(Table1[[#This Row],[orderID]],Table3[orderID],Table3[unitPrice])</f>
        <v>10</v>
      </c>
    </row>
    <row r="684" spans="1:22" x14ac:dyDescent="0.45">
      <c r="A684" s="3">
        <v>10930</v>
      </c>
      <c r="B684" s="6" t="s">
        <v>188</v>
      </c>
      <c r="C684" s="3">
        <v>4</v>
      </c>
      <c r="D684" s="6" t="str">
        <f>_xlfn.XLOOKUP(Table1[[#This Row],[EmployeeID]],Table4[employeeID],Table4[employeeName])</f>
        <v>Margaret Peacock</v>
      </c>
      <c r="E684" s="1">
        <v>42069</v>
      </c>
      <c r="F684" s="1">
        <v>42111</v>
      </c>
      <c r="G684" s="1">
        <v>42081</v>
      </c>
      <c r="H684" s="3">
        <f>IF(Table1[[#This Row],[ShippedDate]]="","",IF(Table1[[#This Row],[OrderDate]]="","",Table1[[#This Row],[ShippedDate]]-Table1[[#This Row],[OrderDate]]))</f>
        <v>12</v>
      </c>
      <c r="I684" s="3">
        <v>3</v>
      </c>
      <c r="J684" s="2">
        <v>15.55</v>
      </c>
      <c r="K684" s="2">
        <f>SUMIF(order_details!A:A,Table1[[#This Row],[orderID]],order_details!F:F)</f>
        <v>2255.5</v>
      </c>
      <c r="L684" s="9">
        <f>_xlfn.XLOOKUP(Table1[[#This Row],[orderID]],Table3[orderID],Table3[discount])</f>
        <v>0</v>
      </c>
      <c r="M684" s="2">
        <f>SUM(Table1[[#This Row],[Sales]],Table1[[#This Row],[freight]])</f>
        <v>2271.0500000000002</v>
      </c>
      <c r="N684" s="3">
        <f>_xlfn.XLOOKUP(Table1[[#This Row],[orderID]],Table3[orderID],Table3[quantity])</f>
        <v>36</v>
      </c>
      <c r="O684" s="6" t="str">
        <f>_xlfn.XLOOKUP(Table1[[#This Row],[CustomerID]],customers!A:A,customers!B:B)</f>
        <v>Suprêmes délices</v>
      </c>
      <c r="P684" s="6" t="str">
        <f>_xlfn.XLOOKUP(Table1[[#This Row],[shipperID]],Table6[shipperID],Table6[companyName])</f>
        <v>Federal Shipping</v>
      </c>
      <c r="Q684">
        <f>YEAR(Table1[[#This Row],[OrderDate]])</f>
        <v>2015</v>
      </c>
      <c r="R684">
        <f>MONTH(Table1[[#This Row],[OrderDate]])</f>
        <v>3</v>
      </c>
      <c r="S684" t="str">
        <f>"Q"&amp;ROUNDUP(Table1[[#This Row],[month]]/3,0)</f>
        <v>Q1</v>
      </c>
      <c r="T684" t="str">
        <f>CONCATENATE(Table1[[#This Row],[year]],"-",Table1[[#This Row],[Quarter]])</f>
        <v>2015-Q1</v>
      </c>
      <c r="U684" s="6" t="str">
        <f>IF(H683="","Pending",IF(Table1[[#This Row],[Days to ship]]&lt;Table1[[#This Row],[RequiredDate]],"On Time","Late"))</f>
        <v>On Time</v>
      </c>
      <c r="V684">
        <f>_xlfn.XLOOKUP(Table1[[#This Row],[orderID]],Table3[orderID],Table3[unitPrice])</f>
        <v>10</v>
      </c>
    </row>
    <row r="685" spans="1:22" x14ac:dyDescent="0.45">
      <c r="A685" s="3">
        <v>10931</v>
      </c>
      <c r="B685" s="6" t="s">
        <v>155</v>
      </c>
      <c r="C685" s="3">
        <v>4</v>
      </c>
      <c r="D685" s="6" t="str">
        <f>_xlfn.XLOOKUP(Table1[[#This Row],[EmployeeID]],Table4[employeeID],Table4[employeeName])</f>
        <v>Margaret Peacock</v>
      </c>
      <c r="E685" s="1">
        <v>42069</v>
      </c>
      <c r="F685" s="1">
        <v>42083</v>
      </c>
      <c r="G685" s="1">
        <v>42082</v>
      </c>
      <c r="H685" s="3">
        <f>IF(Table1[[#This Row],[ShippedDate]]="","",IF(Table1[[#This Row],[OrderDate]]="","",Table1[[#This Row],[ShippedDate]]-Table1[[#This Row],[OrderDate]]))</f>
        <v>13</v>
      </c>
      <c r="I685" s="3">
        <v>2</v>
      </c>
      <c r="J685" s="2">
        <v>13.6</v>
      </c>
      <c r="K685" s="2">
        <f>SUMIF(order_details!A:A,Table1[[#This Row],[orderID]],order_details!F:F)</f>
        <v>799.2</v>
      </c>
      <c r="L685" s="9">
        <f>_xlfn.XLOOKUP(Table1[[#This Row],[orderID]],Table3[orderID],Table3[discount])</f>
        <v>0.15</v>
      </c>
      <c r="M685" s="2">
        <f>SUM(Table1[[#This Row],[Sales]],Table1[[#This Row],[freight]])</f>
        <v>812.80000000000007</v>
      </c>
      <c r="N685" s="3">
        <f>_xlfn.XLOOKUP(Table1[[#This Row],[orderID]],Table3[orderID],Table3[quantity])</f>
        <v>42</v>
      </c>
      <c r="O685" s="6" t="str">
        <f>_xlfn.XLOOKUP(Table1[[#This Row],[CustomerID]],customers!A:A,customers!B:B)</f>
        <v>Richter Supermarkt</v>
      </c>
      <c r="P685" s="6" t="str">
        <f>_xlfn.XLOOKUP(Table1[[#This Row],[shipperID]],Table6[shipperID],Table6[companyName])</f>
        <v>United Package</v>
      </c>
      <c r="Q685">
        <f>YEAR(Table1[[#This Row],[OrderDate]])</f>
        <v>2015</v>
      </c>
      <c r="R685">
        <f>MONTH(Table1[[#This Row],[OrderDate]])</f>
        <v>3</v>
      </c>
      <c r="S685" t="str">
        <f>"Q"&amp;ROUNDUP(Table1[[#This Row],[month]]/3,0)</f>
        <v>Q1</v>
      </c>
      <c r="T685" t="str">
        <f>CONCATENATE(Table1[[#This Row],[year]],"-",Table1[[#This Row],[Quarter]])</f>
        <v>2015-Q1</v>
      </c>
      <c r="U685" s="6" t="str">
        <f>IF(H684="","Pending",IF(Table1[[#This Row],[Days to ship]]&lt;Table1[[#This Row],[RequiredDate]],"On Time","Late"))</f>
        <v>On Time</v>
      </c>
      <c r="V685">
        <f>_xlfn.XLOOKUP(Table1[[#This Row],[orderID]],Table3[orderID],Table3[unitPrice])</f>
        <v>6</v>
      </c>
    </row>
    <row r="686" spans="1:22" x14ac:dyDescent="0.45">
      <c r="A686" s="3">
        <v>10932</v>
      </c>
      <c r="B686" s="6" t="s">
        <v>154</v>
      </c>
      <c r="C686" s="3">
        <v>8</v>
      </c>
      <c r="D686" s="6" t="str">
        <f>_xlfn.XLOOKUP(Table1[[#This Row],[EmployeeID]],Table4[employeeID],Table4[employeeName])</f>
        <v>Laura Callahan</v>
      </c>
      <c r="E686" s="1">
        <v>42069</v>
      </c>
      <c r="F686" s="1">
        <v>42097</v>
      </c>
      <c r="G686" s="1">
        <v>42087</v>
      </c>
      <c r="H686" s="3">
        <f>IF(Table1[[#This Row],[ShippedDate]]="","",IF(Table1[[#This Row],[OrderDate]]="","",Table1[[#This Row],[ShippedDate]]-Table1[[#This Row],[OrderDate]]))</f>
        <v>18</v>
      </c>
      <c r="I686" s="3">
        <v>1</v>
      </c>
      <c r="J686" s="2">
        <v>134.63999999999999</v>
      </c>
      <c r="K686" s="2">
        <f>SUMIF(order_details!A:A,Table1[[#This Row],[orderID]],order_details!F:F)</f>
        <v>1788.6299999999999</v>
      </c>
      <c r="L686" s="9">
        <f>_xlfn.XLOOKUP(Table1[[#This Row],[orderID]],Table3[orderID],Table3[discount])</f>
        <v>0.1</v>
      </c>
      <c r="M686" s="2">
        <f>SUM(Table1[[#This Row],[Sales]],Table1[[#This Row],[freight]])</f>
        <v>1923.27</v>
      </c>
      <c r="N686" s="3">
        <f>_xlfn.XLOOKUP(Table1[[#This Row],[orderID]],Table3[orderID],Table3[quantity])</f>
        <v>30</v>
      </c>
      <c r="O686" s="6" t="str">
        <f>_xlfn.XLOOKUP(Table1[[#This Row],[CustomerID]],customers!A:A,customers!B:B)</f>
        <v>Bon app'</v>
      </c>
      <c r="P686" s="6" t="str">
        <f>_xlfn.XLOOKUP(Table1[[#This Row],[shipperID]],Table6[shipperID],Table6[companyName])</f>
        <v>Speedy Express</v>
      </c>
      <c r="Q686">
        <f>YEAR(Table1[[#This Row],[OrderDate]])</f>
        <v>2015</v>
      </c>
      <c r="R686">
        <f>MONTH(Table1[[#This Row],[OrderDate]])</f>
        <v>3</v>
      </c>
      <c r="S686" t="str">
        <f>"Q"&amp;ROUNDUP(Table1[[#This Row],[month]]/3,0)</f>
        <v>Q1</v>
      </c>
      <c r="T686" t="str">
        <f>CONCATENATE(Table1[[#This Row],[year]],"-",Table1[[#This Row],[Quarter]])</f>
        <v>2015-Q1</v>
      </c>
      <c r="U686" s="6" t="str">
        <f>IF(H685="","Pending",IF(Table1[[#This Row],[Days to ship]]&lt;Table1[[#This Row],[RequiredDate]],"On Time","Late"))</f>
        <v>On Time</v>
      </c>
      <c r="V686">
        <f>_xlfn.XLOOKUP(Table1[[#This Row],[orderID]],Table3[orderID],Table3[unitPrice])</f>
        <v>17.45</v>
      </c>
    </row>
    <row r="687" spans="1:22" x14ac:dyDescent="0.45">
      <c r="A687" s="3">
        <v>10933</v>
      </c>
      <c r="B687" s="6" t="s">
        <v>220</v>
      </c>
      <c r="C687" s="3">
        <v>6</v>
      </c>
      <c r="D687" s="6" t="str">
        <f>_xlfn.XLOOKUP(Table1[[#This Row],[EmployeeID]],Table4[employeeID],Table4[employeeName])</f>
        <v>Michael Suyama</v>
      </c>
      <c r="E687" s="1">
        <v>42069</v>
      </c>
      <c r="F687" s="1">
        <v>42097</v>
      </c>
      <c r="G687" s="1">
        <v>42079</v>
      </c>
      <c r="H687" s="3">
        <f>IF(Table1[[#This Row],[ShippedDate]]="","",IF(Table1[[#This Row],[OrderDate]]="","",Table1[[#This Row],[ShippedDate]]-Table1[[#This Row],[OrderDate]]))</f>
        <v>10</v>
      </c>
      <c r="I687" s="3">
        <v>3</v>
      </c>
      <c r="J687" s="2">
        <v>54.15</v>
      </c>
      <c r="K687" s="2">
        <f>SUMIF(order_details!A:A,Table1[[#This Row],[orderID]],order_details!F:F)</f>
        <v>920.6</v>
      </c>
      <c r="L687" s="9">
        <f>_xlfn.XLOOKUP(Table1[[#This Row],[orderID]],Table3[orderID],Table3[discount])</f>
        <v>0</v>
      </c>
      <c r="M687" s="2">
        <f>SUM(Table1[[#This Row],[Sales]],Table1[[#This Row],[freight]])</f>
        <v>974.75</v>
      </c>
      <c r="N687" s="3">
        <f>_xlfn.XLOOKUP(Table1[[#This Row],[orderID]],Table3[orderID],Table3[quantity])</f>
        <v>2</v>
      </c>
      <c r="O687" s="6" t="str">
        <f>_xlfn.XLOOKUP(Table1[[#This Row],[CustomerID]],customers!A:A,customers!B:B)</f>
        <v>Island Trading</v>
      </c>
      <c r="P687" s="6" t="str">
        <f>_xlfn.XLOOKUP(Table1[[#This Row],[shipperID]],Table6[shipperID],Table6[companyName])</f>
        <v>Federal Shipping</v>
      </c>
      <c r="Q687">
        <f>YEAR(Table1[[#This Row],[OrderDate]])</f>
        <v>2015</v>
      </c>
      <c r="R687">
        <f>MONTH(Table1[[#This Row],[OrderDate]])</f>
        <v>3</v>
      </c>
      <c r="S687" t="str">
        <f>"Q"&amp;ROUNDUP(Table1[[#This Row],[month]]/3,0)</f>
        <v>Q1</v>
      </c>
      <c r="T687" t="str">
        <f>CONCATENATE(Table1[[#This Row],[year]],"-",Table1[[#This Row],[Quarter]])</f>
        <v>2015-Q1</v>
      </c>
      <c r="U687" s="6" t="str">
        <f>IF(H686="","Pending",IF(Table1[[#This Row],[Days to ship]]&lt;Table1[[#This Row],[RequiredDate]],"On Time","Late"))</f>
        <v>On Time</v>
      </c>
      <c r="V687">
        <f>_xlfn.XLOOKUP(Table1[[#This Row],[orderID]],Table3[orderID],Table3[unitPrice])</f>
        <v>32.799999999999997</v>
      </c>
    </row>
    <row r="688" spans="1:22" x14ac:dyDescent="0.45">
      <c r="A688" s="3">
        <v>10934</v>
      </c>
      <c r="B688" s="6" t="s">
        <v>160</v>
      </c>
      <c r="C688" s="3">
        <v>3</v>
      </c>
      <c r="D688" s="6" t="str">
        <f>_xlfn.XLOOKUP(Table1[[#This Row],[EmployeeID]],Table4[employeeID],Table4[employeeName])</f>
        <v>Janet Leverling</v>
      </c>
      <c r="E688" s="1">
        <v>42072</v>
      </c>
      <c r="F688" s="1">
        <v>42100</v>
      </c>
      <c r="G688" s="1">
        <v>42075</v>
      </c>
      <c r="H688" s="3">
        <f>IF(Table1[[#This Row],[ShippedDate]]="","",IF(Table1[[#This Row],[OrderDate]]="","",Table1[[#This Row],[ShippedDate]]-Table1[[#This Row],[OrderDate]]))</f>
        <v>3</v>
      </c>
      <c r="I688" s="3">
        <v>3</v>
      </c>
      <c r="J688" s="2">
        <v>32.01</v>
      </c>
      <c r="K688" s="2">
        <f>SUMIF(order_details!A:A,Table1[[#This Row],[orderID]],order_details!F:F)</f>
        <v>500</v>
      </c>
      <c r="L688" s="9">
        <f>_xlfn.XLOOKUP(Table1[[#This Row],[orderID]],Table3[orderID],Table3[discount])</f>
        <v>0</v>
      </c>
      <c r="M688" s="2">
        <f>SUM(Table1[[#This Row],[Sales]],Table1[[#This Row],[freight]])</f>
        <v>532.01</v>
      </c>
      <c r="N688" s="3">
        <f>_xlfn.XLOOKUP(Table1[[#This Row],[orderID]],Table3[orderID],Table3[quantity])</f>
        <v>20</v>
      </c>
      <c r="O688" s="6" t="str">
        <f>_xlfn.XLOOKUP(Table1[[#This Row],[CustomerID]],customers!A:A,customers!B:B)</f>
        <v>Lehmanns Marktstand</v>
      </c>
      <c r="P688" s="6" t="str">
        <f>_xlfn.XLOOKUP(Table1[[#This Row],[shipperID]],Table6[shipperID],Table6[companyName])</f>
        <v>Federal Shipping</v>
      </c>
      <c r="Q688">
        <f>YEAR(Table1[[#This Row],[OrderDate]])</f>
        <v>2015</v>
      </c>
      <c r="R688">
        <f>MONTH(Table1[[#This Row],[OrderDate]])</f>
        <v>3</v>
      </c>
      <c r="S688" t="str">
        <f>"Q"&amp;ROUNDUP(Table1[[#This Row],[month]]/3,0)</f>
        <v>Q1</v>
      </c>
      <c r="T688" t="str">
        <f>CONCATENATE(Table1[[#This Row],[year]],"-",Table1[[#This Row],[Quarter]])</f>
        <v>2015-Q1</v>
      </c>
      <c r="U688" s="6" t="str">
        <f>IF(H687="","Pending",IF(Table1[[#This Row],[Days to ship]]&lt;Table1[[#This Row],[RequiredDate]],"On Time","Late"))</f>
        <v>On Time</v>
      </c>
      <c r="V688">
        <f>_xlfn.XLOOKUP(Table1[[#This Row],[orderID]],Table3[orderID],Table3[unitPrice])</f>
        <v>25</v>
      </c>
    </row>
    <row r="689" spans="1:22" x14ac:dyDescent="0.45">
      <c r="A689" s="3">
        <v>10935</v>
      </c>
      <c r="B689" s="6" t="s">
        <v>219</v>
      </c>
      <c r="C689" s="3">
        <v>4</v>
      </c>
      <c r="D689" s="6" t="str">
        <f>_xlfn.XLOOKUP(Table1[[#This Row],[EmployeeID]],Table4[employeeID],Table4[employeeName])</f>
        <v>Margaret Peacock</v>
      </c>
      <c r="E689" s="1">
        <v>42072</v>
      </c>
      <c r="F689" s="1">
        <v>42100</v>
      </c>
      <c r="G689" s="1">
        <v>42081</v>
      </c>
      <c r="H689" s="3">
        <f>IF(Table1[[#This Row],[ShippedDate]]="","",IF(Table1[[#This Row],[OrderDate]]="","",Table1[[#This Row],[ShippedDate]]-Table1[[#This Row],[OrderDate]]))</f>
        <v>9</v>
      </c>
      <c r="I689" s="3">
        <v>3</v>
      </c>
      <c r="J689" s="2">
        <v>47.59</v>
      </c>
      <c r="K689" s="2">
        <f>SUMIF(order_details!A:A,Table1[[#This Row],[orderID]],order_details!F:F)</f>
        <v>619.5</v>
      </c>
      <c r="L689" s="9">
        <f>_xlfn.XLOOKUP(Table1[[#This Row],[orderID]],Table3[orderID],Table3[discount])</f>
        <v>0</v>
      </c>
      <c r="M689" s="2">
        <f>SUM(Table1[[#This Row],[Sales]],Table1[[#This Row],[freight]])</f>
        <v>667.09</v>
      </c>
      <c r="N689" s="3">
        <f>_xlfn.XLOOKUP(Table1[[#This Row],[orderID]],Table3[orderID],Table3[quantity])</f>
        <v>21</v>
      </c>
      <c r="O689" s="6" t="str">
        <f>_xlfn.XLOOKUP(Table1[[#This Row],[CustomerID]],customers!A:A,customers!B:B)</f>
        <v>Wellington Importadora</v>
      </c>
      <c r="P689" s="6" t="str">
        <f>_xlfn.XLOOKUP(Table1[[#This Row],[shipperID]],Table6[shipperID],Table6[companyName])</f>
        <v>Federal Shipping</v>
      </c>
      <c r="Q689">
        <f>YEAR(Table1[[#This Row],[OrderDate]])</f>
        <v>2015</v>
      </c>
      <c r="R689">
        <f>MONTH(Table1[[#This Row],[OrderDate]])</f>
        <v>3</v>
      </c>
      <c r="S689" t="str">
        <f>"Q"&amp;ROUNDUP(Table1[[#This Row],[month]]/3,0)</f>
        <v>Q1</v>
      </c>
      <c r="T689" t="str">
        <f>CONCATENATE(Table1[[#This Row],[year]],"-",Table1[[#This Row],[Quarter]])</f>
        <v>2015-Q1</v>
      </c>
      <c r="U689" s="6" t="str">
        <f>IF(H688="","Pending",IF(Table1[[#This Row],[Days to ship]]&lt;Table1[[#This Row],[RequiredDate]],"On Time","Late"))</f>
        <v>On Time</v>
      </c>
      <c r="V689">
        <f>_xlfn.XLOOKUP(Table1[[#This Row],[orderID]],Table3[orderID],Table3[unitPrice])</f>
        <v>18</v>
      </c>
    </row>
    <row r="690" spans="1:22" x14ac:dyDescent="0.45">
      <c r="A690" s="3">
        <v>10936</v>
      </c>
      <c r="B690" s="6" t="s">
        <v>168</v>
      </c>
      <c r="C690" s="3">
        <v>3</v>
      </c>
      <c r="D690" s="6" t="str">
        <f>_xlfn.XLOOKUP(Table1[[#This Row],[EmployeeID]],Table4[employeeID],Table4[employeeName])</f>
        <v>Janet Leverling</v>
      </c>
      <c r="E690" s="1">
        <v>42072</v>
      </c>
      <c r="F690" s="1">
        <v>42100</v>
      </c>
      <c r="G690" s="1">
        <v>42081</v>
      </c>
      <c r="H690" s="3">
        <f>IF(Table1[[#This Row],[ShippedDate]]="","",IF(Table1[[#This Row],[OrderDate]]="","",Table1[[#This Row],[ShippedDate]]-Table1[[#This Row],[OrderDate]]))</f>
        <v>9</v>
      </c>
      <c r="I690" s="3">
        <v>2</v>
      </c>
      <c r="J690" s="2">
        <v>33.68</v>
      </c>
      <c r="K690" s="2">
        <f>SUMIF(order_details!A:A,Table1[[#This Row],[orderID]],order_details!F:F)</f>
        <v>456</v>
      </c>
      <c r="L690" s="9">
        <f>_xlfn.XLOOKUP(Table1[[#This Row],[orderID]],Table3[orderID],Table3[discount])</f>
        <v>0.2</v>
      </c>
      <c r="M690" s="2">
        <f>SUM(Table1[[#This Row],[Sales]],Table1[[#This Row],[freight]])</f>
        <v>489.68</v>
      </c>
      <c r="N690" s="3">
        <f>_xlfn.XLOOKUP(Table1[[#This Row],[orderID]],Table3[orderID],Table3[quantity])</f>
        <v>30</v>
      </c>
      <c r="O690" s="6" t="str">
        <f>_xlfn.XLOOKUP(Table1[[#This Row],[CustomerID]],customers!A:A,customers!B:B)</f>
        <v>Great Lakes Food Market</v>
      </c>
      <c r="P690" s="6" t="str">
        <f>_xlfn.XLOOKUP(Table1[[#This Row],[shipperID]],Table6[shipperID],Table6[companyName])</f>
        <v>United Package</v>
      </c>
      <c r="Q690">
        <f>YEAR(Table1[[#This Row],[OrderDate]])</f>
        <v>2015</v>
      </c>
      <c r="R690">
        <f>MONTH(Table1[[#This Row],[OrderDate]])</f>
        <v>3</v>
      </c>
      <c r="S690" t="str">
        <f>"Q"&amp;ROUNDUP(Table1[[#This Row],[month]]/3,0)</f>
        <v>Q1</v>
      </c>
      <c r="T690" t="str">
        <f>CONCATENATE(Table1[[#This Row],[year]],"-",Table1[[#This Row],[Quarter]])</f>
        <v>2015-Q1</v>
      </c>
      <c r="U690" s="6" t="str">
        <f>IF(H689="","Pending",IF(Table1[[#This Row],[Days to ship]]&lt;Table1[[#This Row],[RequiredDate]],"On Time","Late"))</f>
        <v>On Time</v>
      </c>
      <c r="V690">
        <f>_xlfn.XLOOKUP(Table1[[#This Row],[orderID]],Table3[orderID],Table3[unitPrice])</f>
        <v>19</v>
      </c>
    </row>
    <row r="691" spans="1:22" x14ac:dyDescent="0.45">
      <c r="A691" s="3">
        <v>10937</v>
      </c>
      <c r="B691" s="6" t="s">
        <v>175</v>
      </c>
      <c r="C691" s="3">
        <v>7</v>
      </c>
      <c r="D691" s="6" t="str">
        <f>_xlfn.XLOOKUP(Table1[[#This Row],[EmployeeID]],Table4[employeeID],Table4[employeeName])</f>
        <v>Robert King</v>
      </c>
      <c r="E691" s="1">
        <v>42073</v>
      </c>
      <c r="F691" s="1">
        <v>42087</v>
      </c>
      <c r="G691" s="1">
        <v>42076</v>
      </c>
      <c r="H691" s="3">
        <f>IF(Table1[[#This Row],[ShippedDate]]="","",IF(Table1[[#This Row],[OrderDate]]="","",Table1[[#This Row],[ShippedDate]]-Table1[[#This Row],[OrderDate]]))</f>
        <v>3</v>
      </c>
      <c r="I691" s="3">
        <v>3</v>
      </c>
      <c r="J691" s="2">
        <v>31.51</v>
      </c>
      <c r="K691" s="2">
        <f>SUMIF(order_details!A:A,Table1[[#This Row],[orderID]],order_details!F:F)</f>
        <v>644.79999999999995</v>
      </c>
      <c r="L691" s="9">
        <f>_xlfn.XLOOKUP(Table1[[#This Row],[orderID]],Table3[orderID],Table3[discount])</f>
        <v>0</v>
      </c>
      <c r="M691" s="2">
        <f>SUM(Table1[[#This Row],[Sales]],Table1[[#This Row],[freight]])</f>
        <v>676.31</v>
      </c>
      <c r="N691" s="3">
        <f>_xlfn.XLOOKUP(Table1[[#This Row],[orderID]],Table3[orderID],Table3[quantity])</f>
        <v>8</v>
      </c>
      <c r="O691" s="6" t="str">
        <f>_xlfn.XLOOKUP(Table1[[#This Row],[CustomerID]],customers!A:A,customers!B:B)</f>
        <v>Cactus Comidas para llevar</v>
      </c>
      <c r="P691" s="6" t="str">
        <f>_xlfn.XLOOKUP(Table1[[#This Row],[shipperID]],Table6[shipperID],Table6[companyName])</f>
        <v>Federal Shipping</v>
      </c>
      <c r="Q691">
        <f>YEAR(Table1[[#This Row],[OrderDate]])</f>
        <v>2015</v>
      </c>
      <c r="R691">
        <f>MONTH(Table1[[#This Row],[OrderDate]])</f>
        <v>3</v>
      </c>
      <c r="S691" t="str">
        <f>"Q"&amp;ROUNDUP(Table1[[#This Row],[month]]/3,0)</f>
        <v>Q1</v>
      </c>
      <c r="T691" t="str">
        <f>CONCATENATE(Table1[[#This Row],[year]],"-",Table1[[#This Row],[Quarter]])</f>
        <v>2015-Q1</v>
      </c>
      <c r="U691" s="6" t="str">
        <f>IF(H690="","Pending",IF(Table1[[#This Row],[Days to ship]]&lt;Table1[[#This Row],[RequiredDate]],"On Time","Late"))</f>
        <v>On Time</v>
      </c>
      <c r="V691">
        <f>_xlfn.XLOOKUP(Table1[[#This Row],[orderID]],Table3[orderID],Table3[unitPrice])</f>
        <v>45.6</v>
      </c>
    </row>
    <row r="692" spans="1:22" x14ac:dyDescent="0.45">
      <c r="A692" s="3">
        <v>10938</v>
      </c>
      <c r="B692" s="6" t="s">
        <v>194</v>
      </c>
      <c r="C692" s="3">
        <v>3</v>
      </c>
      <c r="D692" s="6" t="str">
        <f>_xlfn.XLOOKUP(Table1[[#This Row],[EmployeeID]],Table4[employeeID],Table4[employeeName])</f>
        <v>Janet Leverling</v>
      </c>
      <c r="E692" s="1">
        <v>42073</v>
      </c>
      <c r="F692" s="1">
        <v>42101</v>
      </c>
      <c r="G692" s="1">
        <v>42079</v>
      </c>
      <c r="H692" s="3">
        <f>IF(Table1[[#This Row],[ShippedDate]]="","",IF(Table1[[#This Row],[OrderDate]]="","",Table1[[#This Row],[ShippedDate]]-Table1[[#This Row],[OrderDate]]))</f>
        <v>6</v>
      </c>
      <c r="I692" s="3">
        <v>2</v>
      </c>
      <c r="J692" s="2">
        <v>31.89</v>
      </c>
      <c r="K692" s="2">
        <f>SUMIF(order_details!A:A,Table1[[#This Row],[orderID]],order_details!F:F)</f>
        <v>2731.875</v>
      </c>
      <c r="L692" s="9">
        <f>_xlfn.XLOOKUP(Table1[[#This Row],[orderID]],Table3[orderID],Table3[discount])</f>
        <v>0.25</v>
      </c>
      <c r="M692" s="2">
        <f>SUM(Table1[[#This Row],[Sales]],Table1[[#This Row],[freight]])</f>
        <v>2763.7649999999999</v>
      </c>
      <c r="N692" s="3">
        <f>_xlfn.XLOOKUP(Table1[[#This Row],[orderID]],Table3[orderID],Table3[quantity])</f>
        <v>20</v>
      </c>
      <c r="O692" s="6" t="str">
        <f>_xlfn.XLOOKUP(Table1[[#This Row],[CustomerID]],customers!A:A,customers!B:B)</f>
        <v>QUICK-Stop</v>
      </c>
      <c r="P692" s="6" t="str">
        <f>_xlfn.XLOOKUP(Table1[[#This Row],[shipperID]],Table6[shipperID],Table6[companyName])</f>
        <v>United Package</v>
      </c>
      <c r="Q692">
        <f>YEAR(Table1[[#This Row],[OrderDate]])</f>
        <v>2015</v>
      </c>
      <c r="R692">
        <f>MONTH(Table1[[#This Row],[OrderDate]])</f>
        <v>3</v>
      </c>
      <c r="S692" t="str">
        <f>"Q"&amp;ROUNDUP(Table1[[#This Row],[month]]/3,0)</f>
        <v>Q1</v>
      </c>
      <c r="T692" t="str">
        <f>CONCATENATE(Table1[[#This Row],[year]],"-",Table1[[#This Row],[Quarter]])</f>
        <v>2015-Q1</v>
      </c>
      <c r="U692" s="6" t="str">
        <f>IF(H691="","Pending",IF(Table1[[#This Row],[Days to ship]]&lt;Table1[[#This Row],[RequiredDate]],"On Time","Late"))</f>
        <v>On Time</v>
      </c>
      <c r="V692">
        <f>_xlfn.XLOOKUP(Table1[[#This Row],[orderID]],Table3[orderID],Table3[unitPrice])</f>
        <v>6</v>
      </c>
    </row>
    <row r="693" spans="1:22" x14ac:dyDescent="0.45">
      <c r="A693" s="3">
        <v>10939</v>
      </c>
      <c r="B693" s="6" t="s">
        <v>217</v>
      </c>
      <c r="C693" s="3">
        <v>2</v>
      </c>
      <c r="D693" s="6" t="str">
        <f>_xlfn.XLOOKUP(Table1[[#This Row],[EmployeeID]],Table4[employeeID],Table4[employeeName])</f>
        <v>Andrew Fuller</v>
      </c>
      <c r="E693" s="1">
        <v>42073</v>
      </c>
      <c r="F693" s="1">
        <v>42101</v>
      </c>
      <c r="G693" s="1">
        <v>42076</v>
      </c>
      <c r="H693" s="3">
        <f>IF(Table1[[#This Row],[ShippedDate]]="","",IF(Table1[[#This Row],[OrderDate]]="","",Table1[[#This Row],[ShippedDate]]-Table1[[#This Row],[OrderDate]]))</f>
        <v>3</v>
      </c>
      <c r="I693" s="3">
        <v>2</v>
      </c>
      <c r="J693" s="2">
        <v>76.33</v>
      </c>
      <c r="K693" s="2">
        <f>SUMIF(order_details!A:A,Table1[[#This Row],[orderID]],order_details!F:F)</f>
        <v>637.5</v>
      </c>
      <c r="L693" s="9">
        <f>_xlfn.XLOOKUP(Table1[[#This Row],[orderID]],Table3[orderID],Table3[discount])</f>
        <v>0.15</v>
      </c>
      <c r="M693" s="2">
        <f>SUM(Table1[[#This Row],[Sales]],Table1[[#This Row],[freight]])</f>
        <v>713.83</v>
      </c>
      <c r="N693" s="3">
        <f>_xlfn.XLOOKUP(Table1[[#This Row],[orderID]],Table3[orderID],Table3[quantity])</f>
        <v>10</v>
      </c>
      <c r="O693" s="6" t="str">
        <f>_xlfn.XLOOKUP(Table1[[#This Row],[CustomerID]],customers!A:A,customers!B:B)</f>
        <v>Magazzini Alimentari Riuniti</v>
      </c>
      <c r="P693" s="6" t="str">
        <f>_xlfn.XLOOKUP(Table1[[#This Row],[shipperID]],Table6[shipperID],Table6[companyName])</f>
        <v>United Package</v>
      </c>
      <c r="Q693">
        <f>YEAR(Table1[[#This Row],[OrderDate]])</f>
        <v>2015</v>
      </c>
      <c r="R693">
        <f>MONTH(Table1[[#This Row],[OrderDate]])</f>
        <v>3</v>
      </c>
      <c r="S693" t="str">
        <f>"Q"&amp;ROUNDUP(Table1[[#This Row],[month]]/3,0)</f>
        <v>Q1</v>
      </c>
      <c r="T693" t="str">
        <f>CONCATENATE(Table1[[#This Row],[year]],"-",Table1[[#This Row],[Quarter]])</f>
        <v>2015-Q1</v>
      </c>
      <c r="U693" s="6" t="str">
        <f>IF(H692="","Pending",IF(Table1[[#This Row],[Days to ship]]&lt;Table1[[#This Row],[RequiredDate]],"On Time","Late"))</f>
        <v>On Time</v>
      </c>
      <c r="V693">
        <f>_xlfn.XLOOKUP(Table1[[#This Row],[orderID]],Table3[orderID],Table3[unitPrice])</f>
        <v>19</v>
      </c>
    </row>
    <row r="694" spans="1:22" x14ac:dyDescent="0.45">
      <c r="A694" s="3">
        <v>10940</v>
      </c>
      <c r="B694" s="6" t="s">
        <v>154</v>
      </c>
      <c r="C694" s="3">
        <v>8</v>
      </c>
      <c r="D694" s="6" t="str">
        <f>_xlfn.XLOOKUP(Table1[[#This Row],[EmployeeID]],Table4[employeeID],Table4[employeeName])</f>
        <v>Laura Callahan</v>
      </c>
      <c r="E694" s="1">
        <v>42074</v>
      </c>
      <c r="F694" s="1">
        <v>42102</v>
      </c>
      <c r="G694" s="1">
        <v>42086</v>
      </c>
      <c r="H694" s="3">
        <f>IF(Table1[[#This Row],[ShippedDate]]="","",IF(Table1[[#This Row],[OrderDate]]="","",Table1[[#This Row],[ShippedDate]]-Table1[[#This Row],[OrderDate]]))</f>
        <v>12</v>
      </c>
      <c r="I694" s="3">
        <v>3</v>
      </c>
      <c r="J694" s="2">
        <v>19.77</v>
      </c>
      <c r="K694" s="2">
        <f>SUMIF(order_details!A:A,Table1[[#This Row],[orderID]],order_details!F:F)</f>
        <v>360</v>
      </c>
      <c r="L694" s="9">
        <f>_xlfn.XLOOKUP(Table1[[#This Row],[orderID]],Table3[orderID],Table3[discount])</f>
        <v>0</v>
      </c>
      <c r="M694" s="2">
        <f>SUM(Table1[[#This Row],[Sales]],Table1[[#This Row],[freight]])</f>
        <v>379.77</v>
      </c>
      <c r="N694" s="3">
        <f>_xlfn.XLOOKUP(Table1[[#This Row],[orderID]],Table3[orderID],Table3[quantity])</f>
        <v>8</v>
      </c>
      <c r="O694" s="6" t="str">
        <f>_xlfn.XLOOKUP(Table1[[#This Row],[CustomerID]],customers!A:A,customers!B:B)</f>
        <v>Bon app'</v>
      </c>
      <c r="P694" s="6" t="str">
        <f>_xlfn.XLOOKUP(Table1[[#This Row],[shipperID]],Table6[shipperID],Table6[companyName])</f>
        <v>Federal Shipping</v>
      </c>
      <c r="Q694">
        <f>YEAR(Table1[[#This Row],[OrderDate]])</f>
        <v>2015</v>
      </c>
      <c r="R694">
        <f>MONTH(Table1[[#This Row],[OrderDate]])</f>
        <v>3</v>
      </c>
      <c r="S694" t="str">
        <f>"Q"&amp;ROUNDUP(Table1[[#This Row],[month]]/3,0)</f>
        <v>Q1</v>
      </c>
      <c r="T694" t="str">
        <f>CONCATENATE(Table1[[#This Row],[year]],"-",Table1[[#This Row],[Quarter]])</f>
        <v>2015-Q1</v>
      </c>
      <c r="U694" s="6" t="str">
        <f>IF(H693="","Pending",IF(Table1[[#This Row],[Days to ship]]&lt;Table1[[#This Row],[RequiredDate]],"On Time","Late"))</f>
        <v>On Time</v>
      </c>
      <c r="V694">
        <f>_xlfn.XLOOKUP(Table1[[#This Row],[orderID]],Table3[orderID],Table3[unitPrice])</f>
        <v>30</v>
      </c>
    </row>
    <row r="695" spans="1:22" x14ac:dyDescent="0.45">
      <c r="A695" s="3">
        <v>10941</v>
      </c>
      <c r="B695" s="6" t="s">
        <v>165</v>
      </c>
      <c r="C695" s="3">
        <v>7</v>
      </c>
      <c r="D695" s="6" t="str">
        <f>_xlfn.XLOOKUP(Table1[[#This Row],[EmployeeID]],Table4[employeeID],Table4[employeeName])</f>
        <v>Robert King</v>
      </c>
      <c r="E695" s="1">
        <v>42074</v>
      </c>
      <c r="F695" s="1">
        <v>42102</v>
      </c>
      <c r="G695" s="1">
        <v>42083</v>
      </c>
      <c r="H695" s="3">
        <f>IF(Table1[[#This Row],[ShippedDate]]="","",IF(Table1[[#This Row],[OrderDate]]="","",Table1[[#This Row],[ShippedDate]]-Table1[[#This Row],[OrderDate]]))</f>
        <v>9</v>
      </c>
      <c r="I695" s="3">
        <v>2</v>
      </c>
      <c r="J695" s="2">
        <v>400.81</v>
      </c>
      <c r="K695" s="2">
        <f>SUMIF(order_details!A:A,Table1[[#This Row],[orderID]],order_details!F:F)</f>
        <v>4011.75</v>
      </c>
      <c r="L695" s="9">
        <f>_xlfn.XLOOKUP(Table1[[#This Row],[orderID]],Table3[orderID],Table3[discount])</f>
        <v>0.25</v>
      </c>
      <c r="M695" s="2">
        <f>SUM(Table1[[#This Row],[Sales]],Table1[[#This Row],[freight]])</f>
        <v>4412.5600000000004</v>
      </c>
      <c r="N695" s="3">
        <f>_xlfn.XLOOKUP(Table1[[#This Row],[orderID]],Table3[orderID],Table3[quantity])</f>
        <v>44</v>
      </c>
      <c r="O695" s="6" t="str">
        <f>_xlfn.XLOOKUP(Table1[[#This Row],[CustomerID]],customers!A:A,customers!B:B)</f>
        <v>Save-a-lot Markets</v>
      </c>
      <c r="P695" s="6" t="str">
        <f>_xlfn.XLOOKUP(Table1[[#This Row],[shipperID]],Table6[shipperID],Table6[companyName])</f>
        <v>United Package</v>
      </c>
      <c r="Q695">
        <f>YEAR(Table1[[#This Row],[OrderDate]])</f>
        <v>2015</v>
      </c>
      <c r="R695">
        <f>MONTH(Table1[[#This Row],[OrderDate]])</f>
        <v>3</v>
      </c>
      <c r="S695" t="str">
        <f>"Q"&amp;ROUNDUP(Table1[[#This Row],[month]]/3,0)</f>
        <v>Q1</v>
      </c>
      <c r="T695" t="str">
        <f>CONCATENATE(Table1[[#This Row],[year]],"-",Table1[[#This Row],[Quarter]])</f>
        <v>2015-Q1</v>
      </c>
      <c r="U695" s="6" t="str">
        <f>IF(H694="","Pending",IF(Table1[[#This Row],[Days to ship]]&lt;Table1[[#This Row],[RequiredDate]],"On Time","Late"))</f>
        <v>On Time</v>
      </c>
      <c r="V695">
        <f>_xlfn.XLOOKUP(Table1[[#This Row],[orderID]],Table3[orderID],Table3[unitPrice])</f>
        <v>12.5</v>
      </c>
    </row>
    <row r="696" spans="1:22" x14ac:dyDescent="0.45">
      <c r="A696" s="3">
        <v>10942</v>
      </c>
      <c r="B696" s="6" t="s">
        <v>167</v>
      </c>
      <c r="C696" s="3">
        <v>9</v>
      </c>
      <c r="D696" s="6" t="str">
        <f>_xlfn.XLOOKUP(Table1[[#This Row],[EmployeeID]],Table4[employeeID],Table4[employeeName])</f>
        <v>Anne Dodsworth</v>
      </c>
      <c r="E696" s="1">
        <v>42074</v>
      </c>
      <c r="F696" s="1">
        <v>42102</v>
      </c>
      <c r="G696" s="1">
        <v>42081</v>
      </c>
      <c r="H696" s="3">
        <f>IF(Table1[[#This Row],[ShippedDate]]="","",IF(Table1[[#This Row],[OrderDate]]="","",Table1[[#This Row],[ShippedDate]]-Table1[[#This Row],[OrderDate]]))</f>
        <v>7</v>
      </c>
      <c r="I696" s="3">
        <v>3</v>
      </c>
      <c r="J696" s="2">
        <v>17.95</v>
      </c>
      <c r="K696" s="2">
        <f>SUMIF(order_details!A:A,Table1[[#This Row],[orderID]],order_details!F:F)</f>
        <v>560</v>
      </c>
      <c r="L696" s="9">
        <f>_xlfn.XLOOKUP(Table1[[#This Row],[orderID]],Table3[orderID],Table3[discount])</f>
        <v>0</v>
      </c>
      <c r="M696" s="2">
        <f>SUM(Table1[[#This Row],[Sales]],Table1[[#This Row],[freight]])</f>
        <v>577.95000000000005</v>
      </c>
      <c r="N696" s="3">
        <f>_xlfn.XLOOKUP(Table1[[#This Row],[orderID]],Table3[orderID],Table3[quantity])</f>
        <v>28</v>
      </c>
      <c r="O696" s="6" t="str">
        <f>_xlfn.XLOOKUP(Table1[[#This Row],[CustomerID]],customers!A:A,customers!B:B)</f>
        <v>Reggiani Caseifici</v>
      </c>
      <c r="P696" s="6" t="str">
        <f>_xlfn.XLOOKUP(Table1[[#This Row],[shipperID]],Table6[shipperID],Table6[companyName])</f>
        <v>Federal Shipping</v>
      </c>
      <c r="Q696">
        <f>YEAR(Table1[[#This Row],[OrderDate]])</f>
        <v>2015</v>
      </c>
      <c r="R696">
        <f>MONTH(Table1[[#This Row],[OrderDate]])</f>
        <v>3</v>
      </c>
      <c r="S696" t="str">
        <f>"Q"&amp;ROUNDUP(Table1[[#This Row],[month]]/3,0)</f>
        <v>Q1</v>
      </c>
      <c r="T696" t="str">
        <f>CONCATENATE(Table1[[#This Row],[year]],"-",Table1[[#This Row],[Quarter]])</f>
        <v>2015-Q1</v>
      </c>
      <c r="U696" s="6" t="str">
        <f>IF(H695="","Pending",IF(Table1[[#This Row],[Days to ship]]&lt;Table1[[#This Row],[RequiredDate]],"On Time","Late"))</f>
        <v>On Time</v>
      </c>
      <c r="V696">
        <f>_xlfn.XLOOKUP(Table1[[#This Row],[orderID]],Table3[orderID],Table3[unitPrice])</f>
        <v>20</v>
      </c>
    </row>
    <row r="697" spans="1:22" x14ac:dyDescent="0.45">
      <c r="A697" s="3">
        <v>10943</v>
      </c>
      <c r="B697" s="6" t="s">
        <v>193</v>
      </c>
      <c r="C697" s="3">
        <v>4</v>
      </c>
      <c r="D697" s="6" t="str">
        <f>_xlfn.XLOOKUP(Table1[[#This Row],[EmployeeID]],Table4[employeeID],Table4[employeeName])</f>
        <v>Margaret Peacock</v>
      </c>
      <c r="E697" s="1">
        <v>42074</v>
      </c>
      <c r="F697" s="1">
        <v>42102</v>
      </c>
      <c r="G697" s="1">
        <v>42082</v>
      </c>
      <c r="H697" s="3">
        <f>IF(Table1[[#This Row],[ShippedDate]]="","",IF(Table1[[#This Row],[OrderDate]]="","",Table1[[#This Row],[ShippedDate]]-Table1[[#This Row],[OrderDate]]))</f>
        <v>8</v>
      </c>
      <c r="I697" s="3">
        <v>2</v>
      </c>
      <c r="J697" s="2">
        <v>2.17</v>
      </c>
      <c r="K697" s="2">
        <f>SUMIF(order_details!A:A,Table1[[#This Row],[orderID]],order_details!F:F)</f>
        <v>711</v>
      </c>
      <c r="L697" s="9">
        <f>_xlfn.XLOOKUP(Table1[[#This Row],[orderID]],Table3[orderID],Table3[discount])</f>
        <v>0</v>
      </c>
      <c r="M697" s="2">
        <f>SUM(Table1[[#This Row],[Sales]],Table1[[#This Row],[freight]])</f>
        <v>713.17</v>
      </c>
      <c r="N697" s="3">
        <f>_xlfn.XLOOKUP(Table1[[#This Row],[orderID]],Table3[orderID],Table3[quantity])</f>
        <v>15</v>
      </c>
      <c r="O697" s="6" t="str">
        <f>_xlfn.XLOOKUP(Table1[[#This Row],[CustomerID]],customers!A:A,customers!B:B)</f>
        <v>B's Beverages</v>
      </c>
      <c r="P697" s="6" t="str">
        <f>_xlfn.XLOOKUP(Table1[[#This Row],[shipperID]],Table6[shipperID],Table6[companyName])</f>
        <v>United Package</v>
      </c>
      <c r="Q697">
        <f>YEAR(Table1[[#This Row],[OrderDate]])</f>
        <v>2015</v>
      </c>
      <c r="R697">
        <f>MONTH(Table1[[#This Row],[OrderDate]])</f>
        <v>3</v>
      </c>
      <c r="S697" t="str">
        <f>"Q"&amp;ROUNDUP(Table1[[#This Row],[month]]/3,0)</f>
        <v>Q1</v>
      </c>
      <c r="T697" t="str">
        <f>CONCATENATE(Table1[[#This Row],[year]],"-",Table1[[#This Row],[Quarter]])</f>
        <v>2015-Q1</v>
      </c>
      <c r="U697" s="6" t="str">
        <f>IF(H696="","Pending",IF(Table1[[#This Row],[Days to ship]]&lt;Table1[[#This Row],[RequiredDate]],"On Time","Late"))</f>
        <v>On Time</v>
      </c>
      <c r="V697">
        <f>_xlfn.XLOOKUP(Table1[[#This Row],[orderID]],Table3[orderID],Table3[unitPrice])</f>
        <v>6</v>
      </c>
    </row>
    <row r="698" spans="1:22" x14ac:dyDescent="0.45">
      <c r="A698" s="3">
        <v>10944</v>
      </c>
      <c r="B698" s="6" t="s">
        <v>181</v>
      </c>
      <c r="C698" s="3">
        <v>6</v>
      </c>
      <c r="D698" s="6" t="str">
        <f>_xlfn.XLOOKUP(Table1[[#This Row],[EmployeeID]],Table4[employeeID],Table4[employeeName])</f>
        <v>Michael Suyama</v>
      </c>
      <c r="E698" s="1">
        <v>42075</v>
      </c>
      <c r="F698" s="1">
        <v>42089</v>
      </c>
      <c r="G698" s="1">
        <v>42076</v>
      </c>
      <c r="H698" s="3">
        <f>IF(Table1[[#This Row],[ShippedDate]]="","",IF(Table1[[#This Row],[OrderDate]]="","",Table1[[#This Row],[ShippedDate]]-Table1[[#This Row],[OrderDate]]))</f>
        <v>1</v>
      </c>
      <c r="I698" s="3">
        <v>3</v>
      </c>
      <c r="J698" s="2">
        <v>52.92</v>
      </c>
      <c r="K698" s="2">
        <f>SUMIF(order_details!A:A,Table1[[#This Row],[orderID]],order_details!F:F)</f>
        <v>1025.325</v>
      </c>
      <c r="L698" s="9">
        <f>_xlfn.XLOOKUP(Table1[[#This Row],[orderID]],Table3[orderID],Table3[discount])</f>
        <v>0.25</v>
      </c>
      <c r="M698" s="2">
        <f>SUM(Table1[[#This Row],[Sales]],Table1[[#This Row],[freight]])</f>
        <v>1078.2450000000001</v>
      </c>
      <c r="N698" s="3">
        <f>_xlfn.XLOOKUP(Table1[[#This Row],[orderID]],Table3[orderID],Table3[quantity])</f>
        <v>5</v>
      </c>
      <c r="O698" s="6" t="str">
        <f>_xlfn.XLOOKUP(Table1[[#This Row],[CustomerID]],customers!A:A,customers!B:B)</f>
        <v>Bottom-Dollar Markets</v>
      </c>
      <c r="P698" s="6" t="str">
        <f>_xlfn.XLOOKUP(Table1[[#This Row],[shipperID]],Table6[shipperID],Table6[companyName])</f>
        <v>Federal Shipping</v>
      </c>
      <c r="Q698">
        <f>YEAR(Table1[[#This Row],[OrderDate]])</f>
        <v>2015</v>
      </c>
      <c r="R698">
        <f>MONTH(Table1[[#This Row],[OrderDate]])</f>
        <v>3</v>
      </c>
      <c r="S698" t="str">
        <f>"Q"&amp;ROUNDUP(Table1[[#This Row],[month]]/3,0)</f>
        <v>Q1</v>
      </c>
      <c r="T698" t="str">
        <f>CONCATENATE(Table1[[#This Row],[year]],"-",Table1[[#This Row],[Quarter]])</f>
        <v>2015-Q1</v>
      </c>
      <c r="U698" s="6" t="str">
        <f>IF(H697="","Pending",IF(Table1[[#This Row],[Days to ship]]&lt;Table1[[#This Row],[RequiredDate]],"On Time","Late"))</f>
        <v>On Time</v>
      </c>
      <c r="V698">
        <f>_xlfn.XLOOKUP(Table1[[#This Row],[orderID]],Table3[orderID],Table3[unitPrice])</f>
        <v>21</v>
      </c>
    </row>
    <row r="699" spans="1:22" x14ac:dyDescent="0.45">
      <c r="A699" s="3">
        <v>10945</v>
      </c>
      <c r="B699" s="6" t="s">
        <v>218</v>
      </c>
      <c r="C699" s="3">
        <v>4</v>
      </c>
      <c r="D699" s="6" t="str">
        <f>_xlfn.XLOOKUP(Table1[[#This Row],[EmployeeID]],Table4[employeeID],Table4[employeeName])</f>
        <v>Margaret Peacock</v>
      </c>
      <c r="E699" s="1">
        <v>42075</v>
      </c>
      <c r="F699" s="1">
        <v>42103</v>
      </c>
      <c r="G699" s="1">
        <v>42081</v>
      </c>
      <c r="H699" s="3">
        <f>IF(Table1[[#This Row],[ShippedDate]]="","",IF(Table1[[#This Row],[OrderDate]]="","",Table1[[#This Row],[ShippedDate]]-Table1[[#This Row],[OrderDate]]))</f>
        <v>6</v>
      </c>
      <c r="I699" s="3">
        <v>1</v>
      </c>
      <c r="J699" s="2">
        <v>10.220000000000001</v>
      </c>
      <c r="K699" s="2">
        <f>SUMIF(order_details!A:A,Table1[[#This Row],[orderID]],order_details!F:F)</f>
        <v>245</v>
      </c>
      <c r="L699" s="9">
        <f>_xlfn.XLOOKUP(Table1[[#This Row],[orderID]],Table3[orderID],Table3[discount])</f>
        <v>0</v>
      </c>
      <c r="M699" s="2">
        <f>SUM(Table1[[#This Row],[Sales]],Table1[[#This Row],[freight]])</f>
        <v>255.22</v>
      </c>
      <c r="N699" s="3">
        <f>_xlfn.XLOOKUP(Table1[[#This Row],[orderID]],Table3[orderID],Table3[quantity])</f>
        <v>20</v>
      </c>
      <c r="O699" s="6" t="str">
        <f>_xlfn.XLOOKUP(Table1[[#This Row],[CustomerID]],customers!A:A,customers!B:B)</f>
        <v>Morgenstern Gesundkost</v>
      </c>
      <c r="P699" s="6" t="str">
        <f>_xlfn.XLOOKUP(Table1[[#This Row],[shipperID]],Table6[shipperID],Table6[companyName])</f>
        <v>Speedy Express</v>
      </c>
      <c r="Q699">
        <f>YEAR(Table1[[#This Row],[OrderDate]])</f>
        <v>2015</v>
      </c>
      <c r="R699">
        <f>MONTH(Table1[[#This Row],[OrderDate]])</f>
        <v>3</v>
      </c>
      <c r="S699" t="str">
        <f>"Q"&amp;ROUNDUP(Table1[[#This Row],[month]]/3,0)</f>
        <v>Q1</v>
      </c>
      <c r="T699" t="str">
        <f>CONCATENATE(Table1[[#This Row],[year]],"-",Table1[[#This Row],[Quarter]])</f>
        <v>2015-Q1</v>
      </c>
      <c r="U699" s="6" t="str">
        <f>IF(H698="","Pending",IF(Table1[[#This Row],[Days to ship]]&lt;Table1[[#This Row],[RequiredDate]],"On Time","Late"))</f>
        <v>On Time</v>
      </c>
      <c r="V699">
        <f>_xlfn.XLOOKUP(Table1[[#This Row],[orderID]],Table3[orderID],Table3[unitPrice])</f>
        <v>6</v>
      </c>
    </row>
    <row r="700" spans="1:22" x14ac:dyDescent="0.45">
      <c r="A700" s="3">
        <v>10946</v>
      </c>
      <c r="B700" s="6" t="s">
        <v>207</v>
      </c>
      <c r="C700" s="3">
        <v>1</v>
      </c>
      <c r="D700" s="6" t="str">
        <f>_xlfn.XLOOKUP(Table1[[#This Row],[EmployeeID]],Table4[employeeID],Table4[employeeName])</f>
        <v>Nancy Davolio</v>
      </c>
      <c r="E700" s="1">
        <v>42075</v>
      </c>
      <c r="F700" s="1">
        <v>42103</v>
      </c>
      <c r="G700" s="1">
        <v>42082</v>
      </c>
      <c r="H700" s="3">
        <f>IF(Table1[[#This Row],[ShippedDate]]="","",IF(Table1[[#This Row],[OrderDate]]="","",Table1[[#This Row],[ShippedDate]]-Table1[[#This Row],[OrderDate]]))</f>
        <v>7</v>
      </c>
      <c r="I700" s="3">
        <v>2</v>
      </c>
      <c r="J700" s="2">
        <v>27.2</v>
      </c>
      <c r="K700" s="2">
        <f>SUMIF(order_details!A:A,Table1[[#This Row],[orderID]],order_details!F:F)</f>
        <v>1407.5</v>
      </c>
      <c r="L700" s="9">
        <f>_xlfn.XLOOKUP(Table1[[#This Row],[orderID]],Table3[orderID],Table3[discount])</f>
        <v>0</v>
      </c>
      <c r="M700" s="2">
        <f>SUM(Table1[[#This Row],[Sales]],Table1[[#This Row],[freight]])</f>
        <v>1434.7</v>
      </c>
      <c r="N700" s="3">
        <f>_xlfn.XLOOKUP(Table1[[#This Row],[orderID]],Table3[orderID],Table3[quantity])</f>
        <v>25</v>
      </c>
      <c r="O700" s="6" t="str">
        <f>_xlfn.XLOOKUP(Table1[[#This Row],[CustomerID]],customers!A:A,customers!B:B)</f>
        <v>Vaffeljernet</v>
      </c>
      <c r="P700" s="6" t="str">
        <f>_xlfn.XLOOKUP(Table1[[#This Row],[shipperID]],Table6[shipperID],Table6[companyName])</f>
        <v>United Package</v>
      </c>
      <c r="Q700">
        <f>YEAR(Table1[[#This Row],[OrderDate]])</f>
        <v>2015</v>
      </c>
      <c r="R700">
        <f>MONTH(Table1[[#This Row],[OrderDate]])</f>
        <v>3</v>
      </c>
      <c r="S700" t="str">
        <f>"Q"&amp;ROUNDUP(Table1[[#This Row],[month]]/3,0)</f>
        <v>Q1</v>
      </c>
      <c r="T700" t="str">
        <f>CONCATENATE(Table1[[#This Row],[year]],"-",Table1[[#This Row],[Quarter]])</f>
        <v>2015-Q1</v>
      </c>
      <c r="U700" s="6" t="str">
        <f>IF(H699="","Pending",IF(Table1[[#This Row],[Days to ship]]&lt;Table1[[#This Row],[RequiredDate]],"On Time","Late"))</f>
        <v>On Time</v>
      </c>
      <c r="V700">
        <f>_xlfn.XLOOKUP(Table1[[#This Row],[orderID]],Table3[orderID],Table3[unitPrice])</f>
        <v>31</v>
      </c>
    </row>
    <row r="701" spans="1:22" x14ac:dyDescent="0.45">
      <c r="A701" s="3">
        <v>10947</v>
      </c>
      <c r="B701" s="6" t="s">
        <v>193</v>
      </c>
      <c r="C701" s="3">
        <v>3</v>
      </c>
      <c r="D701" s="6" t="str">
        <f>_xlfn.XLOOKUP(Table1[[#This Row],[EmployeeID]],Table4[employeeID],Table4[employeeName])</f>
        <v>Janet Leverling</v>
      </c>
      <c r="E701" s="1">
        <v>42076</v>
      </c>
      <c r="F701" s="1">
        <v>42104</v>
      </c>
      <c r="G701" s="1">
        <v>42079</v>
      </c>
      <c r="H701" s="3">
        <f>IF(Table1[[#This Row],[ShippedDate]]="","",IF(Table1[[#This Row],[OrderDate]]="","",Table1[[#This Row],[ShippedDate]]-Table1[[#This Row],[OrderDate]]))</f>
        <v>3</v>
      </c>
      <c r="I701" s="3">
        <v>2</v>
      </c>
      <c r="J701" s="2">
        <v>3.26</v>
      </c>
      <c r="K701" s="2">
        <f>SUMIF(order_details!A:A,Table1[[#This Row],[orderID]],order_details!F:F)</f>
        <v>220</v>
      </c>
      <c r="L701" s="9">
        <f>_xlfn.XLOOKUP(Table1[[#This Row],[orderID]],Table3[orderID],Table3[discount])</f>
        <v>0</v>
      </c>
      <c r="M701" s="2">
        <f>SUM(Table1[[#This Row],[Sales]],Table1[[#This Row],[freight]])</f>
        <v>223.26</v>
      </c>
      <c r="N701" s="3">
        <f>_xlfn.XLOOKUP(Table1[[#This Row],[orderID]],Table3[orderID],Table3[quantity])</f>
        <v>4</v>
      </c>
      <c r="O701" s="6" t="str">
        <f>_xlfn.XLOOKUP(Table1[[#This Row],[CustomerID]],customers!A:A,customers!B:B)</f>
        <v>B's Beverages</v>
      </c>
      <c r="P701" s="6" t="str">
        <f>_xlfn.XLOOKUP(Table1[[#This Row],[shipperID]],Table6[shipperID],Table6[companyName])</f>
        <v>United Package</v>
      </c>
      <c r="Q701">
        <f>YEAR(Table1[[#This Row],[OrderDate]])</f>
        <v>2015</v>
      </c>
      <c r="R701">
        <f>MONTH(Table1[[#This Row],[OrderDate]])</f>
        <v>3</v>
      </c>
      <c r="S701" t="str">
        <f>"Q"&amp;ROUNDUP(Table1[[#This Row],[month]]/3,0)</f>
        <v>Q1</v>
      </c>
      <c r="T701" t="str">
        <f>CONCATENATE(Table1[[#This Row],[year]],"-",Table1[[#This Row],[Quarter]])</f>
        <v>2015-Q1</v>
      </c>
      <c r="U701" s="6" t="str">
        <f>IF(H700="","Pending",IF(Table1[[#This Row],[Days to ship]]&lt;Table1[[#This Row],[RequiredDate]],"On Time","Late"))</f>
        <v>On Time</v>
      </c>
      <c r="V701">
        <f>_xlfn.XLOOKUP(Table1[[#This Row],[orderID]],Table3[orderID],Table3[unitPrice])</f>
        <v>55</v>
      </c>
    </row>
    <row r="702" spans="1:22" x14ac:dyDescent="0.45">
      <c r="A702" s="3">
        <v>10948</v>
      </c>
      <c r="B702" s="6" t="s">
        <v>189</v>
      </c>
      <c r="C702" s="3">
        <v>3</v>
      </c>
      <c r="D702" s="6" t="str">
        <f>_xlfn.XLOOKUP(Table1[[#This Row],[EmployeeID]],Table4[employeeID],Table4[employeeName])</f>
        <v>Janet Leverling</v>
      </c>
      <c r="E702" s="1">
        <v>42076</v>
      </c>
      <c r="F702" s="1">
        <v>42104</v>
      </c>
      <c r="G702" s="1">
        <v>42082</v>
      </c>
      <c r="H702" s="3">
        <f>IF(Table1[[#This Row],[ShippedDate]]="","",IF(Table1[[#This Row],[OrderDate]]="","",Table1[[#This Row],[ShippedDate]]-Table1[[#This Row],[OrderDate]]))</f>
        <v>6</v>
      </c>
      <c r="I702" s="3">
        <v>3</v>
      </c>
      <c r="J702" s="2">
        <v>23.39</v>
      </c>
      <c r="K702" s="2">
        <f>SUMIF(order_details!A:A,Table1[[#This Row],[orderID]],order_details!F:F)</f>
        <v>2362.25</v>
      </c>
      <c r="L702" s="9">
        <f>_xlfn.XLOOKUP(Table1[[#This Row],[orderID]],Table3[orderID],Table3[discount])</f>
        <v>0</v>
      </c>
      <c r="M702" s="2">
        <f>SUM(Table1[[#This Row],[Sales]],Table1[[#This Row],[freight]])</f>
        <v>2385.64</v>
      </c>
      <c r="N702" s="3">
        <f>_xlfn.XLOOKUP(Table1[[#This Row],[orderID]],Table3[orderID],Table3[quantity])</f>
        <v>9</v>
      </c>
      <c r="O702" s="6" t="str">
        <f>_xlfn.XLOOKUP(Table1[[#This Row],[CustomerID]],customers!A:A,customers!B:B)</f>
        <v>Godos Cocina Típica</v>
      </c>
      <c r="P702" s="6" t="str">
        <f>_xlfn.XLOOKUP(Table1[[#This Row],[shipperID]],Table6[shipperID],Table6[companyName])</f>
        <v>Federal Shipping</v>
      </c>
      <c r="Q702">
        <f>YEAR(Table1[[#This Row],[OrderDate]])</f>
        <v>2015</v>
      </c>
      <c r="R702">
        <f>MONTH(Table1[[#This Row],[OrderDate]])</f>
        <v>3</v>
      </c>
      <c r="S702" t="str">
        <f>"Q"&amp;ROUNDUP(Table1[[#This Row],[month]]/3,0)</f>
        <v>Q1</v>
      </c>
      <c r="T702" t="str">
        <f>CONCATENATE(Table1[[#This Row],[year]],"-",Table1[[#This Row],[Quarter]])</f>
        <v>2015-Q1</v>
      </c>
      <c r="U702" s="6" t="str">
        <f>IF(H701="","Pending",IF(Table1[[#This Row],[Days to ship]]&lt;Table1[[#This Row],[RequiredDate]],"On Time","Late"))</f>
        <v>On Time</v>
      </c>
      <c r="V702">
        <f>_xlfn.XLOOKUP(Table1[[#This Row],[orderID]],Table3[orderID],Table3[unitPrice])</f>
        <v>16.25</v>
      </c>
    </row>
    <row r="703" spans="1:22" x14ac:dyDescent="0.45">
      <c r="A703" s="3">
        <v>10949</v>
      </c>
      <c r="B703" s="6" t="s">
        <v>181</v>
      </c>
      <c r="C703" s="3">
        <v>2</v>
      </c>
      <c r="D703" s="6" t="str">
        <f>_xlfn.XLOOKUP(Table1[[#This Row],[EmployeeID]],Table4[employeeID],Table4[employeeName])</f>
        <v>Andrew Fuller</v>
      </c>
      <c r="E703" s="1">
        <v>42076</v>
      </c>
      <c r="F703" s="1">
        <v>42104</v>
      </c>
      <c r="G703" s="1">
        <v>42080</v>
      </c>
      <c r="H703" s="3">
        <f>IF(Table1[[#This Row],[ShippedDate]]="","",IF(Table1[[#This Row],[OrderDate]]="","",Table1[[#This Row],[ShippedDate]]-Table1[[#This Row],[OrderDate]]))</f>
        <v>4</v>
      </c>
      <c r="I703" s="3">
        <v>3</v>
      </c>
      <c r="J703" s="2">
        <v>74.44</v>
      </c>
      <c r="K703" s="2">
        <f>SUMIF(order_details!A:A,Table1[[#This Row],[orderID]],order_details!F:F)</f>
        <v>4422</v>
      </c>
      <c r="L703" s="9">
        <f>_xlfn.XLOOKUP(Table1[[#This Row],[orderID]],Table3[orderID],Table3[discount])</f>
        <v>0</v>
      </c>
      <c r="M703" s="2">
        <f>SUM(Table1[[#This Row],[Sales]],Table1[[#This Row],[freight]])</f>
        <v>4496.4399999999996</v>
      </c>
      <c r="N703" s="3">
        <f>_xlfn.XLOOKUP(Table1[[#This Row],[orderID]],Table3[orderID],Table3[quantity])</f>
        <v>12</v>
      </c>
      <c r="O703" s="6" t="str">
        <f>_xlfn.XLOOKUP(Table1[[#This Row],[CustomerID]],customers!A:A,customers!B:B)</f>
        <v>Bottom-Dollar Markets</v>
      </c>
      <c r="P703" s="6" t="str">
        <f>_xlfn.XLOOKUP(Table1[[#This Row],[shipperID]],Table6[shipperID],Table6[companyName])</f>
        <v>Federal Shipping</v>
      </c>
      <c r="Q703">
        <f>YEAR(Table1[[#This Row],[OrderDate]])</f>
        <v>2015</v>
      </c>
      <c r="R703">
        <f>MONTH(Table1[[#This Row],[OrderDate]])</f>
        <v>3</v>
      </c>
      <c r="S703" t="str">
        <f>"Q"&amp;ROUNDUP(Table1[[#This Row],[month]]/3,0)</f>
        <v>Q1</v>
      </c>
      <c r="T703" t="str">
        <f>CONCATENATE(Table1[[#This Row],[year]],"-",Table1[[#This Row],[Quarter]])</f>
        <v>2015-Q1</v>
      </c>
      <c r="U703" s="6" t="str">
        <f>IF(H702="","Pending",IF(Table1[[#This Row],[Days to ship]]&lt;Table1[[#This Row],[RequiredDate]],"On Time","Late"))</f>
        <v>On Time</v>
      </c>
      <c r="V703">
        <f>_xlfn.XLOOKUP(Table1[[#This Row],[orderID]],Table3[orderID],Table3[unitPrice])</f>
        <v>25</v>
      </c>
    </row>
    <row r="704" spans="1:22" x14ac:dyDescent="0.45">
      <c r="A704" s="3">
        <v>10950</v>
      </c>
      <c r="B704" s="6" t="s">
        <v>217</v>
      </c>
      <c r="C704" s="3">
        <v>1</v>
      </c>
      <c r="D704" s="6" t="str">
        <f>_xlfn.XLOOKUP(Table1[[#This Row],[EmployeeID]],Table4[employeeID],Table4[employeeName])</f>
        <v>Nancy Davolio</v>
      </c>
      <c r="E704" s="1">
        <v>42079</v>
      </c>
      <c r="F704" s="1">
        <v>42107</v>
      </c>
      <c r="G704" s="1">
        <v>42086</v>
      </c>
      <c r="H704" s="3">
        <f>IF(Table1[[#This Row],[ShippedDate]]="","",IF(Table1[[#This Row],[OrderDate]]="","",Table1[[#This Row],[ShippedDate]]-Table1[[#This Row],[OrderDate]]))</f>
        <v>7</v>
      </c>
      <c r="I704" s="3">
        <v>2</v>
      </c>
      <c r="J704" s="2">
        <v>2.5</v>
      </c>
      <c r="K704" s="2">
        <f>SUMIF(order_details!A:A,Table1[[#This Row],[orderID]],order_details!F:F)</f>
        <v>110</v>
      </c>
      <c r="L704" s="9">
        <f>_xlfn.XLOOKUP(Table1[[#This Row],[orderID]],Table3[orderID],Table3[discount])</f>
        <v>0</v>
      </c>
      <c r="M704" s="2">
        <f>SUM(Table1[[#This Row],[Sales]],Table1[[#This Row],[freight]])</f>
        <v>112.5</v>
      </c>
      <c r="N704" s="3">
        <f>_xlfn.XLOOKUP(Table1[[#This Row],[orderID]],Table3[orderID],Table3[quantity])</f>
        <v>5</v>
      </c>
      <c r="O704" s="6" t="str">
        <f>_xlfn.XLOOKUP(Table1[[#This Row],[CustomerID]],customers!A:A,customers!B:B)</f>
        <v>Magazzini Alimentari Riuniti</v>
      </c>
      <c r="P704" s="6" t="str">
        <f>_xlfn.XLOOKUP(Table1[[#This Row],[shipperID]],Table6[shipperID],Table6[companyName])</f>
        <v>United Package</v>
      </c>
      <c r="Q704">
        <f>YEAR(Table1[[#This Row],[OrderDate]])</f>
        <v>2015</v>
      </c>
      <c r="R704">
        <f>MONTH(Table1[[#This Row],[OrderDate]])</f>
        <v>3</v>
      </c>
      <c r="S704" t="str">
        <f>"Q"&amp;ROUNDUP(Table1[[#This Row],[month]]/3,0)</f>
        <v>Q1</v>
      </c>
      <c r="T704" t="str">
        <f>CONCATENATE(Table1[[#This Row],[year]],"-",Table1[[#This Row],[Quarter]])</f>
        <v>2015-Q1</v>
      </c>
      <c r="U704" s="6" t="str">
        <f>IF(H703="","Pending",IF(Table1[[#This Row],[Days to ship]]&lt;Table1[[#This Row],[RequiredDate]],"On Time","Late"))</f>
        <v>On Time</v>
      </c>
      <c r="V704">
        <f>_xlfn.XLOOKUP(Table1[[#This Row],[orderID]],Table3[orderID],Table3[unitPrice])</f>
        <v>22</v>
      </c>
    </row>
    <row r="705" spans="1:22" x14ac:dyDescent="0.45">
      <c r="A705" s="3">
        <v>10951</v>
      </c>
      <c r="B705" s="6" t="s">
        <v>155</v>
      </c>
      <c r="C705" s="3">
        <v>9</v>
      </c>
      <c r="D705" s="6" t="str">
        <f>_xlfn.XLOOKUP(Table1[[#This Row],[EmployeeID]],Table4[employeeID],Table4[employeeName])</f>
        <v>Anne Dodsworth</v>
      </c>
      <c r="E705" s="1">
        <v>42079</v>
      </c>
      <c r="F705" s="1">
        <v>42121</v>
      </c>
      <c r="G705" s="1">
        <v>42101</v>
      </c>
      <c r="H705" s="3">
        <f>IF(Table1[[#This Row],[ShippedDate]]="","",IF(Table1[[#This Row],[OrderDate]]="","",Table1[[#This Row],[ShippedDate]]-Table1[[#This Row],[OrderDate]]))</f>
        <v>22</v>
      </c>
      <c r="I705" s="3">
        <v>2</v>
      </c>
      <c r="J705" s="2">
        <v>30.85</v>
      </c>
      <c r="K705" s="2">
        <f>SUMIF(order_details!A:A,Table1[[#This Row],[orderID]],order_details!F:F)</f>
        <v>458.755</v>
      </c>
      <c r="L705" s="9">
        <f>_xlfn.XLOOKUP(Table1[[#This Row],[orderID]],Table3[orderID],Table3[discount])</f>
        <v>0.05</v>
      </c>
      <c r="M705" s="2">
        <f>SUM(Table1[[#This Row],[Sales]],Table1[[#This Row],[freight]])</f>
        <v>489.60500000000002</v>
      </c>
      <c r="N705" s="3">
        <f>_xlfn.XLOOKUP(Table1[[#This Row],[orderID]],Table3[orderID],Table3[quantity])</f>
        <v>15</v>
      </c>
      <c r="O705" s="6" t="str">
        <f>_xlfn.XLOOKUP(Table1[[#This Row],[CustomerID]],customers!A:A,customers!B:B)</f>
        <v>Richter Supermarkt</v>
      </c>
      <c r="P705" s="6" t="str">
        <f>_xlfn.XLOOKUP(Table1[[#This Row],[shipperID]],Table6[shipperID],Table6[companyName])</f>
        <v>United Package</v>
      </c>
      <c r="Q705">
        <f>YEAR(Table1[[#This Row],[OrderDate]])</f>
        <v>2015</v>
      </c>
      <c r="R705">
        <f>MONTH(Table1[[#This Row],[OrderDate]])</f>
        <v>3</v>
      </c>
      <c r="S705" t="str">
        <f>"Q"&amp;ROUNDUP(Table1[[#This Row],[month]]/3,0)</f>
        <v>Q1</v>
      </c>
      <c r="T705" t="str">
        <f>CONCATENATE(Table1[[#This Row],[year]],"-",Table1[[#This Row],[Quarter]])</f>
        <v>2015-Q1</v>
      </c>
      <c r="U705" s="6" t="str">
        <f>IF(H704="","Pending",IF(Table1[[#This Row],[Days to ship]]&lt;Table1[[#This Row],[RequiredDate]],"On Time","Late"))</f>
        <v>On Time</v>
      </c>
      <c r="V705">
        <f>_xlfn.XLOOKUP(Table1[[#This Row],[orderID]],Table3[orderID],Table3[unitPrice])</f>
        <v>2.5</v>
      </c>
    </row>
    <row r="706" spans="1:22" x14ac:dyDescent="0.45">
      <c r="A706" s="3">
        <v>10952</v>
      </c>
      <c r="B706" s="6" t="s">
        <v>202</v>
      </c>
      <c r="C706" s="3">
        <v>1</v>
      </c>
      <c r="D706" s="6" t="str">
        <f>_xlfn.XLOOKUP(Table1[[#This Row],[EmployeeID]],Table4[employeeID],Table4[employeeName])</f>
        <v>Nancy Davolio</v>
      </c>
      <c r="E706" s="1">
        <v>42079</v>
      </c>
      <c r="F706" s="1">
        <v>42121</v>
      </c>
      <c r="G706" s="1">
        <v>42087</v>
      </c>
      <c r="H706" s="3">
        <f>IF(Table1[[#This Row],[ShippedDate]]="","",IF(Table1[[#This Row],[OrderDate]]="","",Table1[[#This Row],[ShippedDate]]-Table1[[#This Row],[OrderDate]]))</f>
        <v>8</v>
      </c>
      <c r="I706" s="3">
        <v>1</v>
      </c>
      <c r="J706" s="2">
        <v>40.42</v>
      </c>
      <c r="K706" s="2">
        <f>SUMIF(order_details!A:A,Table1[[#This Row],[orderID]],order_details!F:F)</f>
        <v>471.2</v>
      </c>
      <c r="L706" s="9">
        <f>_xlfn.XLOOKUP(Table1[[#This Row],[orderID]],Table3[orderID],Table3[discount])</f>
        <v>0.05</v>
      </c>
      <c r="M706" s="2">
        <f>SUM(Table1[[#This Row],[Sales]],Table1[[#This Row],[freight]])</f>
        <v>511.62</v>
      </c>
      <c r="N706" s="3">
        <f>_xlfn.XLOOKUP(Table1[[#This Row],[orderID]],Table3[orderID],Table3[quantity])</f>
        <v>16</v>
      </c>
      <c r="O706" s="6" t="str">
        <f>_xlfn.XLOOKUP(Table1[[#This Row],[CustomerID]],customers!A:A,customers!B:B)</f>
        <v>Alfreds Futterkiste</v>
      </c>
      <c r="P706" s="6" t="str">
        <f>_xlfn.XLOOKUP(Table1[[#This Row],[shipperID]],Table6[shipperID],Table6[companyName])</f>
        <v>Speedy Express</v>
      </c>
      <c r="Q706">
        <f>YEAR(Table1[[#This Row],[OrderDate]])</f>
        <v>2015</v>
      </c>
      <c r="R706">
        <f>MONTH(Table1[[#This Row],[OrderDate]])</f>
        <v>3</v>
      </c>
      <c r="S706" t="str">
        <f>"Q"&amp;ROUNDUP(Table1[[#This Row],[month]]/3,0)</f>
        <v>Q1</v>
      </c>
      <c r="T706" t="str">
        <f>CONCATENATE(Table1[[#This Row],[year]],"-",Table1[[#This Row],[Quarter]])</f>
        <v>2015-Q1</v>
      </c>
      <c r="U706" s="6" t="str">
        <f>IF(H705="","Pending",IF(Table1[[#This Row],[Days to ship]]&lt;Table1[[#This Row],[RequiredDate]],"On Time","Late"))</f>
        <v>On Time</v>
      </c>
      <c r="V706">
        <f>_xlfn.XLOOKUP(Table1[[#This Row],[orderID]],Table3[orderID],Table3[unitPrice])</f>
        <v>25</v>
      </c>
    </row>
    <row r="707" spans="1:22" x14ac:dyDescent="0.45">
      <c r="A707" s="3">
        <v>10953</v>
      </c>
      <c r="B707" s="6" t="s">
        <v>198</v>
      </c>
      <c r="C707" s="3">
        <v>9</v>
      </c>
      <c r="D707" s="6" t="str">
        <f>_xlfn.XLOOKUP(Table1[[#This Row],[EmployeeID]],Table4[employeeID],Table4[employeeName])</f>
        <v>Anne Dodsworth</v>
      </c>
      <c r="E707" s="1">
        <v>42079</v>
      </c>
      <c r="F707" s="1">
        <v>42093</v>
      </c>
      <c r="G707" s="1">
        <v>42088</v>
      </c>
      <c r="H707" s="3">
        <f>IF(Table1[[#This Row],[ShippedDate]]="","",IF(Table1[[#This Row],[OrderDate]]="","",Table1[[#This Row],[ShippedDate]]-Table1[[#This Row],[OrderDate]]))</f>
        <v>9</v>
      </c>
      <c r="I707" s="3">
        <v>2</v>
      </c>
      <c r="J707" s="2">
        <v>23.72</v>
      </c>
      <c r="K707" s="2">
        <f>SUMIF(order_details!A:A,Table1[[#This Row],[orderID]],order_details!F:F)</f>
        <v>4441.25</v>
      </c>
      <c r="L707" s="9">
        <f>_xlfn.XLOOKUP(Table1[[#This Row],[orderID]],Table3[orderID],Table3[discount])</f>
        <v>0.05</v>
      </c>
      <c r="M707" s="2">
        <f>SUM(Table1[[#This Row],[Sales]],Table1[[#This Row],[freight]])</f>
        <v>4464.97</v>
      </c>
      <c r="N707" s="3">
        <f>_xlfn.XLOOKUP(Table1[[#This Row],[orderID]],Table3[orderID],Table3[quantity])</f>
        <v>50</v>
      </c>
      <c r="O707" s="6" t="str">
        <f>_xlfn.XLOOKUP(Table1[[#This Row],[CustomerID]],customers!A:A,customers!B:B)</f>
        <v>Around the Horn</v>
      </c>
      <c r="P707" s="6" t="str">
        <f>_xlfn.XLOOKUP(Table1[[#This Row],[shipperID]],Table6[shipperID],Table6[companyName])</f>
        <v>United Package</v>
      </c>
      <c r="Q707">
        <f>YEAR(Table1[[#This Row],[OrderDate]])</f>
        <v>2015</v>
      </c>
      <c r="R707">
        <f>MONTH(Table1[[#This Row],[OrderDate]])</f>
        <v>3</v>
      </c>
      <c r="S707" t="str">
        <f>"Q"&amp;ROUNDUP(Table1[[#This Row],[month]]/3,0)</f>
        <v>Q1</v>
      </c>
      <c r="T707" t="str">
        <f>CONCATENATE(Table1[[#This Row],[year]],"-",Table1[[#This Row],[Quarter]])</f>
        <v>2015-Q1</v>
      </c>
      <c r="U707" s="6" t="str">
        <f>IF(H706="","Pending",IF(Table1[[#This Row],[Days to ship]]&lt;Table1[[#This Row],[RequiredDate]],"On Time","Late"))</f>
        <v>On Time</v>
      </c>
      <c r="V707">
        <f>_xlfn.XLOOKUP(Table1[[#This Row],[orderID]],Table3[orderID],Table3[unitPrice])</f>
        <v>81</v>
      </c>
    </row>
    <row r="708" spans="1:22" x14ac:dyDescent="0.45">
      <c r="A708" s="3">
        <v>10954</v>
      </c>
      <c r="B708" s="6" t="s">
        <v>187</v>
      </c>
      <c r="C708" s="3">
        <v>5</v>
      </c>
      <c r="D708" s="6" t="str">
        <f>_xlfn.XLOOKUP(Table1[[#This Row],[EmployeeID]],Table4[employeeID],Table4[employeeName])</f>
        <v>Steven Buchanan</v>
      </c>
      <c r="E708" s="1">
        <v>42080</v>
      </c>
      <c r="F708" s="1">
        <v>42122</v>
      </c>
      <c r="G708" s="1">
        <v>42083</v>
      </c>
      <c r="H708" s="3">
        <f>IF(Table1[[#This Row],[ShippedDate]]="","",IF(Table1[[#This Row],[OrderDate]]="","",Table1[[#This Row],[ShippedDate]]-Table1[[#This Row],[OrderDate]]))</f>
        <v>3</v>
      </c>
      <c r="I708" s="3">
        <v>1</v>
      </c>
      <c r="J708" s="2">
        <v>27.91</v>
      </c>
      <c r="K708" s="2">
        <f>SUMIF(order_details!A:A,Table1[[#This Row],[orderID]],order_details!F:F)</f>
        <v>1659.5349999999999</v>
      </c>
      <c r="L708" s="9">
        <f>_xlfn.XLOOKUP(Table1[[#This Row],[orderID]],Table3[orderID],Table3[discount])</f>
        <v>0.15</v>
      </c>
      <c r="M708" s="2">
        <f>SUM(Table1[[#This Row],[Sales]],Table1[[#This Row],[freight]])</f>
        <v>1687.4449999999999</v>
      </c>
      <c r="N708" s="3">
        <f>_xlfn.XLOOKUP(Table1[[#This Row],[orderID]],Table3[orderID],Table3[quantity])</f>
        <v>28</v>
      </c>
      <c r="O708" s="6" t="str">
        <f>_xlfn.XLOOKUP(Table1[[#This Row],[CustomerID]],customers!A:A,customers!B:B)</f>
        <v>LINO-Delicateses</v>
      </c>
      <c r="P708" s="6" t="str">
        <f>_xlfn.XLOOKUP(Table1[[#This Row],[shipperID]],Table6[shipperID],Table6[companyName])</f>
        <v>Speedy Express</v>
      </c>
      <c r="Q708">
        <f>YEAR(Table1[[#This Row],[OrderDate]])</f>
        <v>2015</v>
      </c>
      <c r="R708">
        <f>MONTH(Table1[[#This Row],[OrderDate]])</f>
        <v>3</v>
      </c>
      <c r="S708" t="str">
        <f>"Q"&amp;ROUNDUP(Table1[[#This Row],[month]]/3,0)</f>
        <v>Q1</v>
      </c>
      <c r="T708" t="str">
        <f>CONCATENATE(Table1[[#This Row],[year]],"-",Table1[[#This Row],[Quarter]])</f>
        <v>2015-Q1</v>
      </c>
      <c r="U708" s="6" t="str">
        <f>IF(H707="","Pending",IF(Table1[[#This Row],[Days to ship]]&lt;Table1[[#This Row],[RequiredDate]],"On Time","Late"))</f>
        <v>On Time</v>
      </c>
      <c r="V708">
        <f>_xlfn.XLOOKUP(Table1[[#This Row],[orderID]],Table3[orderID],Table3[unitPrice])</f>
        <v>17.45</v>
      </c>
    </row>
    <row r="709" spans="1:22" x14ac:dyDescent="0.45">
      <c r="A709" s="3">
        <v>10955</v>
      </c>
      <c r="B709" s="6" t="s">
        <v>179</v>
      </c>
      <c r="C709" s="3">
        <v>8</v>
      </c>
      <c r="D709" s="6" t="str">
        <f>_xlfn.XLOOKUP(Table1[[#This Row],[EmployeeID]],Table4[employeeID],Table4[employeeName])</f>
        <v>Laura Callahan</v>
      </c>
      <c r="E709" s="1">
        <v>42080</v>
      </c>
      <c r="F709" s="1">
        <v>42108</v>
      </c>
      <c r="G709" s="1">
        <v>42083</v>
      </c>
      <c r="H709" s="3">
        <f>IF(Table1[[#This Row],[ShippedDate]]="","",IF(Table1[[#This Row],[OrderDate]]="","",Table1[[#This Row],[ShippedDate]]-Table1[[#This Row],[OrderDate]]))</f>
        <v>3</v>
      </c>
      <c r="I709" s="3">
        <v>2</v>
      </c>
      <c r="J709" s="2">
        <v>3.26</v>
      </c>
      <c r="K709" s="2">
        <f>SUMIF(order_details!A:A,Table1[[#This Row],[orderID]],order_details!F:F)</f>
        <v>74.400000000000006</v>
      </c>
      <c r="L709" s="9">
        <f>_xlfn.XLOOKUP(Table1[[#This Row],[orderID]],Table3[orderID],Table3[discount])</f>
        <v>0.2</v>
      </c>
      <c r="M709" s="2">
        <f>SUM(Table1[[#This Row],[Sales]],Table1[[#This Row],[freight]])</f>
        <v>77.660000000000011</v>
      </c>
      <c r="N709" s="3">
        <f>_xlfn.XLOOKUP(Table1[[#This Row],[orderID]],Table3[orderID],Table3[quantity])</f>
        <v>12</v>
      </c>
      <c r="O709" s="6" t="str">
        <f>_xlfn.XLOOKUP(Table1[[#This Row],[CustomerID]],customers!A:A,customers!B:B)</f>
        <v>Folk och fä HB</v>
      </c>
      <c r="P709" s="6" t="str">
        <f>_xlfn.XLOOKUP(Table1[[#This Row],[shipperID]],Table6[shipperID],Table6[companyName])</f>
        <v>United Package</v>
      </c>
      <c r="Q709">
        <f>YEAR(Table1[[#This Row],[OrderDate]])</f>
        <v>2015</v>
      </c>
      <c r="R709">
        <f>MONTH(Table1[[#This Row],[OrderDate]])</f>
        <v>3</v>
      </c>
      <c r="S709" t="str">
        <f>"Q"&amp;ROUNDUP(Table1[[#This Row],[month]]/3,0)</f>
        <v>Q1</v>
      </c>
      <c r="T709" t="str">
        <f>CONCATENATE(Table1[[#This Row],[year]],"-",Table1[[#This Row],[Quarter]])</f>
        <v>2015-Q1</v>
      </c>
      <c r="U709" s="6" t="str">
        <f>IF(H708="","Pending",IF(Table1[[#This Row],[Days to ship]]&lt;Table1[[#This Row],[RequiredDate]],"On Time","Late"))</f>
        <v>On Time</v>
      </c>
      <c r="V709">
        <f>_xlfn.XLOOKUP(Table1[[#This Row],[orderID]],Table3[orderID],Table3[unitPrice])</f>
        <v>7.75</v>
      </c>
    </row>
    <row r="710" spans="1:22" x14ac:dyDescent="0.45">
      <c r="A710" s="3">
        <v>10956</v>
      </c>
      <c r="B710" s="6" t="s">
        <v>171</v>
      </c>
      <c r="C710" s="3">
        <v>6</v>
      </c>
      <c r="D710" s="6" t="str">
        <f>_xlfn.XLOOKUP(Table1[[#This Row],[EmployeeID]],Table4[employeeID],Table4[employeeName])</f>
        <v>Michael Suyama</v>
      </c>
      <c r="E710" s="1">
        <v>42080</v>
      </c>
      <c r="F710" s="1">
        <v>42122</v>
      </c>
      <c r="G710" s="1">
        <v>42083</v>
      </c>
      <c r="H710" s="3">
        <f>IF(Table1[[#This Row],[ShippedDate]]="","",IF(Table1[[#This Row],[OrderDate]]="","",Table1[[#This Row],[ShippedDate]]-Table1[[#This Row],[OrderDate]]))</f>
        <v>3</v>
      </c>
      <c r="I710" s="3">
        <v>2</v>
      </c>
      <c r="J710" s="2">
        <v>44.65</v>
      </c>
      <c r="K710" s="2">
        <f>SUMIF(order_details!A:A,Table1[[#This Row],[orderID]],order_details!F:F)</f>
        <v>677</v>
      </c>
      <c r="L710" s="9">
        <f>_xlfn.XLOOKUP(Table1[[#This Row],[orderID]],Table3[orderID],Table3[discount])</f>
        <v>0</v>
      </c>
      <c r="M710" s="2">
        <f>SUM(Table1[[#This Row],[Sales]],Table1[[#This Row],[freight]])</f>
        <v>721.65</v>
      </c>
      <c r="N710" s="3">
        <f>_xlfn.XLOOKUP(Table1[[#This Row],[orderID]],Table3[orderID],Table3[quantity])</f>
        <v>12</v>
      </c>
      <c r="O710" s="6" t="str">
        <f>_xlfn.XLOOKUP(Table1[[#This Row],[CustomerID]],customers!A:A,customers!B:B)</f>
        <v>Blauer See Delikatessen</v>
      </c>
      <c r="P710" s="6" t="str">
        <f>_xlfn.XLOOKUP(Table1[[#This Row],[shipperID]],Table6[shipperID],Table6[companyName])</f>
        <v>United Package</v>
      </c>
      <c r="Q710">
        <f>YEAR(Table1[[#This Row],[OrderDate]])</f>
        <v>2015</v>
      </c>
      <c r="R710">
        <f>MONTH(Table1[[#This Row],[OrderDate]])</f>
        <v>3</v>
      </c>
      <c r="S710" t="str">
        <f>"Q"&amp;ROUNDUP(Table1[[#This Row],[month]]/3,0)</f>
        <v>Q1</v>
      </c>
      <c r="T710" t="str">
        <f>CONCATENATE(Table1[[#This Row],[year]],"-",Table1[[#This Row],[Quarter]])</f>
        <v>2015-Q1</v>
      </c>
      <c r="U710" s="6" t="str">
        <f>IF(H709="","Pending",IF(Table1[[#This Row],[Days to ship]]&lt;Table1[[#This Row],[RequiredDate]],"On Time","Late"))</f>
        <v>On Time</v>
      </c>
      <c r="V710">
        <f>_xlfn.XLOOKUP(Table1[[#This Row],[orderID]],Table3[orderID],Table3[unitPrice])</f>
        <v>10</v>
      </c>
    </row>
    <row r="711" spans="1:22" x14ac:dyDescent="0.45">
      <c r="A711" s="3">
        <v>10957</v>
      </c>
      <c r="B711" s="6" t="s">
        <v>174</v>
      </c>
      <c r="C711" s="3">
        <v>8</v>
      </c>
      <c r="D711" s="6" t="str">
        <f>_xlfn.XLOOKUP(Table1[[#This Row],[EmployeeID]],Table4[employeeID],Table4[employeeName])</f>
        <v>Laura Callahan</v>
      </c>
      <c r="E711" s="1">
        <v>42081</v>
      </c>
      <c r="F711" s="1">
        <v>42109</v>
      </c>
      <c r="G711" s="1">
        <v>42090</v>
      </c>
      <c r="H711" s="3">
        <f>IF(Table1[[#This Row],[ShippedDate]]="","",IF(Table1[[#This Row],[OrderDate]]="","",Table1[[#This Row],[ShippedDate]]-Table1[[#This Row],[OrderDate]]))</f>
        <v>9</v>
      </c>
      <c r="I711" s="3">
        <v>3</v>
      </c>
      <c r="J711" s="2">
        <v>105.36</v>
      </c>
      <c r="K711" s="2">
        <f>SUMIF(order_details!A:A,Table1[[#This Row],[orderID]],order_details!F:F)</f>
        <v>1762.7</v>
      </c>
      <c r="L711" s="9">
        <f>_xlfn.XLOOKUP(Table1[[#This Row],[orderID]],Table3[orderID],Table3[discount])</f>
        <v>0</v>
      </c>
      <c r="M711" s="2">
        <f>SUM(Table1[[#This Row],[Sales]],Table1[[#This Row],[freight]])</f>
        <v>1868.06</v>
      </c>
      <c r="N711" s="3">
        <f>_xlfn.XLOOKUP(Table1[[#This Row],[orderID]],Table3[orderID],Table3[quantity])</f>
        <v>30</v>
      </c>
      <c r="O711" s="6" t="str">
        <f>_xlfn.XLOOKUP(Table1[[#This Row],[CustomerID]],customers!A:A,customers!B:B)</f>
        <v>HILARION-Abastos</v>
      </c>
      <c r="P711" s="6" t="str">
        <f>_xlfn.XLOOKUP(Table1[[#This Row],[shipperID]],Table6[shipperID],Table6[companyName])</f>
        <v>Federal Shipping</v>
      </c>
      <c r="Q711">
        <f>YEAR(Table1[[#This Row],[OrderDate]])</f>
        <v>2015</v>
      </c>
      <c r="R711">
        <f>MONTH(Table1[[#This Row],[OrderDate]])</f>
        <v>3</v>
      </c>
      <c r="S711" t="str">
        <f>"Q"&amp;ROUNDUP(Table1[[#This Row],[month]]/3,0)</f>
        <v>Q1</v>
      </c>
      <c r="T711" t="str">
        <f>CONCATENATE(Table1[[#This Row],[year]],"-",Table1[[#This Row],[Quarter]])</f>
        <v>2015-Q1</v>
      </c>
      <c r="U711" s="6" t="str">
        <f>IF(H710="","Pending",IF(Table1[[#This Row],[Days to ship]]&lt;Table1[[#This Row],[RequiredDate]],"On Time","Late"))</f>
        <v>On Time</v>
      </c>
      <c r="V711">
        <f>_xlfn.XLOOKUP(Table1[[#This Row],[orderID]],Table3[orderID],Table3[unitPrice])</f>
        <v>25.89</v>
      </c>
    </row>
    <row r="712" spans="1:22" x14ac:dyDescent="0.45">
      <c r="A712" s="3">
        <v>10958</v>
      </c>
      <c r="B712" s="6" t="s">
        <v>210</v>
      </c>
      <c r="C712" s="3">
        <v>7</v>
      </c>
      <c r="D712" s="6" t="str">
        <f>_xlfn.XLOOKUP(Table1[[#This Row],[EmployeeID]],Table4[employeeID],Table4[employeeName])</f>
        <v>Robert King</v>
      </c>
      <c r="E712" s="1">
        <v>42081</v>
      </c>
      <c r="F712" s="1">
        <v>42109</v>
      </c>
      <c r="G712" s="1">
        <v>42090</v>
      </c>
      <c r="H712" s="3">
        <f>IF(Table1[[#This Row],[ShippedDate]]="","",IF(Table1[[#This Row],[OrderDate]]="","",Table1[[#This Row],[ShippedDate]]-Table1[[#This Row],[OrderDate]]))</f>
        <v>9</v>
      </c>
      <c r="I712" s="3">
        <v>2</v>
      </c>
      <c r="J712" s="2">
        <v>49.56</v>
      </c>
      <c r="K712" s="2">
        <f>SUMIF(order_details!A:A,Table1[[#This Row],[orderID]],order_details!F:F)</f>
        <v>781</v>
      </c>
      <c r="L712" s="9">
        <f>_xlfn.XLOOKUP(Table1[[#This Row],[orderID]],Table3[orderID],Table3[discount])</f>
        <v>0</v>
      </c>
      <c r="M712" s="2">
        <f>SUM(Table1[[#This Row],[Sales]],Table1[[#This Row],[freight]])</f>
        <v>830.56</v>
      </c>
      <c r="N712" s="3">
        <f>_xlfn.XLOOKUP(Table1[[#This Row],[orderID]],Table3[orderID],Table3[quantity])</f>
        <v>20</v>
      </c>
      <c r="O712" s="6" t="str">
        <f>_xlfn.XLOOKUP(Table1[[#This Row],[CustomerID]],customers!A:A,customers!B:B)</f>
        <v>Océano Atlántico Ltda.</v>
      </c>
      <c r="P712" s="6" t="str">
        <f>_xlfn.XLOOKUP(Table1[[#This Row],[shipperID]],Table6[shipperID],Table6[companyName])</f>
        <v>United Package</v>
      </c>
      <c r="Q712">
        <f>YEAR(Table1[[#This Row],[OrderDate]])</f>
        <v>2015</v>
      </c>
      <c r="R712">
        <f>MONTH(Table1[[#This Row],[OrderDate]])</f>
        <v>3</v>
      </c>
      <c r="S712" t="str">
        <f>"Q"&amp;ROUNDUP(Table1[[#This Row],[month]]/3,0)</f>
        <v>Q1</v>
      </c>
      <c r="T712" t="str">
        <f>CONCATENATE(Table1[[#This Row],[year]],"-",Table1[[#This Row],[Quarter]])</f>
        <v>2015-Q1</v>
      </c>
      <c r="U712" s="6" t="str">
        <f>IF(H711="","Pending",IF(Table1[[#This Row],[Days to ship]]&lt;Table1[[#This Row],[RequiredDate]],"On Time","Late"))</f>
        <v>On Time</v>
      </c>
      <c r="V712">
        <f>_xlfn.XLOOKUP(Table1[[#This Row],[orderID]],Table3[orderID],Table3[unitPrice])</f>
        <v>21.35</v>
      </c>
    </row>
    <row r="713" spans="1:22" x14ac:dyDescent="0.45">
      <c r="A713" s="3">
        <v>10959</v>
      </c>
      <c r="B713" s="6" t="s">
        <v>180</v>
      </c>
      <c r="C713" s="3">
        <v>6</v>
      </c>
      <c r="D713" s="6" t="str">
        <f>_xlfn.XLOOKUP(Table1[[#This Row],[EmployeeID]],Table4[employeeID],Table4[employeeName])</f>
        <v>Michael Suyama</v>
      </c>
      <c r="E713" s="1">
        <v>42081</v>
      </c>
      <c r="F713" s="1">
        <v>42123</v>
      </c>
      <c r="G713" s="1">
        <v>42086</v>
      </c>
      <c r="H713" s="3">
        <f>IF(Table1[[#This Row],[ShippedDate]]="","",IF(Table1[[#This Row],[OrderDate]]="","",Table1[[#This Row],[ShippedDate]]-Table1[[#This Row],[OrderDate]]))</f>
        <v>5</v>
      </c>
      <c r="I713" s="3">
        <v>2</v>
      </c>
      <c r="J713" s="2">
        <v>4.9800000000000004</v>
      </c>
      <c r="K713" s="2">
        <f>SUMIF(order_details!A:A,Table1[[#This Row],[orderID]],order_details!F:F)</f>
        <v>131.75</v>
      </c>
      <c r="L713" s="9">
        <f>_xlfn.XLOOKUP(Table1[[#This Row],[orderID]],Table3[orderID],Table3[discount])</f>
        <v>0.15</v>
      </c>
      <c r="M713" s="2">
        <f>SUM(Table1[[#This Row],[Sales]],Table1[[#This Row],[freight]])</f>
        <v>136.72999999999999</v>
      </c>
      <c r="N713" s="3">
        <f>_xlfn.XLOOKUP(Table1[[#This Row],[orderID]],Table3[orderID],Table3[quantity])</f>
        <v>20</v>
      </c>
      <c r="O713" s="6" t="str">
        <f>_xlfn.XLOOKUP(Table1[[#This Row],[CustomerID]],customers!A:A,customers!B:B)</f>
        <v>Gourmet Lanchonetes</v>
      </c>
      <c r="P713" s="6" t="str">
        <f>_xlfn.XLOOKUP(Table1[[#This Row],[shipperID]],Table6[shipperID],Table6[companyName])</f>
        <v>United Package</v>
      </c>
      <c r="Q713">
        <f>YEAR(Table1[[#This Row],[OrderDate]])</f>
        <v>2015</v>
      </c>
      <c r="R713">
        <f>MONTH(Table1[[#This Row],[OrderDate]])</f>
        <v>3</v>
      </c>
      <c r="S713" t="str">
        <f>"Q"&amp;ROUNDUP(Table1[[#This Row],[month]]/3,0)</f>
        <v>Q1</v>
      </c>
      <c r="T713" t="str">
        <f>CONCATENATE(Table1[[#This Row],[year]],"-",Table1[[#This Row],[Quarter]])</f>
        <v>2015-Q1</v>
      </c>
      <c r="U713" s="6" t="str">
        <f>IF(H712="","Pending",IF(Table1[[#This Row],[Days to ship]]&lt;Table1[[#This Row],[RequiredDate]],"On Time","Late"))</f>
        <v>On Time</v>
      </c>
      <c r="V713">
        <f>_xlfn.XLOOKUP(Table1[[#This Row],[orderID]],Table3[orderID],Table3[unitPrice])</f>
        <v>7.75</v>
      </c>
    </row>
    <row r="714" spans="1:22" x14ac:dyDescent="0.45">
      <c r="A714" s="3">
        <v>10960</v>
      </c>
      <c r="B714" s="6" t="s">
        <v>174</v>
      </c>
      <c r="C714" s="3">
        <v>3</v>
      </c>
      <c r="D714" s="6" t="str">
        <f>_xlfn.XLOOKUP(Table1[[#This Row],[EmployeeID]],Table4[employeeID],Table4[employeeName])</f>
        <v>Janet Leverling</v>
      </c>
      <c r="E714" s="1">
        <v>42082</v>
      </c>
      <c r="F714" s="1">
        <v>42096</v>
      </c>
      <c r="G714" s="1">
        <v>42102</v>
      </c>
      <c r="H714" s="3">
        <f>IF(Table1[[#This Row],[ShippedDate]]="","",IF(Table1[[#This Row],[OrderDate]]="","",Table1[[#This Row],[ShippedDate]]-Table1[[#This Row],[OrderDate]]))</f>
        <v>20</v>
      </c>
      <c r="I714" s="3">
        <v>1</v>
      </c>
      <c r="J714" s="2">
        <v>2.08</v>
      </c>
      <c r="K714" s="2">
        <f>SUMIF(order_details!A:A,Table1[[#This Row],[orderID]],order_details!F:F)</f>
        <v>265.35000000000002</v>
      </c>
      <c r="L714" s="9">
        <f>_xlfn.XLOOKUP(Table1[[#This Row],[orderID]],Table3[orderID],Table3[discount])</f>
        <v>0.25</v>
      </c>
      <c r="M714" s="2">
        <f>SUM(Table1[[#This Row],[Sales]],Table1[[#This Row],[freight]])</f>
        <v>267.43</v>
      </c>
      <c r="N714" s="3">
        <f>_xlfn.XLOOKUP(Table1[[#This Row],[orderID]],Table3[orderID],Table3[quantity])</f>
        <v>10</v>
      </c>
      <c r="O714" s="6" t="str">
        <f>_xlfn.XLOOKUP(Table1[[#This Row],[CustomerID]],customers!A:A,customers!B:B)</f>
        <v>HILARION-Abastos</v>
      </c>
      <c r="P714" s="6" t="str">
        <f>_xlfn.XLOOKUP(Table1[[#This Row],[shipperID]],Table6[shipperID],Table6[companyName])</f>
        <v>Speedy Express</v>
      </c>
      <c r="Q714">
        <f>YEAR(Table1[[#This Row],[OrderDate]])</f>
        <v>2015</v>
      </c>
      <c r="R714">
        <f>MONTH(Table1[[#This Row],[OrderDate]])</f>
        <v>3</v>
      </c>
      <c r="S714" t="str">
        <f>"Q"&amp;ROUNDUP(Table1[[#This Row],[month]]/3,0)</f>
        <v>Q1</v>
      </c>
      <c r="T714" t="str">
        <f>CONCATENATE(Table1[[#This Row],[year]],"-",Table1[[#This Row],[Quarter]])</f>
        <v>2015-Q1</v>
      </c>
      <c r="U714" s="6" t="str">
        <f>IF(H713="","Pending",IF(Table1[[#This Row],[Days to ship]]&lt;Table1[[#This Row],[RequiredDate]],"On Time","Late"))</f>
        <v>On Time</v>
      </c>
      <c r="V714">
        <f>_xlfn.XLOOKUP(Table1[[#This Row],[orderID]],Table3[orderID],Table3[unitPrice])</f>
        <v>4.5</v>
      </c>
    </row>
    <row r="715" spans="1:22" x14ac:dyDescent="0.45">
      <c r="A715" s="3">
        <v>10961</v>
      </c>
      <c r="B715" s="6" t="s">
        <v>162</v>
      </c>
      <c r="C715" s="3">
        <v>8</v>
      </c>
      <c r="D715" s="6" t="str">
        <f>_xlfn.XLOOKUP(Table1[[#This Row],[EmployeeID]],Table4[employeeID],Table4[employeeName])</f>
        <v>Laura Callahan</v>
      </c>
      <c r="E715" s="1">
        <v>42082</v>
      </c>
      <c r="F715" s="1">
        <v>42110</v>
      </c>
      <c r="G715" s="1">
        <v>42093</v>
      </c>
      <c r="H715" s="3">
        <f>IF(Table1[[#This Row],[ShippedDate]]="","",IF(Table1[[#This Row],[OrderDate]]="","",Table1[[#This Row],[ShippedDate]]-Table1[[#This Row],[OrderDate]]))</f>
        <v>11</v>
      </c>
      <c r="I715" s="3">
        <v>1</v>
      </c>
      <c r="J715" s="2">
        <v>104.47</v>
      </c>
      <c r="K715" s="2">
        <f>SUMIF(order_details!A:A,Table1[[#This Row],[orderID]],order_details!F:F)</f>
        <v>1119.9000000000001</v>
      </c>
      <c r="L715" s="9">
        <f>_xlfn.XLOOKUP(Table1[[#This Row],[orderID]],Table3[orderID],Table3[discount])</f>
        <v>0.05</v>
      </c>
      <c r="M715" s="2">
        <f>SUM(Table1[[#This Row],[Sales]],Table1[[#This Row],[freight]])</f>
        <v>1224.3700000000001</v>
      </c>
      <c r="N715" s="3">
        <f>_xlfn.XLOOKUP(Table1[[#This Row],[orderID]],Table3[orderID],Table3[quantity])</f>
        <v>6</v>
      </c>
      <c r="O715" s="6" t="str">
        <f>_xlfn.XLOOKUP(Table1[[#This Row],[CustomerID]],customers!A:A,customers!B:B)</f>
        <v>Queen Cozinha</v>
      </c>
      <c r="P715" s="6" t="str">
        <f>_xlfn.XLOOKUP(Table1[[#This Row],[shipperID]],Table6[shipperID],Table6[companyName])</f>
        <v>Speedy Express</v>
      </c>
      <c r="Q715">
        <f>YEAR(Table1[[#This Row],[OrderDate]])</f>
        <v>2015</v>
      </c>
      <c r="R715">
        <f>MONTH(Table1[[#This Row],[OrderDate]])</f>
        <v>3</v>
      </c>
      <c r="S715" t="str">
        <f>"Q"&amp;ROUNDUP(Table1[[#This Row],[month]]/3,0)</f>
        <v>Q1</v>
      </c>
      <c r="T715" t="str">
        <f>CONCATENATE(Table1[[#This Row],[year]],"-",Table1[[#This Row],[Quarter]])</f>
        <v>2015-Q1</v>
      </c>
      <c r="U715" s="6" t="str">
        <f>IF(H714="","Pending",IF(Table1[[#This Row],[Days to ship]]&lt;Table1[[#This Row],[RequiredDate]],"On Time","Late"))</f>
        <v>On Time</v>
      </c>
      <c r="V715">
        <f>_xlfn.XLOOKUP(Table1[[#This Row],[orderID]],Table3[orderID],Table3[unitPrice])</f>
        <v>7</v>
      </c>
    </row>
    <row r="716" spans="1:22" x14ac:dyDescent="0.45">
      <c r="A716" s="3">
        <v>10962</v>
      </c>
      <c r="B716" s="6" t="s">
        <v>194</v>
      </c>
      <c r="C716" s="3">
        <v>8</v>
      </c>
      <c r="D716" s="6" t="str">
        <f>_xlfn.XLOOKUP(Table1[[#This Row],[EmployeeID]],Table4[employeeID],Table4[employeeName])</f>
        <v>Laura Callahan</v>
      </c>
      <c r="E716" s="1">
        <v>42082</v>
      </c>
      <c r="F716" s="1">
        <v>42110</v>
      </c>
      <c r="G716" s="1">
        <v>42086</v>
      </c>
      <c r="H716" s="3">
        <f>IF(Table1[[#This Row],[ShippedDate]]="","",IF(Table1[[#This Row],[OrderDate]]="","",Table1[[#This Row],[ShippedDate]]-Table1[[#This Row],[OrderDate]]))</f>
        <v>4</v>
      </c>
      <c r="I716" s="3">
        <v>2</v>
      </c>
      <c r="J716" s="2">
        <v>275.79000000000002</v>
      </c>
      <c r="K716" s="2">
        <f>SUMIF(order_details!A:A,Table1[[#This Row],[orderID]],order_details!F:F)</f>
        <v>3584</v>
      </c>
      <c r="L716" s="9">
        <f>_xlfn.XLOOKUP(Table1[[#This Row],[orderID]],Table3[orderID],Table3[discount])</f>
        <v>0</v>
      </c>
      <c r="M716" s="2">
        <f>SUM(Table1[[#This Row],[Sales]],Table1[[#This Row],[freight]])</f>
        <v>3859.79</v>
      </c>
      <c r="N716" s="3">
        <f>_xlfn.XLOOKUP(Table1[[#This Row],[orderID]],Table3[orderID],Table3[quantity])</f>
        <v>45</v>
      </c>
      <c r="O716" s="6" t="str">
        <f>_xlfn.XLOOKUP(Table1[[#This Row],[CustomerID]],customers!A:A,customers!B:B)</f>
        <v>QUICK-Stop</v>
      </c>
      <c r="P716" s="6" t="str">
        <f>_xlfn.XLOOKUP(Table1[[#This Row],[shipperID]],Table6[shipperID],Table6[companyName])</f>
        <v>United Package</v>
      </c>
      <c r="Q716">
        <f>YEAR(Table1[[#This Row],[OrderDate]])</f>
        <v>2015</v>
      </c>
      <c r="R716">
        <f>MONTH(Table1[[#This Row],[OrderDate]])</f>
        <v>3</v>
      </c>
      <c r="S716" t="str">
        <f>"Q"&amp;ROUNDUP(Table1[[#This Row],[month]]/3,0)</f>
        <v>Q1</v>
      </c>
      <c r="T716" t="str">
        <f>CONCATENATE(Table1[[#This Row],[year]],"-",Table1[[#This Row],[Quarter]])</f>
        <v>2015-Q1</v>
      </c>
      <c r="U716" s="6" t="str">
        <f>IF(H715="","Pending",IF(Table1[[#This Row],[Days to ship]]&lt;Table1[[#This Row],[RequiredDate]],"On Time","Late"))</f>
        <v>On Time</v>
      </c>
      <c r="V716">
        <f>_xlfn.XLOOKUP(Table1[[#This Row],[orderID]],Table3[orderID],Table3[unitPrice])</f>
        <v>30</v>
      </c>
    </row>
    <row r="717" spans="1:22" x14ac:dyDescent="0.45">
      <c r="A717" s="3">
        <v>10963</v>
      </c>
      <c r="B717" s="6" t="s">
        <v>216</v>
      </c>
      <c r="C717" s="3">
        <v>9</v>
      </c>
      <c r="D717" s="6" t="str">
        <f>_xlfn.XLOOKUP(Table1[[#This Row],[EmployeeID]],Table4[employeeID],Table4[employeeName])</f>
        <v>Anne Dodsworth</v>
      </c>
      <c r="E717" s="1">
        <v>42082</v>
      </c>
      <c r="F717" s="1">
        <v>42110</v>
      </c>
      <c r="G717" s="1">
        <v>42089</v>
      </c>
      <c r="H717" s="3">
        <f>IF(Table1[[#This Row],[ShippedDate]]="","",IF(Table1[[#This Row],[OrderDate]]="","",Table1[[#This Row],[ShippedDate]]-Table1[[#This Row],[OrderDate]]))</f>
        <v>7</v>
      </c>
      <c r="I717" s="3">
        <v>3</v>
      </c>
      <c r="J717" s="2">
        <v>2.7</v>
      </c>
      <c r="K717" s="2">
        <f>SUMIF(order_details!A:A,Table1[[#This Row],[orderID]],order_details!F:F)</f>
        <v>57.8</v>
      </c>
      <c r="L717" s="9">
        <f>_xlfn.XLOOKUP(Table1[[#This Row],[orderID]],Table3[orderID],Table3[discount])</f>
        <v>0.15</v>
      </c>
      <c r="M717" s="2">
        <f>SUM(Table1[[#This Row],[Sales]],Table1[[#This Row],[freight]])</f>
        <v>60.5</v>
      </c>
      <c r="N717" s="3">
        <f>_xlfn.XLOOKUP(Table1[[#This Row],[orderID]],Table3[orderID],Table3[quantity])</f>
        <v>2</v>
      </c>
      <c r="O717" s="6" t="str">
        <f>_xlfn.XLOOKUP(Table1[[#This Row],[CustomerID]],customers!A:A,customers!B:B)</f>
        <v>Furia Bacalhau e Frutos do Mar</v>
      </c>
      <c r="P717" s="6" t="str">
        <f>_xlfn.XLOOKUP(Table1[[#This Row],[shipperID]],Table6[shipperID],Table6[companyName])</f>
        <v>Federal Shipping</v>
      </c>
      <c r="Q717">
        <f>YEAR(Table1[[#This Row],[OrderDate]])</f>
        <v>2015</v>
      </c>
      <c r="R717">
        <f>MONTH(Table1[[#This Row],[OrderDate]])</f>
        <v>3</v>
      </c>
      <c r="S717" t="str">
        <f>"Q"&amp;ROUNDUP(Table1[[#This Row],[month]]/3,0)</f>
        <v>Q1</v>
      </c>
      <c r="T717" t="str">
        <f>CONCATENATE(Table1[[#This Row],[year]],"-",Table1[[#This Row],[Quarter]])</f>
        <v>2015-Q1</v>
      </c>
      <c r="U717" s="6" t="str">
        <f>IF(H716="","Pending",IF(Table1[[#This Row],[Days to ship]]&lt;Table1[[#This Row],[RequiredDate]],"On Time","Late"))</f>
        <v>On Time</v>
      </c>
      <c r="V717">
        <f>_xlfn.XLOOKUP(Table1[[#This Row],[orderID]],Table3[orderID],Table3[unitPrice])</f>
        <v>34</v>
      </c>
    </row>
    <row r="718" spans="1:22" x14ac:dyDescent="0.45">
      <c r="A718" s="3">
        <v>10964</v>
      </c>
      <c r="B718" s="6" t="s">
        <v>184</v>
      </c>
      <c r="C718" s="3">
        <v>3</v>
      </c>
      <c r="D718" s="6" t="str">
        <f>_xlfn.XLOOKUP(Table1[[#This Row],[EmployeeID]],Table4[employeeID],Table4[employeeName])</f>
        <v>Janet Leverling</v>
      </c>
      <c r="E718" s="1">
        <v>42083</v>
      </c>
      <c r="F718" s="1">
        <v>42111</v>
      </c>
      <c r="G718" s="1">
        <v>42087</v>
      </c>
      <c r="H718" s="3">
        <f>IF(Table1[[#This Row],[ShippedDate]]="","",IF(Table1[[#This Row],[OrderDate]]="","",Table1[[#This Row],[ShippedDate]]-Table1[[#This Row],[OrderDate]]))</f>
        <v>4</v>
      </c>
      <c r="I718" s="3">
        <v>2</v>
      </c>
      <c r="J718" s="2">
        <v>87.38</v>
      </c>
      <c r="K718" s="2">
        <f>SUMIF(order_details!A:A,Table1[[#This Row],[orderID]],order_details!F:F)</f>
        <v>2052.5</v>
      </c>
      <c r="L718" s="9">
        <f>_xlfn.XLOOKUP(Table1[[#This Row],[orderID]],Table3[orderID],Table3[discount])</f>
        <v>0</v>
      </c>
      <c r="M718" s="2">
        <f>SUM(Table1[[#This Row],[Sales]],Table1[[#This Row],[freight]])</f>
        <v>2139.88</v>
      </c>
      <c r="N718" s="3">
        <f>_xlfn.XLOOKUP(Table1[[#This Row],[orderID]],Table3[orderID],Table3[quantity])</f>
        <v>6</v>
      </c>
      <c r="O718" s="6" t="str">
        <f>_xlfn.XLOOKUP(Table1[[#This Row],[CustomerID]],customers!A:A,customers!B:B)</f>
        <v>Spécialités du monde</v>
      </c>
      <c r="P718" s="6" t="str">
        <f>_xlfn.XLOOKUP(Table1[[#This Row],[shipperID]],Table6[shipperID],Table6[companyName])</f>
        <v>United Package</v>
      </c>
      <c r="Q718">
        <f>YEAR(Table1[[#This Row],[OrderDate]])</f>
        <v>2015</v>
      </c>
      <c r="R718">
        <f>MONTH(Table1[[#This Row],[OrderDate]])</f>
        <v>3</v>
      </c>
      <c r="S718" t="str">
        <f>"Q"&amp;ROUNDUP(Table1[[#This Row],[month]]/3,0)</f>
        <v>Q1</v>
      </c>
      <c r="T718" t="str">
        <f>CONCATENATE(Table1[[#This Row],[year]],"-",Table1[[#This Row],[Quarter]])</f>
        <v>2015-Q1</v>
      </c>
      <c r="U718" s="6" t="str">
        <f>IF(H717="","Pending",IF(Table1[[#This Row],[Days to ship]]&lt;Table1[[#This Row],[RequiredDate]],"On Time","Late"))</f>
        <v>On Time</v>
      </c>
      <c r="V718">
        <f>_xlfn.XLOOKUP(Table1[[#This Row],[orderID]],Table3[orderID],Table3[unitPrice])</f>
        <v>62.5</v>
      </c>
    </row>
    <row r="719" spans="1:22" x14ac:dyDescent="0.45">
      <c r="A719" s="3">
        <v>10965</v>
      </c>
      <c r="B719" s="6" t="s">
        <v>190</v>
      </c>
      <c r="C719" s="3">
        <v>6</v>
      </c>
      <c r="D719" s="6" t="str">
        <f>_xlfn.XLOOKUP(Table1[[#This Row],[EmployeeID]],Table4[employeeID],Table4[employeeName])</f>
        <v>Michael Suyama</v>
      </c>
      <c r="E719" s="1">
        <v>42083</v>
      </c>
      <c r="F719" s="1">
        <v>42111</v>
      </c>
      <c r="G719" s="1">
        <v>42093</v>
      </c>
      <c r="H719" s="3">
        <f>IF(Table1[[#This Row],[ShippedDate]]="","",IF(Table1[[#This Row],[OrderDate]]="","",Table1[[#This Row],[ShippedDate]]-Table1[[#This Row],[OrderDate]]))</f>
        <v>10</v>
      </c>
      <c r="I719" s="3">
        <v>3</v>
      </c>
      <c r="J719" s="2">
        <v>144.38</v>
      </c>
      <c r="K719" s="2">
        <f>SUMIF(order_details!A:A,Table1[[#This Row],[orderID]],order_details!F:F)</f>
        <v>848</v>
      </c>
      <c r="L719" s="9">
        <f>_xlfn.XLOOKUP(Table1[[#This Row],[orderID]],Table3[orderID],Table3[discount])</f>
        <v>0</v>
      </c>
      <c r="M719" s="2">
        <f>SUM(Table1[[#This Row],[Sales]],Table1[[#This Row],[freight]])</f>
        <v>992.38</v>
      </c>
      <c r="N719" s="3">
        <f>_xlfn.XLOOKUP(Table1[[#This Row],[orderID]],Table3[orderID],Table3[quantity])</f>
        <v>16</v>
      </c>
      <c r="O719" s="6" t="str">
        <f>_xlfn.XLOOKUP(Table1[[#This Row],[CustomerID]],customers!A:A,customers!B:B)</f>
        <v>Old World Delicatessen</v>
      </c>
      <c r="P719" s="6" t="str">
        <f>_xlfn.XLOOKUP(Table1[[#This Row],[shipperID]],Table6[shipperID],Table6[companyName])</f>
        <v>Federal Shipping</v>
      </c>
      <c r="Q719">
        <f>YEAR(Table1[[#This Row],[OrderDate]])</f>
        <v>2015</v>
      </c>
      <c r="R719">
        <f>MONTH(Table1[[#This Row],[OrderDate]])</f>
        <v>3</v>
      </c>
      <c r="S719" t="str">
        <f>"Q"&amp;ROUNDUP(Table1[[#This Row],[month]]/3,0)</f>
        <v>Q1</v>
      </c>
      <c r="T719" t="str">
        <f>CONCATENATE(Table1[[#This Row],[year]],"-",Table1[[#This Row],[Quarter]])</f>
        <v>2015-Q1</v>
      </c>
      <c r="U719" s="6" t="str">
        <f>IF(H718="","Pending",IF(Table1[[#This Row],[Days to ship]]&lt;Table1[[#This Row],[RequiredDate]],"On Time","Late"))</f>
        <v>On Time</v>
      </c>
      <c r="V719">
        <f>_xlfn.XLOOKUP(Table1[[#This Row],[orderID]],Table3[orderID],Table3[unitPrice])</f>
        <v>53</v>
      </c>
    </row>
    <row r="720" spans="1:22" x14ac:dyDescent="0.45">
      <c r="A720" s="3">
        <v>10966</v>
      </c>
      <c r="B720" s="6" t="s">
        <v>186</v>
      </c>
      <c r="C720" s="3">
        <v>4</v>
      </c>
      <c r="D720" s="6" t="str">
        <f>_xlfn.XLOOKUP(Table1[[#This Row],[EmployeeID]],Table4[employeeID],Table4[employeeName])</f>
        <v>Margaret Peacock</v>
      </c>
      <c r="E720" s="1">
        <v>42083</v>
      </c>
      <c r="F720" s="1">
        <v>42111</v>
      </c>
      <c r="G720" s="1">
        <v>42102</v>
      </c>
      <c r="H720" s="3">
        <f>IF(Table1[[#This Row],[ShippedDate]]="","",IF(Table1[[#This Row],[OrderDate]]="","",Table1[[#This Row],[ShippedDate]]-Table1[[#This Row],[OrderDate]]))</f>
        <v>19</v>
      </c>
      <c r="I720" s="3">
        <v>1</v>
      </c>
      <c r="J720" s="2">
        <v>27.19</v>
      </c>
      <c r="K720" s="2">
        <f>SUMIF(order_details!A:A,Table1[[#This Row],[orderID]],order_details!F:F)</f>
        <v>1098.4599999999998</v>
      </c>
      <c r="L720" s="9">
        <f>_xlfn.XLOOKUP(Table1[[#This Row],[orderID]],Table3[orderID],Table3[discount])</f>
        <v>0</v>
      </c>
      <c r="M720" s="2">
        <f>SUM(Table1[[#This Row],[Sales]],Table1[[#This Row],[freight]])</f>
        <v>1125.6499999999999</v>
      </c>
      <c r="N720" s="3">
        <f>_xlfn.XLOOKUP(Table1[[#This Row],[orderID]],Table3[orderID],Table3[quantity])</f>
        <v>8</v>
      </c>
      <c r="O720" s="6" t="str">
        <f>_xlfn.XLOOKUP(Table1[[#This Row],[CustomerID]],customers!A:A,customers!B:B)</f>
        <v>Chop-suey Chinese</v>
      </c>
      <c r="P720" s="6" t="str">
        <f>_xlfn.XLOOKUP(Table1[[#This Row],[shipperID]],Table6[shipperID],Table6[companyName])</f>
        <v>Speedy Express</v>
      </c>
      <c r="Q720">
        <f>YEAR(Table1[[#This Row],[OrderDate]])</f>
        <v>2015</v>
      </c>
      <c r="R720">
        <f>MONTH(Table1[[#This Row],[OrderDate]])</f>
        <v>3</v>
      </c>
      <c r="S720" t="str">
        <f>"Q"&amp;ROUNDUP(Table1[[#This Row],[month]]/3,0)</f>
        <v>Q1</v>
      </c>
      <c r="T720" t="str">
        <f>CONCATENATE(Table1[[#This Row],[year]],"-",Table1[[#This Row],[Quarter]])</f>
        <v>2015-Q1</v>
      </c>
      <c r="U720" s="6" t="str">
        <f>IF(H719="","Pending",IF(Table1[[#This Row],[Days to ship]]&lt;Table1[[#This Row],[RequiredDate]],"On Time","Late"))</f>
        <v>On Time</v>
      </c>
      <c r="V720">
        <f>_xlfn.XLOOKUP(Table1[[#This Row],[orderID]],Table3[orderID],Table3[unitPrice])</f>
        <v>26</v>
      </c>
    </row>
    <row r="721" spans="1:22" x14ac:dyDescent="0.45">
      <c r="A721" s="3">
        <v>10967</v>
      </c>
      <c r="B721" s="6" t="s">
        <v>215</v>
      </c>
      <c r="C721" s="3">
        <v>2</v>
      </c>
      <c r="D721" s="6" t="str">
        <f>_xlfn.XLOOKUP(Table1[[#This Row],[EmployeeID]],Table4[employeeID],Table4[employeeName])</f>
        <v>Andrew Fuller</v>
      </c>
      <c r="E721" s="1">
        <v>42086</v>
      </c>
      <c r="F721" s="1">
        <v>42114</v>
      </c>
      <c r="G721" s="1">
        <v>42096</v>
      </c>
      <c r="H721" s="3">
        <f>IF(Table1[[#This Row],[ShippedDate]]="","",IF(Table1[[#This Row],[OrderDate]]="","",Table1[[#This Row],[ShippedDate]]-Table1[[#This Row],[OrderDate]]))</f>
        <v>10</v>
      </c>
      <c r="I721" s="3">
        <v>2</v>
      </c>
      <c r="J721" s="2">
        <v>62.22</v>
      </c>
      <c r="K721" s="2">
        <f>SUMIF(order_details!A:A,Table1[[#This Row],[orderID]],order_details!F:F)</f>
        <v>910.4</v>
      </c>
      <c r="L721" s="9">
        <f>_xlfn.XLOOKUP(Table1[[#This Row],[orderID]],Table3[orderID],Table3[discount])</f>
        <v>0</v>
      </c>
      <c r="M721" s="2">
        <f>SUM(Table1[[#This Row],[Sales]],Table1[[#This Row],[freight]])</f>
        <v>972.62</v>
      </c>
      <c r="N721" s="3">
        <f>_xlfn.XLOOKUP(Table1[[#This Row],[orderID]],Table3[orderID],Table3[quantity])</f>
        <v>12</v>
      </c>
      <c r="O721" s="6" t="str">
        <f>_xlfn.XLOOKUP(Table1[[#This Row],[CustomerID]],customers!A:A,customers!B:B)</f>
        <v>Toms Spezialitäten</v>
      </c>
      <c r="P721" s="6" t="str">
        <f>_xlfn.XLOOKUP(Table1[[#This Row],[shipperID]],Table6[shipperID],Table6[companyName])</f>
        <v>United Package</v>
      </c>
      <c r="Q721">
        <f>YEAR(Table1[[#This Row],[OrderDate]])</f>
        <v>2015</v>
      </c>
      <c r="R721">
        <f>MONTH(Table1[[#This Row],[OrderDate]])</f>
        <v>3</v>
      </c>
      <c r="S721" t="str">
        <f>"Q"&amp;ROUNDUP(Table1[[#This Row],[month]]/3,0)</f>
        <v>Q1</v>
      </c>
      <c r="T721" t="str">
        <f>CONCATENATE(Table1[[#This Row],[year]],"-",Table1[[#This Row],[Quarter]])</f>
        <v>2015-Q1</v>
      </c>
      <c r="U721" s="6" t="str">
        <f>IF(H720="","Pending",IF(Table1[[#This Row],[Days to ship]]&lt;Table1[[#This Row],[RequiredDate]],"On Time","Late"))</f>
        <v>On Time</v>
      </c>
      <c r="V721">
        <f>_xlfn.XLOOKUP(Table1[[#This Row],[orderID]],Table3[orderID],Table3[unitPrice])</f>
        <v>9.1999999999999993</v>
      </c>
    </row>
    <row r="722" spans="1:22" x14ac:dyDescent="0.45">
      <c r="A722" s="3">
        <v>10968</v>
      </c>
      <c r="B722" s="6" t="s">
        <v>158</v>
      </c>
      <c r="C722" s="3">
        <v>1</v>
      </c>
      <c r="D722" s="6" t="str">
        <f>_xlfn.XLOOKUP(Table1[[#This Row],[EmployeeID]],Table4[employeeID],Table4[employeeName])</f>
        <v>Nancy Davolio</v>
      </c>
      <c r="E722" s="1">
        <v>42086</v>
      </c>
      <c r="F722" s="1">
        <v>42114</v>
      </c>
      <c r="G722" s="1">
        <v>42095</v>
      </c>
      <c r="H722" s="3">
        <f>IF(Table1[[#This Row],[ShippedDate]]="","",IF(Table1[[#This Row],[OrderDate]]="","",Table1[[#This Row],[ShippedDate]]-Table1[[#This Row],[OrderDate]]))</f>
        <v>9</v>
      </c>
      <c r="I722" s="3">
        <v>3</v>
      </c>
      <c r="J722" s="2">
        <v>74.599999999999994</v>
      </c>
      <c r="K722" s="2">
        <f>SUMIF(order_details!A:A,Table1[[#This Row],[orderID]],order_details!F:F)</f>
        <v>1408</v>
      </c>
      <c r="L722" s="9">
        <f>_xlfn.XLOOKUP(Table1[[#This Row],[orderID]],Table3[orderID],Table3[discount])</f>
        <v>0</v>
      </c>
      <c r="M722" s="2">
        <f>SUM(Table1[[#This Row],[Sales]],Table1[[#This Row],[freight]])</f>
        <v>1482.6</v>
      </c>
      <c r="N722" s="3">
        <f>_xlfn.XLOOKUP(Table1[[#This Row],[orderID]],Table3[orderID],Table3[quantity])</f>
        <v>30</v>
      </c>
      <c r="O722" s="6" t="str">
        <f>_xlfn.XLOOKUP(Table1[[#This Row],[CustomerID]],customers!A:A,customers!B:B)</f>
        <v>Ernst Handel</v>
      </c>
      <c r="P722" s="6" t="str">
        <f>_xlfn.XLOOKUP(Table1[[#This Row],[shipperID]],Table6[shipperID],Table6[companyName])</f>
        <v>Federal Shipping</v>
      </c>
      <c r="Q722">
        <f>YEAR(Table1[[#This Row],[OrderDate]])</f>
        <v>2015</v>
      </c>
      <c r="R722">
        <f>MONTH(Table1[[#This Row],[OrderDate]])</f>
        <v>3</v>
      </c>
      <c r="S722" t="str">
        <f>"Q"&amp;ROUNDUP(Table1[[#This Row],[month]]/3,0)</f>
        <v>Q1</v>
      </c>
      <c r="T722" t="str">
        <f>CONCATENATE(Table1[[#This Row],[year]],"-",Table1[[#This Row],[Quarter]])</f>
        <v>2015-Q1</v>
      </c>
      <c r="U722" s="6" t="str">
        <f>IF(H721="","Pending",IF(Table1[[#This Row],[Days to ship]]&lt;Table1[[#This Row],[RequiredDate]],"On Time","Late"))</f>
        <v>On Time</v>
      </c>
      <c r="V722">
        <f>_xlfn.XLOOKUP(Table1[[#This Row],[orderID]],Table3[orderID],Table3[unitPrice])</f>
        <v>38</v>
      </c>
    </row>
    <row r="723" spans="1:22" x14ac:dyDescent="0.45">
      <c r="A723" s="3">
        <v>10969</v>
      </c>
      <c r="B723" s="6" t="s">
        <v>185</v>
      </c>
      <c r="C723" s="3">
        <v>1</v>
      </c>
      <c r="D723" s="6" t="str">
        <f>_xlfn.XLOOKUP(Table1[[#This Row],[EmployeeID]],Table4[employeeID],Table4[employeeName])</f>
        <v>Nancy Davolio</v>
      </c>
      <c r="E723" s="1">
        <v>42086</v>
      </c>
      <c r="F723" s="1">
        <v>42114</v>
      </c>
      <c r="G723" s="1">
        <v>42093</v>
      </c>
      <c r="H723" s="3">
        <f>IF(Table1[[#This Row],[ShippedDate]]="","",IF(Table1[[#This Row],[OrderDate]]="","",Table1[[#This Row],[ShippedDate]]-Table1[[#This Row],[OrderDate]]))</f>
        <v>7</v>
      </c>
      <c r="I723" s="3">
        <v>2</v>
      </c>
      <c r="J723" s="2">
        <v>0.21</v>
      </c>
      <c r="K723" s="2">
        <f>SUMIF(order_details!A:A,Table1[[#This Row],[orderID]],order_details!F:F)</f>
        <v>108</v>
      </c>
      <c r="L723" s="9">
        <f>_xlfn.XLOOKUP(Table1[[#This Row],[orderID]],Table3[orderID],Table3[discount])</f>
        <v>0</v>
      </c>
      <c r="M723" s="2">
        <f>SUM(Table1[[#This Row],[Sales]],Table1[[#This Row],[freight]])</f>
        <v>108.21</v>
      </c>
      <c r="N723" s="3">
        <f>_xlfn.XLOOKUP(Table1[[#This Row],[orderID]],Table3[orderID],Table3[quantity])</f>
        <v>9</v>
      </c>
      <c r="O723" s="6" t="str">
        <f>_xlfn.XLOOKUP(Table1[[#This Row],[CustomerID]],customers!A:A,customers!B:B)</f>
        <v>Comércio Mineiro</v>
      </c>
      <c r="P723" s="6" t="str">
        <f>_xlfn.XLOOKUP(Table1[[#This Row],[shipperID]],Table6[shipperID],Table6[companyName])</f>
        <v>United Package</v>
      </c>
      <c r="Q723">
        <f>YEAR(Table1[[#This Row],[OrderDate]])</f>
        <v>2015</v>
      </c>
      <c r="R723">
        <f>MONTH(Table1[[#This Row],[OrderDate]])</f>
        <v>3</v>
      </c>
      <c r="S723" t="str">
        <f>"Q"&amp;ROUNDUP(Table1[[#This Row],[month]]/3,0)</f>
        <v>Q1</v>
      </c>
      <c r="T723" t="str">
        <f>CONCATENATE(Table1[[#This Row],[year]],"-",Table1[[#This Row],[Quarter]])</f>
        <v>2015-Q1</v>
      </c>
      <c r="U723" s="6" t="str">
        <f>IF(H722="","Pending",IF(Table1[[#This Row],[Days to ship]]&lt;Table1[[#This Row],[RequiredDate]],"On Time","Late"))</f>
        <v>On Time</v>
      </c>
      <c r="V723">
        <f>_xlfn.XLOOKUP(Table1[[#This Row],[orderID]],Table3[orderID],Table3[unitPrice])</f>
        <v>12</v>
      </c>
    </row>
    <row r="724" spans="1:22" x14ac:dyDescent="0.45">
      <c r="A724" s="3">
        <v>10970</v>
      </c>
      <c r="B724" s="6" t="s">
        <v>214</v>
      </c>
      <c r="C724" s="3">
        <v>9</v>
      </c>
      <c r="D724" s="6" t="str">
        <f>_xlfn.XLOOKUP(Table1[[#This Row],[EmployeeID]],Table4[employeeID],Table4[employeeName])</f>
        <v>Anne Dodsworth</v>
      </c>
      <c r="E724" s="1">
        <v>42087</v>
      </c>
      <c r="F724" s="1">
        <v>42101</v>
      </c>
      <c r="G724" s="1">
        <v>42118</v>
      </c>
      <c r="H724" s="3">
        <f>IF(Table1[[#This Row],[ShippedDate]]="","",IF(Table1[[#This Row],[OrderDate]]="","",Table1[[#This Row],[ShippedDate]]-Table1[[#This Row],[OrderDate]]))</f>
        <v>31</v>
      </c>
      <c r="I724" s="3">
        <v>1</v>
      </c>
      <c r="J724" s="2">
        <v>16.16</v>
      </c>
      <c r="K724" s="2">
        <f>SUMIF(order_details!A:A,Table1[[#This Row],[orderID]],order_details!F:F)</f>
        <v>224</v>
      </c>
      <c r="L724" s="9">
        <f>_xlfn.XLOOKUP(Table1[[#This Row],[orderID]],Table3[orderID],Table3[discount])</f>
        <v>0.2</v>
      </c>
      <c r="M724" s="2">
        <f>SUM(Table1[[#This Row],[Sales]],Table1[[#This Row],[freight]])</f>
        <v>240.16</v>
      </c>
      <c r="N724" s="3">
        <f>_xlfn.XLOOKUP(Table1[[#This Row],[orderID]],Table3[orderID],Table3[quantity])</f>
        <v>40</v>
      </c>
      <c r="O724" s="6" t="str">
        <f>_xlfn.XLOOKUP(Table1[[#This Row],[CustomerID]],customers!A:A,customers!B:B)</f>
        <v>Bólido Comidas preparadas</v>
      </c>
      <c r="P724" s="6" t="str">
        <f>_xlfn.XLOOKUP(Table1[[#This Row],[shipperID]],Table6[shipperID],Table6[companyName])</f>
        <v>Speedy Express</v>
      </c>
      <c r="Q724">
        <f>YEAR(Table1[[#This Row],[OrderDate]])</f>
        <v>2015</v>
      </c>
      <c r="R724">
        <f>MONTH(Table1[[#This Row],[OrderDate]])</f>
        <v>3</v>
      </c>
      <c r="S724" t="str">
        <f>"Q"&amp;ROUNDUP(Table1[[#This Row],[month]]/3,0)</f>
        <v>Q1</v>
      </c>
      <c r="T724" t="str">
        <f>CONCATENATE(Table1[[#This Row],[year]],"-",Table1[[#This Row],[Quarter]])</f>
        <v>2015-Q1</v>
      </c>
      <c r="U724" s="6" t="str">
        <f>IF(H723="","Pending",IF(Table1[[#This Row],[Days to ship]]&lt;Table1[[#This Row],[RequiredDate]],"On Time","Late"))</f>
        <v>On Time</v>
      </c>
      <c r="V724">
        <f>_xlfn.XLOOKUP(Table1[[#This Row],[orderID]],Table3[orderID],Table3[unitPrice])</f>
        <v>7</v>
      </c>
    </row>
    <row r="725" spans="1:22" x14ac:dyDescent="0.45">
      <c r="A725" s="3">
        <v>10971</v>
      </c>
      <c r="B725" s="6" t="s">
        <v>213</v>
      </c>
      <c r="C725" s="3">
        <v>2</v>
      </c>
      <c r="D725" s="6" t="str">
        <f>_xlfn.XLOOKUP(Table1[[#This Row],[EmployeeID]],Table4[employeeID],Table4[employeeName])</f>
        <v>Andrew Fuller</v>
      </c>
      <c r="E725" s="1">
        <v>42087</v>
      </c>
      <c r="F725" s="1">
        <v>42115</v>
      </c>
      <c r="G725" s="1">
        <v>42096</v>
      </c>
      <c r="H725" s="3">
        <f>IF(Table1[[#This Row],[ShippedDate]]="","",IF(Table1[[#This Row],[OrderDate]]="","",Table1[[#This Row],[ShippedDate]]-Table1[[#This Row],[OrderDate]]))</f>
        <v>9</v>
      </c>
      <c r="I725" s="3">
        <v>2</v>
      </c>
      <c r="J725" s="2">
        <v>121.82</v>
      </c>
      <c r="K725" s="2">
        <f>SUMIF(order_details!A:A,Table1[[#This Row],[orderID]],order_details!F:F)</f>
        <v>1733.0600000000002</v>
      </c>
      <c r="L725" s="9">
        <f>_xlfn.XLOOKUP(Table1[[#This Row],[orderID]],Table3[orderID],Table3[discount])</f>
        <v>0</v>
      </c>
      <c r="M725" s="2">
        <f>SUM(Table1[[#This Row],[Sales]],Table1[[#This Row],[freight]])</f>
        <v>1854.88</v>
      </c>
      <c r="N725" s="3">
        <f>_xlfn.XLOOKUP(Table1[[#This Row],[orderID]],Table3[orderID],Table3[quantity])</f>
        <v>14</v>
      </c>
      <c r="O725" s="6" t="str">
        <f>_xlfn.XLOOKUP(Table1[[#This Row],[CustomerID]],customers!A:A,customers!B:B)</f>
        <v>France restauration</v>
      </c>
      <c r="P725" s="6" t="str">
        <f>_xlfn.XLOOKUP(Table1[[#This Row],[shipperID]],Table6[shipperID],Table6[companyName])</f>
        <v>United Package</v>
      </c>
      <c r="Q725">
        <f>YEAR(Table1[[#This Row],[OrderDate]])</f>
        <v>2015</v>
      </c>
      <c r="R725">
        <f>MONTH(Table1[[#This Row],[OrderDate]])</f>
        <v>3</v>
      </c>
      <c r="S725" t="str">
        <f>"Q"&amp;ROUNDUP(Table1[[#This Row],[month]]/3,0)</f>
        <v>Q1</v>
      </c>
      <c r="T725" t="str">
        <f>CONCATENATE(Table1[[#This Row],[year]],"-",Table1[[#This Row],[Quarter]])</f>
        <v>2015-Q1</v>
      </c>
      <c r="U725" s="6" t="str">
        <f>IF(H724="","Pending",IF(Table1[[#This Row],[Days to ship]]&lt;Table1[[#This Row],[RequiredDate]],"On Time","Late"))</f>
        <v>On Time</v>
      </c>
      <c r="V725">
        <f>_xlfn.XLOOKUP(Table1[[#This Row],[orderID]],Table3[orderID],Table3[unitPrice])</f>
        <v>123.79</v>
      </c>
    </row>
    <row r="726" spans="1:22" x14ac:dyDescent="0.45">
      <c r="A726" s="3">
        <v>10972</v>
      </c>
      <c r="B726" s="6" t="s">
        <v>212</v>
      </c>
      <c r="C726" s="3">
        <v>4</v>
      </c>
      <c r="D726" s="6" t="str">
        <f>_xlfn.XLOOKUP(Table1[[#This Row],[EmployeeID]],Table4[employeeID],Table4[employeeName])</f>
        <v>Margaret Peacock</v>
      </c>
      <c r="E726" s="1">
        <v>42087</v>
      </c>
      <c r="F726" s="1">
        <v>42115</v>
      </c>
      <c r="G726" s="1">
        <v>42089</v>
      </c>
      <c r="H726" s="3">
        <f>IF(Table1[[#This Row],[ShippedDate]]="","",IF(Table1[[#This Row],[OrderDate]]="","",Table1[[#This Row],[ShippedDate]]-Table1[[#This Row],[OrderDate]]))</f>
        <v>2</v>
      </c>
      <c r="I726" s="3">
        <v>2</v>
      </c>
      <c r="J726" s="2">
        <v>0.02</v>
      </c>
      <c r="K726" s="2">
        <f>SUMIF(order_details!A:A,Table1[[#This Row],[orderID]],order_details!F:F)</f>
        <v>251.5</v>
      </c>
      <c r="L726" s="9">
        <f>_xlfn.XLOOKUP(Table1[[#This Row],[orderID]],Table3[orderID],Table3[discount])</f>
        <v>0</v>
      </c>
      <c r="M726" s="2">
        <f>SUM(Table1[[#This Row],[Sales]],Table1[[#This Row],[freight]])</f>
        <v>251.52</v>
      </c>
      <c r="N726" s="3">
        <f>_xlfn.XLOOKUP(Table1[[#This Row],[orderID]],Table3[orderID],Table3[quantity])</f>
        <v>6</v>
      </c>
      <c r="O726" s="6" t="str">
        <f>_xlfn.XLOOKUP(Table1[[#This Row],[CustomerID]],customers!A:A,customers!B:B)</f>
        <v>La corne d'abondance</v>
      </c>
      <c r="P726" s="6" t="str">
        <f>_xlfn.XLOOKUP(Table1[[#This Row],[shipperID]],Table6[shipperID],Table6[companyName])</f>
        <v>United Package</v>
      </c>
      <c r="Q726">
        <f>YEAR(Table1[[#This Row],[OrderDate]])</f>
        <v>2015</v>
      </c>
      <c r="R726">
        <f>MONTH(Table1[[#This Row],[OrderDate]])</f>
        <v>3</v>
      </c>
      <c r="S726" t="str">
        <f>"Q"&amp;ROUNDUP(Table1[[#This Row],[month]]/3,0)</f>
        <v>Q1</v>
      </c>
      <c r="T726" t="str">
        <f>CONCATENATE(Table1[[#This Row],[year]],"-",Table1[[#This Row],[Quarter]])</f>
        <v>2015-Q1</v>
      </c>
      <c r="U726" s="6" t="str">
        <f>IF(H725="","Pending",IF(Table1[[#This Row],[Days to ship]]&lt;Table1[[#This Row],[RequiredDate]],"On Time","Late"))</f>
        <v>On Time</v>
      </c>
      <c r="V726">
        <f>_xlfn.XLOOKUP(Table1[[#This Row],[orderID]],Table3[orderID],Table3[unitPrice])</f>
        <v>39</v>
      </c>
    </row>
    <row r="727" spans="1:22" x14ac:dyDescent="0.45">
      <c r="A727" s="3">
        <v>10973</v>
      </c>
      <c r="B727" s="6" t="s">
        <v>212</v>
      </c>
      <c r="C727" s="3">
        <v>6</v>
      </c>
      <c r="D727" s="6" t="str">
        <f>_xlfn.XLOOKUP(Table1[[#This Row],[EmployeeID]],Table4[employeeID],Table4[employeeName])</f>
        <v>Michael Suyama</v>
      </c>
      <c r="E727" s="1">
        <v>42087</v>
      </c>
      <c r="F727" s="1">
        <v>42115</v>
      </c>
      <c r="G727" s="1">
        <v>42090</v>
      </c>
      <c r="H727" s="3">
        <f>IF(Table1[[#This Row],[ShippedDate]]="","",IF(Table1[[#This Row],[OrderDate]]="","",Table1[[#This Row],[ShippedDate]]-Table1[[#This Row],[OrderDate]]))</f>
        <v>3</v>
      </c>
      <c r="I727" s="3">
        <v>2</v>
      </c>
      <c r="J727" s="2">
        <v>15.17</v>
      </c>
      <c r="K727" s="2">
        <f>SUMIF(order_details!A:A,Table1[[#This Row],[orderID]],order_details!F:F)</f>
        <v>291.55</v>
      </c>
      <c r="L727" s="9">
        <f>_xlfn.XLOOKUP(Table1[[#This Row],[orderID]],Table3[orderID],Table3[discount])</f>
        <v>0</v>
      </c>
      <c r="M727" s="2">
        <f>SUM(Table1[[#This Row],[Sales]],Table1[[#This Row],[freight]])</f>
        <v>306.72000000000003</v>
      </c>
      <c r="N727" s="3">
        <f>_xlfn.XLOOKUP(Table1[[#This Row],[orderID]],Table3[orderID],Table3[quantity])</f>
        <v>5</v>
      </c>
      <c r="O727" s="6" t="str">
        <f>_xlfn.XLOOKUP(Table1[[#This Row],[CustomerID]],customers!A:A,customers!B:B)</f>
        <v>La corne d'abondance</v>
      </c>
      <c r="P727" s="6" t="str">
        <f>_xlfn.XLOOKUP(Table1[[#This Row],[shipperID]],Table6[shipperID],Table6[companyName])</f>
        <v>United Package</v>
      </c>
      <c r="Q727">
        <f>YEAR(Table1[[#This Row],[OrderDate]])</f>
        <v>2015</v>
      </c>
      <c r="R727">
        <f>MONTH(Table1[[#This Row],[OrderDate]])</f>
        <v>3</v>
      </c>
      <c r="S727" t="str">
        <f>"Q"&amp;ROUNDUP(Table1[[#This Row],[month]]/3,0)</f>
        <v>Q1</v>
      </c>
      <c r="T727" t="str">
        <f>CONCATENATE(Table1[[#This Row],[year]],"-",Table1[[#This Row],[Quarter]])</f>
        <v>2015-Q1</v>
      </c>
      <c r="U727" s="6" t="str">
        <f>IF(H726="","Pending",IF(Table1[[#This Row],[Days to ship]]&lt;Table1[[#This Row],[RequiredDate]],"On Time","Late"))</f>
        <v>On Time</v>
      </c>
      <c r="V727">
        <f>_xlfn.XLOOKUP(Table1[[#This Row],[orderID]],Table3[orderID],Table3[unitPrice])</f>
        <v>31.23</v>
      </c>
    </row>
    <row r="728" spans="1:22" x14ac:dyDescent="0.45">
      <c r="A728" s="3">
        <v>10974</v>
      </c>
      <c r="B728" s="6" t="s">
        <v>211</v>
      </c>
      <c r="C728" s="3">
        <v>3</v>
      </c>
      <c r="D728" s="6" t="str">
        <f>_xlfn.XLOOKUP(Table1[[#This Row],[EmployeeID]],Table4[employeeID],Table4[employeeName])</f>
        <v>Janet Leverling</v>
      </c>
      <c r="E728" s="1">
        <v>42088</v>
      </c>
      <c r="F728" s="1">
        <v>42102</v>
      </c>
      <c r="G728" s="1">
        <v>42097</v>
      </c>
      <c r="H728" s="3">
        <f>IF(Table1[[#This Row],[ShippedDate]]="","",IF(Table1[[#This Row],[OrderDate]]="","",Table1[[#This Row],[ShippedDate]]-Table1[[#This Row],[OrderDate]]))</f>
        <v>9</v>
      </c>
      <c r="I728" s="3">
        <v>3</v>
      </c>
      <c r="J728" s="2">
        <v>12.96</v>
      </c>
      <c r="K728" s="2">
        <f>SUMIF(order_details!A:A,Table1[[#This Row],[orderID]],order_details!F:F)</f>
        <v>439</v>
      </c>
      <c r="L728" s="9">
        <f>_xlfn.XLOOKUP(Table1[[#This Row],[orderID]],Table3[orderID],Table3[discount])</f>
        <v>0</v>
      </c>
      <c r="M728" s="2">
        <f>SUM(Table1[[#This Row],[Sales]],Table1[[#This Row],[freight]])</f>
        <v>451.96</v>
      </c>
      <c r="N728" s="3">
        <f>_xlfn.XLOOKUP(Table1[[#This Row],[orderID]],Table3[orderID],Table3[quantity])</f>
        <v>10</v>
      </c>
      <c r="O728" s="6" t="str">
        <f>_xlfn.XLOOKUP(Table1[[#This Row],[CustomerID]],customers!A:A,customers!B:B)</f>
        <v>Split Rail Beer &amp; Ale</v>
      </c>
      <c r="P728" s="6" t="str">
        <f>_xlfn.XLOOKUP(Table1[[#This Row],[shipperID]],Table6[shipperID],Table6[companyName])</f>
        <v>Federal Shipping</v>
      </c>
      <c r="Q728">
        <f>YEAR(Table1[[#This Row],[OrderDate]])</f>
        <v>2015</v>
      </c>
      <c r="R728">
        <f>MONTH(Table1[[#This Row],[OrderDate]])</f>
        <v>3</v>
      </c>
      <c r="S728" t="str">
        <f>"Q"&amp;ROUNDUP(Table1[[#This Row],[month]]/3,0)</f>
        <v>Q1</v>
      </c>
      <c r="T728" t="str">
        <f>CONCATENATE(Table1[[#This Row],[year]],"-",Table1[[#This Row],[Quarter]])</f>
        <v>2015-Q1</v>
      </c>
      <c r="U728" s="6" t="str">
        <f>IF(H727="","Pending",IF(Table1[[#This Row],[Days to ship]]&lt;Table1[[#This Row],[RequiredDate]],"On Time","Late"))</f>
        <v>On Time</v>
      </c>
      <c r="V728">
        <f>_xlfn.XLOOKUP(Table1[[#This Row],[orderID]],Table3[orderID],Table3[unitPrice])</f>
        <v>43.9</v>
      </c>
    </row>
    <row r="729" spans="1:22" x14ac:dyDescent="0.45">
      <c r="A729" s="3">
        <v>10975</v>
      </c>
      <c r="B729" s="6" t="s">
        <v>181</v>
      </c>
      <c r="C729" s="3">
        <v>1</v>
      </c>
      <c r="D729" s="6" t="str">
        <f>_xlfn.XLOOKUP(Table1[[#This Row],[EmployeeID]],Table4[employeeID],Table4[employeeName])</f>
        <v>Nancy Davolio</v>
      </c>
      <c r="E729" s="1">
        <v>42088</v>
      </c>
      <c r="F729" s="1">
        <v>42116</v>
      </c>
      <c r="G729" s="1">
        <v>42090</v>
      </c>
      <c r="H729" s="3">
        <f>IF(Table1[[#This Row],[ShippedDate]]="","",IF(Table1[[#This Row],[OrderDate]]="","",Table1[[#This Row],[ShippedDate]]-Table1[[#This Row],[OrderDate]]))</f>
        <v>2</v>
      </c>
      <c r="I729" s="3">
        <v>3</v>
      </c>
      <c r="J729" s="2">
        <v>32.270000000000003</v>
      </c>
      <c r="K729" s="2">
        <f>SUMIF(order_details!A:A,Table1[[#This Row],[orderID]],order_details!F:F)</f>
        <v>717.5</v>
      </c>
      <c r="L729" s="9">
        <f>_xlfn.XLOOKUP(Table1[[#This Row],[orderID]],Table3[orderID],Table3[discount])</f>
        <v>0</v>
      </c>
      <c r="M729" s="2">
        <f>SUM(Table1[[#This Row],[Sales]],Table1[[#This Row],[freight]])</f>
        <v>749.77</v>
      </c>
      <c r="N729" s="3">
        <f>_xlfn.XLOOKUP(Table1[[#This Row],[orderID]],Table3[orderID],Table3[quantity])</f>
        <v>16</v>
      </c>
      <c r="O729" s="6" t="str">
        <f>_xlfn.XLOOKUP(Table1[[#This Row],[CustomerID]],customers!A:A,customers!B:B)</f>
        <v>Bottom-Dollar Markets</v>
      </c>
      <c r="P729" s="6" t="str">
        <f>_xlfn.XLOOKUP(Table1[[#This Row],[shipperID]],Table6[shipperID],Table6[companyName])</f>
        <v>Federal Shipping</v>
      </c>
      <c r="Q729">
        <f>YEAR(Table1[[#This Row],[OrderDate]])</f>
        <v>2015</v>
      </c>
      <c r="R729">
        <f>MONTH(Table1[[#This Row],[OrderDate]])</f>
        <v>3</v>
      </c>
      <c r="S729" t="str">
        <f>"Q"&amp;ROUNDUP(Table1[[#This Row],[month]]/3,0)</f>
        <v>Q1</v>
      </c>
      <c r="T729" t="str">
        <f>CONCATENATE(Table1[[#This Row],[year]],"-",Table1[[#This Row],[Quarter]])</f>
        <v>2015-Q1</v>
      </c>
      <c r="U729" s="6" t="str">
        <f>IF(H728="","Pending",IF(Table1[[#This Row],[Days to ship]]&lt;Table1[[#This Row],[RequiredDate]],"On Time","Late"))</f>
        <v>On Time</v>
      </c>
      <c r="V729">
        <f>_xlfn.XLOOKUP(Table1[[#This Row],[orderID]],Table3[orderID],Table3[unitPrice])</f>
        <v>40</v>
      </c>
    </row>
    <row r="730" spans="1:22" x14ac:dyDescent="0.45">
      <c r="A730" s="3">
        <v>10976</v>
      </c>
      <c r="B730" s="6" t="s">
        <v>174</v>
      </c>
      <c r="C730" s="3">
        <v>1</v>
      </c>
      <c r="D730" s="6" t="str">
        <f>_xlfn.XLOOKUP(Table1[[#This Row],[EmployeeID]],Table4[employeeID],Table4[employeeName])</f>
        <v>Nancy Davolio</v>
      </c>
      <c r="E730" s="1">
        <v>42088</v>
      </c>
      <c r="F730" s="1">
        <v>42130</v>
      </c>
      <c r="G730" s="1">
        <v>42097</v>
      </c>
      <c r="H730" s="3">
        <f>IF(Table1[[#This Row],[ShippedDate]]="","",IF(Table1[[#This Row],[OrderDate]]="","",Table1[[#This Row],[ShippedDate]]-Table1[[#This Row],[OrderDate]]))</f>
        <v>9</v>
      </c>
      <c r="I730" s="3">
        <v>1</v>
      </c>
      <c r="J730" s="2">
        <v>37.97</v>
      </c>
      <c r="K730" s="2">
        <f>SUMIF(order_details!A:A,Table1[[#This Row],[orderID]],order_details!F:F)</f>
        <v>912</v>
      </c>
      <c r="L730" s="9">
        <f>_xlfn.XLOOKUP(Table1[[#This Row],[orderID]],Table3[orderID],Table3[discount])</f>
        <v>0</v>
      </c>
      <c r="M730" s="2">
        <f>SUM(Table1[[#This Row],[Sales]],Table1[[#This Row],[freight]])</f>
        <v>949.97</v>
      </c>
      <c r="N730" s="3">
        <f>_xlfn.XLOOKUP(Table1[[#This Row],[orderID]],Table3[orderID],Table3[quantity])</f>
        <v>20</v>
      </c>
      <c r="O730" s="6" t="str">
        <f>_xlfn.XLOOKUP(Table1[[#This Row],[CustomerID]],customers!A:A,customers!B:B)</f>
        <v>HILARION-Abastos</v>
      </c>
      <c r="P730" s="6" t="str">
        <f>_xlfn.XLOOKUP(Table1[[#This Row],[shipperID]],Table6[shipperID],Table6[companyName])</f>
        <v>Speedy Express</v>
      </c>
      <c r="Q730">
        <f>YEAR(Table1[[#This Row],[OrderDate]])</f>
        <v>2015</v>
      </c>
      <c r="R730">
        <f>MONTH(Table1[[#This Row],[OrderDate]])</f>
        <v>3</v>
      </c>
      <c r="S730" t="str">
        <f>"Q"&amp;ROUNDUP(Table1[[#This Row],[month]]/3,0)</f>
        <v>Q1</v>
      </c>
      <c r="T730" t="str">
        <f>CONCATENATE(Table1[[#This Row],[year]],"-",Table1[[#This Row],[Quarter]])</f>
        <v>2015-Q1</v>
      </c>
      <c r="U730" s="6" t="str">
        <f>IF(H729="","Pending",IF(Table1[[#This Row],[Days to ship]]&lt;Table1[[#This Row],[RequiredDate]],"On Time","Late"))</f>
        <v>On Time</v>
      </c>
      <c r="V730">
        <f>_xlfn.XLOOKUP(Table1[[#This Row],[orderID]],Table3[orderID],Table3[unitPrice])</f>
        <v>45.6</v>
      </c>
    </row>
    <row r="731" spans="1:22" x14ac:dyDescent="0.45">
      <c r="A731" s="3">
        <v>10977</v>
      </c>
      <c r="B731" s="6" t="s">
        <v>179</v>
      </c>
      <c r="C731" s="3">
        <v>8</v>
      </c>
      <c r="D731" s="6" t="str">
        <f>_xlfn.XLOOKUP(Table1[[#This Row],[EmployeeID]],Table4[employeeID],Table4[employeeName])</f>
        <v>Laura Callahan</v>
      </c>
      <c r="E731" s="1">
        <v>42089</v>
      </c>
      <c r="F731" s="1">
        <v>42117</v>
      </c>
      <c r="G731" s="1">
        <v>42104</v>
      </c>
      <c r="H731" s="3">
        <f>IF(Table1[[#This Row],[ShippedDate]]="","",IF(Table1[[#This Row],[OrderDate]]="","",Table1[[#This Row],[ShippedDate]]-Table1[[#This Row],[OrderDate]]))</f>
        <v>15</v>
      </c>
      <c r="I731" s="3">
        <v>3</v>
      </c>
      <c r="J731" s="2">
        <v>208.5</v>
      </c>
      <c r="K731" s="2">
        <f>SUMIF(order_details!A:A,Table1[[#This Row],[orderID]],order_details!F:F)</f>
        <v>2233</v>
      </c>
      <c r="L731" s="9">
        <f>_xlfn.XLOOKUP(Table1[[#This Row],[orderID]],Table3[orderID],Table3[discount])</f>
        <v>0</v>
      </c>
      <c r="M731" s="2">
        <f>SUM(Table1[[#This Row],[Sales]],Table1[[#This Row],[freight]])</f>
        <v>2441.5</v>
      </c>
      <c r="N731" s="3">
        <f>_xlfn.XLOOKUP(Table1[[#This Row],[orderID]],Table3[orderID],Table3[quantity])</f>
        <v>30</v>
      </c>
      <c r="O731" s="6" t="str">
        <f>_xlfn.XLOOKUP(Table1[[#This Row],[CustomerID]],customers!A:A,customers!B:B)</f>
        <v>Folk och fä HB</v>
      </c>
      <c r="P731" s="6" t="str">
        <f>_xlfn.XLOOKUP(Table1[[#This Row],[shipperID]],Table6[shipperID],Table6[companyName])</f>
        <v>Federal Shipping</v>
      </c>
      <c r="Q731">
        <f>YEAR(Table1[[#This Row],[OrderDate]])</f>
        <v>2015</v>
      </c>
      <c r="R731">
        <f>MONTH(Table1[[#This Row],[OrderDate]])</f>
        <v>3</v>
      </c>
      <c r="S731" t="str">
        <f>"Q"&amp;ROUNDUP(Table1[[#This Row],[month]]/3,0)</f>
        <v>Q1</v>
      </c>
      <c r="T731" t="str">
        <f>CONCATENATE(Table1[[#This Row],[year]],"-",Table1[[#This Row],[Quarter]])</f>
        <v>2015-Q1</v>
      </c>
      <c r="U731" s="6" t="str">
        <f>IF(H730="","Pending",IF(Table1[[#This Row],[Days to ship]]&lt;Table1[[#This Row],[RequiredDate]],"On Time","Late"))</f>
        <v>On Time</v>
      </c>
      <c r="V731">
        <f>_xlfn.XLOOKUP(Table1[[#This Row],[orderID]],Table3[orderID],Table3[unitPrice])</f>
        <v>18</v>
      </c>
    </row>
    <row r="732" spans="1:22" x14ac:dyDescent="0.45">
      <c r="A732" s="3">
        <v>10978</v>
      </c>
      <c r="B732" s="6" t="s">
        <v>205</v>
      </c>
      <c r="C732" s="3">
        <v>9</v>
      </c>
      <c r="D732" s="6" t="str">
        <f>_xlfn.XLOOKUP(Table1[[#This Row],[EmployeeID]],Table4[employeeID],Table4[employeeName])</f>
        <v>Anne Dodsworth</v>
      </c>
      <c r="E732" s="1">
        <v>42089</v>
      </c>
      <c r="F732" s="1">
        <v>42117</v>
      </c>
      <c r="G732" s="1">
        <v>42117</v>
      </c>
      <c r="H732" s="3">
        <f>IF(Table1[[#This Row],[ShippedDate]]="","",IF(Table1[[#This Row],[OrderDate]]="","",Table1[[#This Row],[ShippedDate]]-Table1[[#This Row],[OrderDate]]))</f>
        <v>28</v>
      </c>
      <c r="I732" s="3">
        <v>2</v>
      </c>
      <c r="J732" s="2">
        <v>32.82</v>
      </c>
      <c r="K732" s="2">
        <f>SUMIF(order_details!A:A,Table1[[#This Row],[orderID]],order_details!F:F)</f>
        <v>1303.1949999999999</v>
      </c>
      <c r="L732" s="9">
        <f>_xlfn.XLOOKUP(Table1[[#This Row],[orderID]],Table3[orderID],Table3[discount])</f>
        <v>0.15</v>
      </c>
      <c r="M732" s="2">
        <f>SUM(Table1[[#This Row],[Sales]],Table1[[#This Row],[freight]])</f>
        <v>1336.0149999999999</v>
      </c>
      <c r="N732" s="3">
        <f>_xlfn.XLOOKUP(Table1[[#This Row],[orderID]],Table3[orderID],Table3[quantity])</f>
        <v>20</v>
      </c>
      <c r="O732" s="6" t="str">
        <f>_xlfn.XLOOKUP(Table1[[#This Row],[CustomerID]],customers!A:A,customers!B:B)</f>
        <v>Maison Dewey</v>
      </c>
      <c r="P732" s="6" t="str">
        <f>_xlfn.XLOOKUP(Table1[[#This Row],[shipperID]],Table6[shipperID],Table6[companyName])</f>
        <v>United Package</v>
      </c>
      <c r="Q732">
        <f>YEAR(Table1[[#This Row],[OrderDate]])</f>
        <v>2015</v>
      </c>
      <c r="R732">
        <f>MONTH(Table1[[#This Row],[OrderDate]])</f>
        <v>3</v>
      </c>
      <c r="S732" t="str">
        <f>"Q"&amp;ROUNDUP(Table1[[#This Row],[month]]/3,0)</f>
        <v>Q1</v>
      </c>
      <c r="T732" t="str">
        <f>CONCATENATE(Table1[[#This Row],[year]],"-",Table1[[#This Row],[Quarter]])</f>
        <v>2015-Q1</v>
      </c>
      <c r="U732" s="6" t="str">
        <f>IF(H731="","Pending",IF(Table1[[#This Row],[Days to ship]]&lt;Table1[[#This Row],[RequiredDate]],"On Time","Late"))</f>
        <v>On Time</v>
      </c>
      <c r="V732">
        <f>_xlfn.XLOOKUP(Table1[[#This Row],[orderID]],Table3[orderID],Table3[unitPrice])</f>
        <v>40</v>
      </c>
    </row>
    <row r="733" spans="1:22" x14ac:dyDescent="0.45">
      <c r="A733" s="3">
        <v>10979</v>
      </c>
      <c r="B733" s="6" t="s">
        <v>158</v>
      </c>
      <c r="C733" s="3">
        <v>8</v>
      </c>
      <c r="D733" s="6" t="str">
        <f>_xlfn.XLOOKUP(Table1[[#This Row],[EmployeeID]],Table4[employeeID],Table4[employeeName])</f>
        <v>Laura Callahan</v>
      </c>
      <c r="E733" s="1">
        <v>42089</v>
      </c>
      <c r="F733" s="1">
        <v>42117</v>
      </c>
      <c r="G733" s="1">
        <v>42094</v>
      </c>
      <c r="H733" s="3">
        <f>IF(Table1[[#This Row],[ShippedDate]]="","",IF(Table1[[#This Row],[OrderDate]]="","",Table1[[#This Row],[ShippedDate]]-Table1[[#This Row],[OrderDate]]))</f>
        <v>5</v>
      </c>
      <c r="I733" s="3">
        <v>2</v>
      </c>
      <c r="J733" s="2">
        <v>353.07</v>
      </c>
      <c r="K733" s="2">
        <f>SUMIF(order_details!A:A,Table1[[#This Row],[orderID]],order_details!F:F)</f>
        <v>4813.5</v>
      </c>
      <c r="L733" s="9">
        <f>_xlfn.XLOOKUP(Table1[[#This Row],[orderID]],Table3[orderID],Table3[discount])</f>
        <v>0</v>
      </c>
      <c r="M733" s="2">
        <f>SUM(Table1[[#This Row],[Sales]],Table1[[#This Row],[freight]])</f>
        <v>5166.57</v>
      </c>
      <c r="N733" s="3">
        <f>_xlfn.XLOOKUP(Table1[[#This Row],[orderID]],Table3[orderID],Table3[quantity])</f>
        <v>18</v>
      </c>
      <c r="O733" s="6" t="str">
        <f>_xlfn.XLOOKUP(Table1[[#This Row],[CustomerID]],customers!A:A,customers!B:B)</f>
        <v>Ernst Handel</v>
      </c>
      <c r="P733" s="6" t="str">
        <f>_xlfn.XLOOKUP(Table1[[#This Row],[shipperID]],Table6[shipperID],Table6[companyName])</f>
        <v>United Package</v>
      </c>
      <c r="Q733">
        <f>YEAR(Table1[[#This Row],[OrderDate]])</f>
        <v>2015</v>
      </c>
      <c r="R733">
        <f>MONTH(Table1[[#This Row],[OrderDate]])</f>
        <v>3</v>
      </c>
      <c r="S733" t="str">
        <f>"Q"&amp;ROUNDUP(Table1[[#This Row],[month]]/3,0)</f>
        <v>Q1</v>
      </c>
      <c r="T733" t="str">
        <f>CONCATENATE(Table1[[#This Row],[year]],"-",Table1[[#This Row],[Quarter]])</f>
        <v>2015-Q1</v>
      </c>
      <c r="U733" s="6" t="str">
        <f>IF(H732="","Pending",IF(Table1[[#This Row],[Days to ship]]&lt;Table1[[#This Row],[RequiredDate]],"On Time","Late"))</f>
        <v>On Time</v>
      </c>
      <c r="V733">
        <f>_xlfn.XLOOKUP(Table1[[#This Row],[orderID]],Table3[orderID],Table3[unitPrice])</f>
        <v>30</v>
      </c>
    </row>
    <row r="734" spans="1:22" x14ac:dyDescent="0.45">
      <c r="A734" s="3">
        <v>10980</v>
      </c>
      <c r="B734" s="6" t="s">
        <v>179</v>
      </c>
      <c r="C734" s="3">
        <v>4</v>
      </c>
      <c r="D734" s="6" t="str">
        <f>_xlfn.XLOOKUP(Table1[[#This Row],[EmployeeID]],Table4[employeeID],Table4[employeeName])</f>
        <v>Margaret Peacock</v>
      </c>
      <c r="E734" s="1">
        <v>42090</v>
      </c>
      <c r="F734" s="1">
        <v>42132</v>
      </c>
      <c r="G734" s="1">
        <v>42111</v>
      </c>
      <c r="H734" s="3">
        <f>IF(Table1[[#This Row],[ShippedDate]]="","",IF(Table1[[#This Row],[OrderDate]]="","",Table1[[#This Row],[ShippedDate]]-Table1[[#This Row],[OrderDate]]))</f>
        <v>21</v>
      </c>
      <c r="I734" s="3">
        <v>1</v>
      </c>
      <c r="J734" s="2">
        <v>1.26</v>
      </c>
      <c r="K734" s="2">
        <f>SUMIF(order_details!A:A,Table1[[#This Row],[orderID]],order_details!F:F)</f>
        <v>248</v>
      </c>
      <c r="L734" s="9">
        <f>_xlfn.XLOOKUP(Table1[[#This Row],[orderID]],Table3[orderID],Table3[discount])</f>
        <v>0.2</v>
      </c>
      <c r="M734" s="2">
        <f>SUM(Table1[[#This Row],[Sales]],Table1[[#This Row],[freight]])</f>
        <v>249.26</v>
      </c>
      <c r="N734" s="3">
        <f>_xlfn.XLOOKUP(Table1[[#This Row],[orderID]],Table3[orderID],Table3[quantity])</f>
        <v>40</v>
      </c>
      <c r="O734" s="6" t="str">
        <f>_xlfn.XLOOKUP(Table1[[#This Row],[CustomerID]],customers!A:A,customers!B:B)</f>
        <v>Folk och fä HB</v>
      </c>
      <c r="P734" s="6" t="str">
        <f>_xlfn.XLOOKUP(Table1[[#This Row],[shipperID]],Table6[shipperID],Table6[companyName])</f>
        <v>Speedy Express</v>
      </c>
      <c r="Q734">
        <f>YEAR(Table1[[#This Row],[OrderDate]])</f>
        <v>2015</v>
      </c>
      <c r="R734">
        <f>MONTH(Table1[[#This Row],[OrderDate]])</f>
        <v>3</v>
      </c>
      <c r="S734" t="str">
        <f>"Q"&amp;ROUNDUP(Table1[[#This Row],[month]]/3,0)</f>
        <v>Q1</v>
      </c>
      <c r="T734" t="str">
        <f>CONCATENATE(Table1[[#This Row],[year]],"-",Table1[[#This Row],[Quarter]])</f>
        <v>2015-Q1</v>
      </c>
      <c r="U734" s="6" t="str">
        <f>IF(H733="","Pending",IF(Table1[[#This Row],[Days to ship]]&lt;Table1[[#This Row],[RequiredDate]],"On Time","Late"))</f>
        <v>On Time</v>
      </c>
      <c r="V734">
        <f>_xlfn.XLOOKUP(Table1[[#This Row],[orderID]],Table3[orderID],Table3[unitPrice])</f>
        <v>7.75</v>
      </c>
    </row>
    <row r="735" spans="1:22" x14ac:dyDescent="0.45">
      <c r="A735" s="3">
        <v>10981</v>
      </c>
      <c r="B735" s="6" t="s">
        <v>177</v>
      </c>
      <c r="C735" s="3">
        <v>1</v>
      </c>
      <c r="D735" s="6" t="str">
        <f>_xlfn.XLOOKUP(Table1[[#This Row],[EmployeeID]],Table4[employeeID],Table4[employeeName])</f>
        <v>Nancy Davolio</v>
      </c>
      <c r="E735" s="1">
        <v>42090</v>
      </c>
      <c r="F735" s="1">
        <v>42118</v>
      </c>
      <c r="G735" s="1">
        <v>42096</v>
      </c>
      <c r="H735" s="3">
        <f>IF(Table1[[#This Row],[ShippedDate]]="","",IF(Table1[[#This Row],[OrderDate]]="","",Table1[[#This Row],[ShippedDate]]-Table1[[#This Row],[OrderDate]]))</f>
        <v>6</v>
      </c>
      <c r="I735" s="3">
        <v>2</v>
      </c>
      <c r="J735" s="2">
        <v>193.37</v>
      </c>
      <c r="K735" s="2">
        <f>SUMIF(order_details!A:A,Table1[[#This Row],[orderID]],order_details!F:F)</f>
        <v>15810</v>
      </c>
      <c r="L735" s="9">
        <f>_xlfn.XLOOKUP(Table1[[#This Row],[orderID]],Table3[orderID],Table3[discount])</f>
        <v>0</v>
      </c>
      <c r="M735" s="2">
        <f>SUM(Table1[[#This Row],[Sales]],Table1[[#This Row],[freight]])</f>
        <v>16003.37</v>
      </c>
      <c r="N735" s="3">
        <f>_xlfn.XLOOKUP(Table1[[#This Row],[orderID]],Table3[orderID],Table3[quantity])</f>
        <v>60</v>
      </c>
      <c r="O735" s="6" t="str">
        <f>_xlfn.XLOOKUP(Table1[[#This Row],[CustomerID]],customers!A:A,customers!B:B)</f>
        <v>Hanari Carnes</v>
      </c>
      <c r="P735" s="6" t="str">
        <f>_xlfn.XLOOKUP(Table1[[#This Row],[shipperID]],Table6[shipperID],Table6[companyName])</f>
        <v>United Package</v>
      </c>
      <c r="Q735">
        <f>YEAR(Table1[[#This Row],[OrderDate]])</f>
        <v>2015</v>
      </c>
      <c r="R735">
        <f>MONTH(Table1[[#This Row],[OrderDate]])</f>
        <v>3</v>
      </c>
      <c r="S735" t="str">
        <f>"Q"&amp;ROUNDUP(Table1[[#This Row],[month]]/3,0)</f>
        <v>Q1</v>
      </c>
      <c r="T735" t="str">
        <f>CONCATENATE(Table1[[#This Row],[year]],"-",Table1[[#This Row],[Quarter]])</f>
        <v>2015-Q1</v>
      </c>
      <c r="U735" s="6" t="str">
        <f>IF(H734="","Pending",IF(Table1[[#This Row],[Days to ship]]&lt;Table1[[#This Row],[RequiredDate]],"On Time","Late"))</f>
        <v>On Time</v>
      </c>
      <c r="V735">
        <f>_xlfn.XLOOKUP(Table1[[#This Row],[orderID]],Table3[orderID],Table3[unitPrice])</f>
        <v>263.5</v>
      </c>
    </row>
    <row r="736" spans="1:22" x14ac:dyDescent="0.45">
      <c r="A736" s="3">
        <v>10982</v>
      </c>
      <c r="B736" s="6" t="s">
        <v>181</v>
      </c>
      <c r="C736" s="3">
        <v>2</v>
      </c>
      <c r="D736" s="6" t="str">
        <f>_xlfn.XLOOKUP(Table1[[#This Row],[EmployeeID]],Table4[employeeID],Table4[employeeName])</f>
        <v>Andrew Fuller</v>
      </c>
      <c r="E736" s="1">
        <v>42090</v>
      </c>
      <c r="F736" s="1">
        <v>42118</v>
      </c>
      <c r="G736" s="1">
        <v>42102</v>
      </c>
      <c r="H736" s="3">
        <f>IF(Table1[[#This Row],[ShippedDate]]="","",IF(Table1[[#This Row],[OrderDate]]="","",Table1[[#This Row],[ShippedDate]]-Table1[[#This Row],[OrderDate]]))</f>
        <v>12</v>
      </c>
      <c r="I736" s="3">
        <v>1</v>
      </c>
      <c r="J736" s="2">
        <v>14.01</v>
      </c>
      <c r="K736" s="2">
        <f>SUMIF(order_details!A:A,Table1[[#This Row],[orderID]],order_details!F:F)</f>
        <v>1014</v>
      </c>
      <c r="L736" s="9">
        <f>_xlfn.XLOOKUP(Table1[[#This Row],[orderID]],Table3[orderID],Table3[discount])</f>
        <v>0</v>
      </c>
      <c r="M736" s="2">
        <f>SUM(Table1[[#This Row],[Sales]],Table1[[#This Row],[freight]])</f>
        <v>1028.01</v>
      </c>
      <c r="N736" s="3">
        <f>_xlfn.XLOOKUP(Table1[[#This Row],[orderID]],Table3[orderID],Table3[quantity])</f>
        <v>20</v>
      </c>
      <c r="O736" s="6" t="str">
        <f>_xlfn.XLOOKUP(Table1[[#This Row],[CustomerID]],customers!A:A,customers!B:B)</f>
        <v>Bottom-Dollar Markets</v>
      </c>
      <c r="P736" s="6" t="str">
        <f>_xlfn.XLOOKUP(Table1[[#This Row],[shipperID]],Table6[shipperID],Table6[companyName])</f>
        <v>Speedy Express</v>
      </c>
      <c r="Q736">
        <f>YEAR(Table1[[#This Row],[OrderDate]])</f>
        <v>2015</v>
      </c>
      <c r="R736">
        <f>MONTH(Table1[[#This Row],[OrderDate]])</f>
        <v>3</v>
      </c>
      <c r="S736" t="str">
        <f>"Q"&amp;ROUNDUP(Table1[[#This Row],[month]]/3,0)</f>
        <v>Q1</v>
      </c>
      <c r="T736" t="str">
        <f>CONCATENATE(Table1[[#This Row],[year]],"-",Table1[[#This Row],[Quarter]])</f>
        <v>2015-Q1</v>
      </c>
      <c r="U736" s="6" t="str">
        <f>IF(H735="","Pending",IF(Table1[[#This Row],[Days to ship]]&lt;Table1[[#This Row],[RequiredDate]],"On Time","Late"))</f>
        <v>On Time</v>
      </c>
      <c r="V736">
        <f>_xlfn.XLOOKUP(Table1[[#This Row],[orderID]],Table3[orderID],Table3[unitPrice])</f>
        <v>30</v>
      </c>
    </row>
    <row r="737" spans="1:22" x14ac:dyDescent="0.45">
      <c r="A737" s="3">
        <v>10983</v>
      </c>
      <c r="B737" s="6" t="s">
        <v>165</v>
      </c>
      <c r="C737" s="3">
        <v>2</v>
      </c>
      <c r="D737" s="6" t="str">
        <f>_xlfn.XLOOKUP(Table1[[#This Row],[EmployeeID]],Table4[employeeID],Table4[employeeName])</f>
        <v>Andrew Fuller</v>
      </c>
      <c r="E737" s="1">
        <v>42090</v>
      </c>
      <c r="F737" s="1">
        <v>42118</v>
      </c>
      <c r="G737" s="1">
        <v>42100</v>
      </c>
      <c r="H737" s="3">
        <f>IF(Table1[[#This Row],[ShippedDate]]="","",IF(Table1[[#This Row],[OrderDate]]="","",Table1[[#This Row],[ShippedDate]]-Table1[[#This Row],[OrderDate]]))</f>
        <v>10</v>
      </c>
      <c r="I737" s="3">
        <v>2</v>
      </c>
      <c r="J737" s="2">
        <v>657.54</v>
      </c>
      <c r="K737" s="2">
        <f>SUMIF(order_details!A:A,Table1[[#This Row],[orderID]],order_details!F:F)</f>
        <v>720.9</v>
      </c>
      <c r="L737" s="9">
        <f>_xlfn.XLOOKUP(Table1[[#This Row],[orderID]],Table3[orderID],Table3[discount])</f>
        <v>0.15</v>
      </c>
      <c r="M737" s="2">
        <f>SUM(Table1[[#This Row],[Sales]],Table1[[#This Row],[freight]])</f>
        <v>1378.44</v>
      </c>
      <c r="N737" s="3">
        <f>_xlfn.XLOOKUP(Table1[[#This Row],[orderID]],Table3[orderID],Table3[quantity])</f>
        <v>84</v>
      </c>
      <c r="O737" s="6" t="str">
        <f>_xlfn.XLOOKUP(Table1[[#This Row],[CustomerID]],customers!A:A,customers!B:B)</f>
        <v>Save-a-lot Markets</v>
      </c>
      <c r="P737" s="6" t="str">
        <f>_xlfn.XLOOKUP(Table1[[#This Row],[shipperID]],Table6[shipperID],Table6[companyName])</f>
        <v>United Package</v>
      </c>
      <c r="Q737">
        <f>YEAR(Table1[[#This Row],[OrderDate]])</f>
        <v>2015</v>
      </c>
      <c r="R737">
        <f>MONTH(Table1[[#This Row],[OrderDate]])</f>
        <v>3</v>
      </c>
      <c r="S737" t="str">
        <f>"Q"&amp;ROUNDUP(Table1[[#This Row],[month]]/3,0)</f>
        <v>Q1</v>
      </c>
      <c r="T737" t="str">
        <f>CONCATENATE(Table1[[#This Row],[year]],"-",Table1[[#This Row],[Quarter]])</f>
        <v>2015-Q1</v>
      </c>
      <c r="U737" s="6" t="str">
        <f>IF(H736="","Pending",IF(Table1[[#This Row],[Days to ship]]&lt;Table1[[#This Row],[RequiredDate]],"On Time","Late"))</f>
        <v>On Time</v>
      </c>
      <c r="V737">
        <f>_xlfn.XLOOKUP(Table1[[#This Row],[orderID]],Table3[orderID],Table3[unitPrice])</f>
        <v>6</v>
      </c>
    </row>
    <row r="738" spans="1:22" x14ac:dyDescent="0.45">
      <c r="A738" s="3">
        <v>10984</v>
      </c>
      <c r="B738" s="6" t="s">
        <v>165</v>
      </c>
      <c r="C738" s="3">
        <v>1</v>
      </c>
      <c r="D738" s="6" t="str">
        <f>_xlfn.XLOOKUP(Table1[[#This Row],[EmployeeID]],Table4[employeeID],Table4[employeeName])</f>
        <v>Nancy Davolio</v>
      </c>
      <c r="E738" s="1">
        <v>42093</v>
      </c>
      <c r="F738" s="1">
        <v>42121</v>
      </c>
      <c r="G738" s="1">
        <v>42097</v>
      </c>
      <c r="H738" s="3">
        <f>IF(Table1[[#This Row],[ShippedDate]]="","",IF(Table1[[#This Row],[OrderDate]]="","",Table1[[#This Row],[ShippedDate]]-Table1[[#This Row],[OrderDate]]))</f>
        <v>4</v>
      </c>
      <c r="I738" s="3">
        <v>3</v>
      </c>
      <c r="J738" s="2">
        <v>211.22</v>
      </c>
      <c r="K738" s="2">
        <f>SUMIF(order_details!A:A,Table1[[#This Row],[orderID]],order_details!F:F)</f>
        <v>1809.75</v>
      </c>
      <c r="L738" s="9">
        <f>_xlfn.XLOOKUP(Table1[[#This Row],[orderID]],Table3[orderID],Table3[discount])</f>
        <v>0</v>
      </c>
      <c r="M738" s="2">
        <f>SUM(Table1[[#This Row],[Sales]],Table1[[#This Row],[freight]])</f>
        <v>2020.97</v>
      </c>
      <c r="N738" s="3">
        <f>_xlfn.XLOOKUP(Table1[[#This Row],[orderID]],Table3[orderID],Table3[quantity])</f>
        <v>55</v>
      </c>
      <c r="O738" s="6" t="str">
        <f>_xlfn.XLOOKUP(Table1[[#This Row],[CustomerID]],customers!A:A,customers!B:B)</f>
        <v>Save-a-lot Markets</v>
      </c>
      <c r="P738" s="6" t="str">
        <f>_xlfn.XLOOKUP(Table1[[#This Row],[shipperID]],Table6[shipperID],Table6[companyName])</f>
        <v>Federal Shipping</v>
      </c>
      <c r="Q738">
        <f>YEAR(Table1[[#This Row],[OrderDate]])</f>
        <v>2015</v>
      </c>
      <c r="R738">
        <f>MONTH(Table1[[#This Row],[OrderDate]])</f>
        <v>3</v>
      </c>
      <c r="S738" t="str">
        <f>"Q"&amp;ROUNDUP(Table1[[#This Row],[month]]/3,0)</f>
        <v>Q1</v>
      </c>
      <c r="T738" t="str">
        <f>CONCATENATE(Table1[[#This Row],[year]],"-",Table1[[#This Row],[Quarter]])</f>
        <v>2015-Q1</v>
      </c>
      <c r="U738" s="6" t="str">
        <f>IF(H737="","Pending",IF(Table1[[#This Row],[Days to ship]]&lt;Table1[[#This Row],[RequiredDate]],"On Time","Late"))</f>
        <v>On Time</v>
      </c>
      <c r="V738">
        <f>_xlfn.XLOOKUP(Table1[[#This Row],[orderID]],Table3[orderID],Table3[unitPrice])</f>
        <v>17.45</v>
      </c>
    </row>
    <row r="739" spans="1:22" x14ac:dyDescent="0.45">
      <c r="A739" s="3">
        <v>10985</v>
      </c>
      <c r="B739" s="6" t="s">
        <v>166</v>
      </c>
      <c r="C739" s="3">
        <v>2</v>
      </c>
      <c r="D739" s="6" t="str">
        <f>_xlfn.XLOOKUP(Table1[[#This Row],[EmployeeID]],Table4[employeeID],Table4[employeeName])</f>
        <v>Andrew Fuller</v>
      </c>
      <c r="E739" s="1">
        <v>42093</v>
      </c>
      <c r="F739" s="1">
        <v>42121</v>
      </c>
      <c r="G739" s="1">
        <v>42096</v>
      </c>
      <c r="H739" s="3">
        <f>IF(Table1[[#This Row],[ShippedDate]]="","",IF(Table1[[#This Row],[OrderDate]]="","",Table1[[#This Row],[ShippedDate]]-Table1[[#This Row],[OrderDate]]))</f>
        <v>3</v>
      </c>
      <c r="I739" s="3">
        <v>1</v>
      </c>
      <c r="J739" s="2">
        <v>91.51</v>
      </c>
      <c r="K739" s="2">
        <f>SUMIF(order_details!A:A,Table1[[#This Row],[orderID]],order_details!F:F)</f>
        <v>2023.38</v>
      </c>
      <c r="L739" s="9">
        <f>_xlfn.XLOOKUP(Table1[[#This Row],[orderID]],Table3[orderID],Table3[discount])</f>
        <v>0.1</v>
      </c>
      <c r="M739" s="2">
        <f>SUM(Table1[[#This Row],[Sales]],Table1[[#This Row],[freight]])</f>
        <v>2114.8900000000003</v>
      </c>
      <c r="N739" s="3">
        <f>_xlfn.XLOOKUP(Table1[[#This Row],[orderID]],Table3[orderID],Table3[quantity])</f>
        <v>36</v>
      </c>
      <c r="O739" s="6" t="str">
        <f>_xlfn.XLOOKUP(Table1[[#This Row],[CustomerID]],customers!A:A,customers!B:B)</f>
        <v>Hungry Owl All-Night Grocers</v>
      </c>
      <c r="P739" s="6" t="str">
        <f>_xlfn.XLOOKUP(Table1[[#This Row],[shipperID]],Table6[shipperID],Table6[companyName])</f>
        <v>Speedy Express</v>
      </c>
      <c r="Q739">
        <f>YEAR(Table1[[#This Row],[OrderDate]])</f>
        <v>2015</v>
      </c>
      <c r="R739">
        <f>MONTH(Table1[[#This Row],[OrderDate]])</f>
        <v>3</v>
      </c>
      <c r="S739" t="str">
        <f>"Q"&amp;ROUNDUP(Table1[[#This Row],[month]]/3,0)</f>
        <v>Q1</v>
      </c>
      <c r="T739" t="str">
        <f>CONCATENATE(Table1[[#This Row],[year]],"-",Table1[[#This Row],[Quarter]])</f>
        <v>2015-Q1</v>
      </c>
      <c r="U739" s="6" t="str">
        <f>IF(H738="","Pending",IF(Table1[[#This Row],[Days to ship]]&lt;Table1[[#This Row],[RequiredDate]],"On Time","Late"))</f>
        <v>On Time</v>
      </c>
      <c r="V739">
        <f>_xlfn.XLOOKUP(Table1[[#This Row],[orderID]],Table3[orderID],Table3[unitPrice])</f>
        <v>17.45</v>
      </c>
    </row>
    <row r="740" spans="1:22" x14ac:dyDescent="0.45">
      <c r="A740" s="3">
        <v>10986</v>
      </c>
      <c r="B740" s="6" t="s">
        <v>210</v>
      </c>
      <c r="C740" s="3">
        <v>8</v>
      </c>
      <c r="D740" s="6" t="str">
        <f>_xlfn.XLOOKUP(Table1[[#This Row],[EmployeeID]],Table4[employeeID],Table4[employeeName])</f>
        <v>Laura Callahan</v>
      </c>
      <c r="E740" s="1">
        <v>42093</v>
      </c>
      <c r="F740" s="1">
        <v>42121</v>
      </c>
      <c r="G740" s="1">
        <v>42115</v>
      </c>
      <c r="H740" s="3">
        <f>IF(Table1[[#This Row],[ShippedDate]]="","",IF(Table1[[#This Row],[OrderDate]]="","",Table1[[#This Row],[ShippedDate]]-Table1[[#This Row],[OrderDate]]))</f>
        <v>22</v>
      </c>
      <c r="I740" s="3">
        <v>2</v>
      </c>
      <c r="J740" s="2">
        <v>217.86</v>
      </c>
      <c r="K740" s="2">
        <f>SUMIF(order_details!A:A,Table1[[#This Row],[orderID]],order_details!F:F)</f>
        <v>2220</v>
      </c>
      <c r="L740" s="9">
        <f>_xlfn.XLOOKUP(Table1[[#This Row],[orderID]],Table3[orderID],Table3[discount])</f>
        <v>0</v>
      </c>
      <c r="M740" s="2">
        <f>SUM(Table1[[#This Row],[Sales]],Table1[[#This Row],[freight]])</f>
        <v>2437.86</v>
      </c>
      <c r="N740" s="3">
        <f>_xlfn.XLOOKUP(Table1[[#This Row],[orderID]],Table3[orderID],Table3[quantity])</f>
        <v>30</v>
      </c>
      <c r="O740" s="6" t="str">
        <f>_xlfn.XLOOKUP(Table1[[#This Row],[CustomerID]],customers!A:A,customers!B:B)</f>
        <v>Océano Atlántico Ltda.</v>
      </c>
      <c r="P740" s="6" t="str">
        <f>_xlfn.XLOOKUP(Table1[[#This Row],[shipperID]],Table6[shipperID],Table6[companyName])</f>
        <v>United Package</v>
      </c>
      <c r="Q740">
        <f>YEAR(Table1[[#This Row],[OrderDate]])</f>
        <v>2015</v>
      </c>
      <c r="R740">
        <f>MONTH(Table1[[#This Row],[OrderDate]])</f>
        <v>3</v>
      </c>
      <c r="S740" t="str">
        <f>"Q"&amp;ROUNDUP(Table1[[#This Row],[month]]/3,0)</f>
        <v>Q1</v>
      </c>
      <c r="T740" t="str">
        <f>CONCATENATE(Table1[[#This Row],[year]],"-",Table1[[#This Row],[Quarter]])</f>
        <v>2015-Q1</v>
      </c>
      <c r="U740" s="6" t="str">
        <f>IF(H739="","Pending",IF(Table1[[#This Row],[Days to ship]]&lt;Table1[[#This Row],[RequiredDate]],"On Time","Late"))</f>
        <v>On Time</v>
      </c>
      <c r="V740">
        <f>_xlfn.XLOOKUP(Table1[[#This Row],[orderID]],Table3[orderID],Table3[unitPrice])</f>
        <v>21</v>
      </c>
    </row>
    <row r="741" spans="1:22" x14ac:dyDescent="0.45">
      <c r="A741" s="3">
        <v>10987</v>
      </c>
      <c r="B741" s="6" t="s">
        <v>173</v>
      </c>
      <c r="C741" s="3">
        <v>8</v>
      </c>
      <c r="D741" s="6" t="str">
        <f>_xlfn.XLOOKUP(Table1[[#This Row],[EmployeeID]],Table4[employeeID],Table4[employeeName])</f>
        <v>Laura Callahan</v>
      </c>
      <c r="E741" s="1">
        <v>42094</v>
      </c>
      <c r="F741" s="1">
        <v>42122</v>
      </c>
      <c r="G741" s="1">
        <v>42100</v>
      </c>
      <c r="H741" s="3">
        <f>IF(Table1[[#This Row],[ShippedDate]]="","",IF(Table1[[#This Row],[OrderDate]]="","",Table1[[#This Row],[ShippedDate]]-Table1[[#This Row],[OrderDate]]))</f>
        <v>6</v>
      </c>
      <c r="I741" s="3">
        <v>1</v>
      </c>
      <c r="J741" s="2">
        <v>185.48</v>
      </c>
      <c r="K741" s="2">
        <f>SUMIF(order_details!A:A,Table1[[#This Row],[orderID]],order_details!F:F)</f>
        <v>2772</v>
      </c>
      <c r="L741" s="9">
        <f>_xlfn.XLOOKUP(Table1[[#This Row],[orderID]],Table3[orderID],Table3[discount])</f>
        <v>0</v>
      </c>
      <c r="M741" s="2">
        <f>SUM(Table1[[#This Row],[Sales]],Table1[[#This Row],[freight]])</f>
        <v>2957.48</v>
      </c>
      <c r="N741" s="3">
        <f>_xlfn.XLOOKUP(Table1[[#This Row],[orderID]],Table3[orderID],Table3[quantity])</f>
        <v>60</v>
      </c>
      <c r="O741" s="6" t="str">
        <f>_xlfn.XLOOKUP(Table1[[#This Row],[CustomerID]],customers!A:A,customers!B:B)</f>
        <v>Eastern Connection</v>
      </c>
      <c r="P741" s="6" t="str">
        <f>_xlfn.XLOOKUP(Table1[[#This Row],[shipperID]],Table6[shipperID],Table6[companyName])</f>
        <v>Speedy Express</v>
      </c>
      <c r="Q741">
        <f>YEAR(Table1[[#This Row],[OrderDate]])</f>
        <v>2015</v>
      </c>
      <c r="R741">
        <f>MONTH(Table1[[#This Row],[OrderDate]])</f>
        <v>3</v>
      </c>
      <c r="S741" t="str">
        <f>"Q"&amp;ROUNDUP(Table1[[#This Row],[month]]/3,0)</f>
        <v>Q1</v>
      </c>
      <c r="T741" t="str">
        <f>CONCATENATE(Table1[[#This Row],[year]],"-",Table1[[#This Row],[Quarter]])</f>
        <v>2015-Q1</v>
      </c>
      <c r="U741" s="6" t="str">
        <f>IF(H740="","Pending",IF(Table1[[#This Row],[Days to ship]]&lt;Table1[[#This Row],[RequiredDate]],"On Time","Late"))</f>
        <v>On Time</v>
      </c>
      <c r="V741">
        <f>_xlfn.XLOOKUP(Table1[[#This Row],[orderID]],Table3[orderID],Table3[unitPrice])</f>
        <v>30</v>
      </c>
    </row>
    <row r="742" spans="1:22" x14ac:dyDescent="0.45">
      <c r="A742" s="3">
        <v>10988</v>
      </c>
      <c r="B742" s="6" t="s">
        <v>153</v>
      </c>
      <c r="C742" s="3">
        <v>3</v>
      </c>
      <c r="D742" s="6" t="str">
        <f>_xlfn.XLOOKUP(Table1[[#This Row],[EmployeeID]],Table4[employeeID],Table4[employeeName])</f>
        <v>Janet Leverling</v>
      </c>
      <c r="E742" s="1">
        <v>42094</v>
      </c>
      <c r="F742" s="1">
        <v>42122</v>
      </c>
      <c r="G742" s="1">
        <v>42104</v>
      </c>
      <c r="H742" s="3">
        <f>IF(Table1[[#This Row],[ShippedDate]]="","",IF(Table1[[#This Row],[OrderDate]]="","",Table1[[#This Row],[ShippedDate]]-Table1[[#This Row],[OrderDate]]))</f>
        <v>10</v>
      </c>
      <c r="I742" s="3">
        <v>2</v>
      </c>
      <c r="J742" s="2">
        <v>61.14</v>
      </c>
      <c r="K742" s="2">
        <f>SUMIF(order_details!A:A,Table1[[#This Row],[orderID]],order_details!F:F)</f>
        <v>3574.8</v>
      </c>
      <c r="L742" s="9">
        <f>_xlfn.XLOOKUP(Table1[[#This Row],[orderID]],Table3[orderID],Table3[discount])</f>
        <v>0</v>
      </c>
      <c r="M742" s="2">
        <f>SUM(Table1[[#This Row],[Sales]],Table1[[#This Row],[freight]])</f>
        <v>3635.94</v>
      </c>
      <c r="N742" s="3">
        <f>_xlfn.XLOOKUP(Table1[[#This Row],[orderID]],Table3[orderID],Table3[quantity])</f>
        <v>60</v>
      </c>
      <c r="O742" s="6" t="str">
        <f>_xlfn.XLOOKUP(Table1[[#This Row],[CustomerID]],customers!A:A,customers!B:B)</f>
        <v>Rattlesnake Canyon Grocery</v>
      </c>
      <c r="P742" s="6" t="str">
        <f>_xlfn.XLOOKUP(Table1[[#This Row],[shipperID]],Table6[shipperID],Table6[companyName])</f>
        <v>United Package</v>
      </c>
      <c r="Q742">
        <f>YEAR(Table1[[#This Row],[OrderDate]])</f>
        <v>2015</v>
      </c>
      <c r="R742">
        <f>MONTH(Table1[[#This Row],[OrderDate]])</f>
        <v>3</v>
      </c>
      <c r="S742" t="str">
        <f>"Q"&amp;ROUNDUP(Table1[[#This Row],[month]]/3,0)</f>
        <v>Q1</v>
      </c>
      <c r="T742" t="str">
        <f>CONCATENATE(Table1[[#This Row],[year]],"-",Table1[[#This Row],[Quarter]])</f>
        <v>2015-Q1</v>
      </c>
      <c r="U742" s="6" t="str">
        <f>IF(H741="","Pending",IF(Table1[[#This Row],[Days to ship]]&lt;Table1[[#This Row],[RequiredDate]],"On Time","Late"))</f>
        <v>On Time</v>
      </c>
      <c r="V742">
        <f>_xlfn.XLOOKUP(Table1[[#This Row],[orderID]],Table3[orderID],Table3[unitPrice])</f>
        <v>30</v>
      </c>
    </row>
    <row r="743" spans="1:22" x14ac:dyDescent="0.45">
      <c r="A743" s="3">
        <v>10989</v>
      </c>
      <c r="B743" s="6" t="s">
        <v>209</v>
      </c>
      <c r="C743" s="3">
        <v>2</v>
      </c>
      <c r="D743" s="6" t="str">
        <f>_xlfn.XLOOKUP(Table1[[#This Row],[EmployeeID]],Table4[employeeID],Table4[employeeName])</f>
        <v>Andrew Fuller</v>
      </c>
      <c r="E743" s="1">
        <v>42094</v>
      </c>
      <c r="F743" s="1">
        <v>42122</v>
      </c>
      <c r="G743" s="1">
        <v>42096</v>
      </c>
      <c r="H743" s="3">
        <f>IF(Table1[[#This Row],[ShippedDate]]="","",IF(Table1[[#This Row],[OrderDate]]="","",Table1[[#This Row],[ShippedDate]]-Table1[[#This Row],[OrderDate]]))</f>
        <v>2</v>
      </c>
      <c r="I743" s="3">
        <v>1</v>
      </c>
      <c r="J743" s="2">
        <v>34.76</v>
      </c>
      <c r="K743" s="2">
        <f>SUMIF(order_details!A:A,Table1[[#This Row],[orderID]],order_details!F:F)</f>
        <v>1353.6</v>
      </c>
      <c r="L743" s="9">
        <f>_xlfn.XLOOKUP(Table1[[#This Row],[orderID]],Table3[orderID],Table3[discount])</f>
        <v>0</v>
      </c>
      <c r="M743" s="2">
        <f>SUM(Table1[[#This Row],[Sales]],Table1[[#This Row],[freight]])</f>
        <v>1388.36</v>
      </c>
      <c r="N743" s="3">
        <f>_xlfn.XLOOKUP(Table1[[#This Row],[orderID]],Table3[orderID],Table3[quantity])</f>
        <v>40</v>
      </c>
      <c r="O743" s="6" t="str">
        <f>_xlfn.XLOOKUP(Table1[[#This Row],[CustomerID]],customers!A:A,customers!B:B)</f>
        <v>Que Delícia</v>
      </c>
      <c r="P743" s="6" t="str">
        <f>_xlfn.XLOOKUP(Table1[[#This Row],[shipperID]],Table6[shipperID],Table6[companyName])</f>
        <v>Speedy Express</v>
      </c>
      <c r="Q743">
        <f>YEAR(Table1[[#This Row],[OrderDate]])</f>
        <v>2015</v>
      </c>
      <c r="R743">
        <f>MONTH(Table1[[#This Row],[OrderDate]])</f>
        <v>3</v>
      </c>
      <c r="S743" t="str">
        <f>"Q"&amp;ROUNDUP(Table1[[#This Row],[month]]/3,0)</f>
        <v>Q1</v>
      </c>
      <c r="T743" t="str">
        <f>CONCATENATE(Table1[[#This Row],[year]],"-",Table1[[#This Row],[Quarter]])</f>
        <v>2015-Q1</v>
      </c>
      <c r="U743" s="6" t="str">
        <f>IF(H742="","Pending",IF(Table1[[#This Row],[Days to ship]]&lt;Table1[[#This Row],[RequiredDate]],"On Time","Late"))</f>
        <v>On Time</v>
      </c>
      <c r="V743">
        <f>_xlfn.XLOOKUP(Table1[[#This Row],[orderID]],Table3[orderID],Table3[unitPrice])</f>
        <v>25</v>
      </c>
    </row>
    <row r="744" spans="1:22" x14ac:dyDescent="0.45">
      <c r="A744" s="3">
        <v>10990</v>
      </c>
      <c r="B744" s="6" t="s">
        <v>158</v>
      </c>
      <c r="C744" s="3">
        <v>2</v>
      </c>
      <c r="D744" s="6" t="str">
        <f>_xlfn.XLOOKUP(Table1[[#This Row],[EmployeeID]],Table4[employeeID],Table4[employeeName])</f>
        <v>Andrew Fuller</v>
      </c>
      <c r="E744" s="1">
        <v>42095</v>
      </c>
      <c r="F744" s="1">
        <v>42137</v>
      </c>
      <c r="G744" s="1">
        <v>42101</v>
      </c>
      <c r="H744" s="3">
        <f>IF(Table1[[#This Row],[ShippedDate]]="","",IF(Table1[[#This Row],[OrderDate]]="","",Table1[[#This Row],[ShippedDate]]-Table1[[#This Row],[OrderDate]]))</f>
        <v>6</v>
      </c>
      <c r="I744" s="3">
        <v>3</v>
      </c>
      <c r="J744" s="2">
        <v>117.61</v>
      </c>
      <c r="K744" s="2">
        <f>SUMIF(order_details!A:A,Table1[[#This Row],[orderID]],order_details!F:F)</f>
        <v>4288.8500000000004</v>
      </c>
      <c r="L744" s="9">
        <f>_xlfn.XLOOKUP(Table1[[#This Row],[orderID]],Table3[orderID],Table3[discount])</f>
        <v>0</v>
      </c>
      <c r="M744" s="2">
        <f>SUM(Table1[[#This Row],[Sales]],Table1[[#This Row],[freight]])</f>
        <v>4406.46</v>
      </c>
      <c r="N744" s="3">
        <f>_xlfn.XLOOKUP(Table1[[#This Row],[orderID]],Table3[orderID],Table3[quantity])</f>
        <v>65</v>
      </c>
      <c r="O744" s="6" t="str">
        <f>_xlfn.XLOOKUP(Table1[[#This Row],[CustomerID]],customers!A:A,customers!B:B)</f>
        <v>Ernst Handel</v>
      </c>
      <c r="P744" s="6" t="str">
        <f>_xlfn.XLOOKUP(Table1[[#This Row],[shipperID]],Table6[shipperID],Table6[companyName])</f>
        <v>Federal Shipping</v>
      </c>
      <c r="Q744">
        <f>YEAR(Table1[[#This Row],[OrderDate]])</f>
        <v>2015</v>
      </c>
      <c r="R744">
        <f>MONTH(Table1[[#This Row],[OrderDate]])</f>
        <v>4</v>
      </c>
      <c r="S744" t="str">
        <f>"Q"&amp;ROUNDUP(Table1[[#This Row],[month]]/3,0)</f>
        <v>Q2</v>
      </c>
      <c r="T744" t="str">
        <f>CONCATENATE(Table1[[#This Row],[year]],"-",Table1[[#This Row],[Quarter]])</f>
        <v>2015-Q2</v>
      </c>
      <c r="U744" s="6" t="str">
        <f>IF(H743="","Pending",IF(Table1[[#This Row],[Days to ship]]&lt;Table1[[#This Row],[RequiredDate]],"On Time","Late"))</f>
        <v>On Time</v>
      </c>
      <c r="V744">
        <f>_xlfn.XLOOKUP(Table1[[#This Row],[orderID]],Table3[orderID],Table3[unitPrice])</f>
        <v>10</v>
      </c>
    </row>
    <row r="745" spans="1:22" x14ac:dyDescent="0.45">
      <c r="A745" s="3">
        <v>10991</v>
      </c>
      <c r="B745" s="6" t="s">
        <v>194</v>
      </c>
      <c r="C745" s="3">
        <v>1</v>
      </c>
      <c r="D745" s="6" t="str">
        <f>_xlfn.XLOOKUP(Table1[[#This Row],[EmployeeID]],Table4[employeeID],Table4[employeeName])</f>
        <v>Nancy Davolio</v>
      </c>
      <c r="E745" s="1">
        <v>42095</v>
      </c>
      <c r="F745" s="1">
        <v>42123</v>
      </c>
      <c r="G745" s="1">
        <v>42101</v>
      </c>
      <c r="H745" s="3">
        <f>IF(Table1[[#This Row],[ShippedDate]]="","",IF(Table1[[#This Row],[OrderDate]]="","",Table1[[#This Row],[ShippedDate]]-Table1[[#This Row],[OrderDate]]))</f>
        <v>6</v>
      </c>
      <c r="I745" s="3">
        <v>1</v>
      </c>
      <c r="J745" s="2">
        <v>38.51</v>
      </c>
      <c r="K745" s="2">
        <f>SUMIF(order_details!A:A,Table1[[#This Row],[orderID]],order_details!F:F)</f>
        <v>2296</v>
      </c>
      <c r="L745" s="9">
        <f>_xlfn.XLOOKUP(Table1[[#This Row],[orderID]],Table3[orderID],Table3[discount])</f>
        <v>0.2</v>
      </c>
      <c r="M745" s="2">
        <f>SUM(Table1[[#This Row],[Sales]],Table1[[#This Row],[freight]])</f>
        <v>2334.5100000000002</v>
      </c>
      <c r="N745" s="3">
        <f>_xlfn.XLOOKUP(Table1[[#This Row],[orderID]],Table3[orderID],Table3[quantity])</f>
        <v>50</v>
      </c>
      <c r="O745" s="6" t="str">
        <f>_xlfn.XLOOKUP(Table1[[#This Row],[CustomerID]],customers!A:A,customers!B:B)</f>
        <v>QUICK-Stop</v>
      </c>
      <c r="P745" s="6" t="str">
        <f>_xlfn.XLOOKUP(Table1[[#This Row],[shipperID]],Table6[shipperID],Table6[companyName])</f>
        <v>Speedy Express</v>
      </c>
      <c r="Q745">
        <f>YEAR(Table1[[#This Row],[OrderDate]])</f>
        <v>2015</v>
      </c>
      <c r="R745">
        <f>MONTH(Table1[[#This Row],[OrderDate]])</f>
        <v>4</v>
      </c>
      <c r="S745" t="str">
        <f>"Q"&amp;ROUNDUP(Table1[[#This Row],[month]]/3,0)</f>
        <v>Q2</v>
      </c>
      <c r="T745" t="str">
        <f>CONCATENATE(Table1[[#This Row],[year]],"-",Table1[[#This Row],[Quarter]])</f>
        <v>2015-Q2</v>
      </c>
      <c r="U745" s="6" t="str">
        <f>IF(H744="","Pending",IF(Table1[[#This Row],[Days to ship]]&lt;Table1[[#This Row],[RequiredDate]],"On Time","Late"))</f>
        <v>On Time</v>
      </c>
      <c r="V745">
        <f>_xlfn.XLOOKUP(Table1[[#This Row],[orderID]],Table3[orderID],Table3[unitPrice])</f>
        <v>19</v>
      </c>
    </row>
    <row r="746" spans="1:22" x14ac:dyDescent="0.45">
      <c r="A746" s="3">
        <v>10992</v>
      </c>
      <c r="B746" s="6" t="s">
        <v>208</v>
      </c>
      <c r="C746" s="3">
        <v>1</v>
      </c>
      <c r="D746" s="6" t="str">
        <f>_xlfn.XLOOKUP(Table1[[#This Row],[EmployeeID]],Table4[employeeID],Table4[employeeName])</f>
        <v>Nancy Davolio</v>
      </c>
      <c r="E746" s="1">
        <v>42095</v>
      </c>
      <c r="F746" s="1">
        <v>42123</v>
      </c>
      <c r="G746" s="1">
        <v>42097</v>
      </c>
      <c r="H746" s="3">
        <f>IF(Table1[[#This Row],[ShippedDate]]="","",IF(Table1[[#This Row],[OrderDate]]="","",Table1[[#This Row],[ShippedDate]]-Table1[[#This Row],[OrderDate]]))</f>
        <v>2</v>
      </c>
      <c r="I746" s="3">
        <v>3</v>
      </c>
      <c r="J746" s="2">
        <v>4.2699999999999996</v>
      </c>
      <c r="K746" s="2">
        <f>SUMIF(order_details!A:A,Table1[[#This Row],[orderID]],order_details!F:F)</f>
        <v>69.599999999999994</v>
      </c>
      <c r="L746" s="9">
        <f>_xlfn.XLOOKUP(Table1[[#This Row],[orderID]],Table3[orderID],Table3[discount])</f>
        <v>0</v>
      </c>
      <c r="M746" s="2">
        <f>SUM(Table1[[#This Row],[Sales]],Table1[[#This Row],[freight]])</f>
        <v>73.86999999999999</v>
      </c>
      <c r="N746" s="3">
        <f>_xlfn.XLOOKUP(Table1[[#This Row],[orderID]],Table3[orderID],Table3[quantity])</f>
        <v>2</v>
      </c>
      <c r="O746" s="6" t="str">
        <f>_xlfn.XLOOKUP(Table1[[#This Row],[CustomerID]],customers!A:A,customers!B:B)</f>
        <v>The Big Cheese</v>
      </c>
      <c r="P746" s="6" t="str">
        <f>_xlfn.XLOOKUP(Table1[[#This Row],[shipperID]],Table6[shipperID],Table6[companyName])</f>
        <v>Federal Shipping</v>
      </c>
      <c r="Q746">
        <f>YEAR(Table1[[#This Row],[OrderDate]])</f>
        <v>2015</v>
      </c>
      <c r="R746">
        <f>MONTH(Table1[[#This Row],[OrderDate]])</f>
        <v>4</v>
      </c>
      <c r="S746" t="str">
        <f>"Q"&amp;ROUNDUP(Table1[[#This Row],[month]]/3,0)</f>
        <v>Q2</v>
      </c>
      <c r="T746" t="str">
        <f>CONCATENATE(Table1[[#This Row],[year]],"-",Table1[[#This Row],[Quarter]])</f>
        <v>2015-Q2</v>
      </c>
      <c r="U746" s="6" t="str">
        <f>IF(H745="","Pending",IF(Table1[[#This Row],[Days to ship]]&lt;Table1[[#This Row],[RequiredDate]],"On Time","Late"))</f>
        <v>On Time</v>
      </c>
      <c r="V746">
        <f>_xlfn.XLOOKUP(Table1[[#This Row],[orderID]],Table3[orderID],Table3[unitPrice])</f>
        <v>34.799999999999997</v>
      </c>
    </row>
    <row r="747" spans="1:22" x14ac:dyDescent="0.45">
      <c r="A747" s="3">
        <v>10993</v>
      </c>
      <c r="B747" s="6" t="s">
        <v>179</v>
      </c>
      <c r="C747" s="3">
        <v>7</v>
      </c>
      <c r="D747" s="6" t="str">
        <f>_xlfn.XLOOKUP(Table1[[#This Row],[EmployeeID]],Table4[employeeID],Table4[employeeName])</f>
        <v>Robert King</v>
      </c>
      <c r="E747" s="1">
        <v>42095</v>
      </c>
      <c r="F747" s="1">
        <v>42123</v>
      </c>
      <c r="G747" s="1">
        <v>42104</v>
      </c>
      <c r="H747" s="3">
        <f>IF(Table1[[#This Row],[ShippedDate]]="","",IF(Table1[[#This Row],[OrderDate]]="","",Table1[[#This Row],[ShippedDate]]-Table1[[#This Row],[OrderDate]]))</f>
        <v>9</v>
      </c>
      <c r="I747" s="3">
        <v>3</v>
      </c>
      <c r="J747" s="2">
        <v>8.81</v>
      </c>
      <c r="K747" s="2">
        <f>SUMIF(order_details!A:A,Table1[[#This Row],[orderID]],order_details!F:F)</f>
        <v>4895.4375</v>
      </c>
      <c r="L747" s="9">
        <f>_xlfn.XLOOKUP(Table1[[#This Row],[orderID]],Table3[orderID],Table3[discount])</f>
        <v>0.25</v>
      </c>
      <c r="M747" s="2">
        <f>SUM(Table1[[#This Row],[Sales]],Table1[[#This Row],[freight]])</f>
        <v>4904.2475000000004</v>
      </c>
      <c r="N747" s="3">
        <f>_xlfn.XLOOKUP(Table1[[#This Row],[orderID]],Table3[orderID],Table3[quantity])</f>
        <v>50</v>
      </c>
      <c r="O747" s="6" t="str">
        <f>_xlfn.XLOOKUP(Table1[[#This Row],[CustomerID]],customers!A:A,customers!B:B)</f>
        <v>Folk och fä HB</v>
      </c>
      <c r="P747" s="6" t="str">
        <f>_xlfn.XLOOKUP(Table1[[#This Row],[shipperID]],Table6[shipperID],Table6[companyName])</f>
        <v>Federal Shipping</v>
      </c>
      <c r="Q747">
        <f>YEAR(Table1[[#This Row],[OrderDate]])</f>
        <v>2015</v>
      </c>
      <c r="R747">
        <f>MONTH(Table1[[#This Row],[OrderDate]])</f>
        <v>4</v>
      </c>
      <c r="S747" t="str">
        <f>"Q"&amp;ROUNDUP(Table1[[#This Row],[month]]/3,0)</f>
        <v>Q2</v>
      </c>
      <c r="T747" t="str">
        <f>CONCATENATE(Table1[[#This Row],[year]],"-",Table1[[#This Row],[Quarter]])</f>
        <v>2015-Q2</v>
      </c>
      <c r="U747" s="6" t="str">
        <f>IF(H746="","Pending",IF(Table1[[#This Row],[Days to ship]]&lt;Table1[[#This Row],[RequiredDate]],"On Time","Late"))</f>
        <v>On Time</v>
      </c>
      <c r="V747">
        <f>_xlfn.XLOOKUP(Table1[[#This Row],[orderID]],Table3[orderID],Table3[unitPrice])</f>
        <v>123.79</v>
      </c>
    </row>
    <row r="748" spans="1:22" x14ac:dyDescent="0.45">
      <c r="A748" s="3">
        <v>10994</v>
      </c>
      <c r="B748" s="6" t="s">
        <v>207</v>
      </c>
      <c r="C748" s="3">
        <v>2</v>
      </c>
      <c r="D748" s="6" t="str">
        <f>_xlfn.XLOOKUP(Table1[[#This Row],[EmployeeID]],Table4[employeeID],Table4[employeeName])</f>
        <v>Andrew Fuller</v>
      </c>
      <c r="E748" s="1">
        <v>42096</v>
      </c>
      <c r="F748" s="1">
        <v>42110</v>
      </c>
      <c r="G748" s="1">
        <v>42103</v>
      </c>
      <c r="H748" s="3">
        <f>IF(Table1[[#This Row],[ShippedDate]]="","",IF(Table1[[#This Row],[OrderDate]]="","",Table1[[#This Row],[ShippedDate]]-Table1[[#This Row],[OrderDate]]))</f>
        <v>7</v>
      </c>
      <c r="I748" s="3">
        <v>3</v>
      </c>
      <c r="J748" s="2">
        <v>65.53</v>
      </c>
      <c r="K748" s="2">
        <f>SUMIF(order_details!A:A,Table1[[#This Row],[orderID]],order_details!F:F)</f>
        <v>940.5</v>
      </c>
      <c r="L748" s="9">
        <f>_xlfn.XLOOKUP(Table1[[#This Row],[orderID]],Table3[orderID],Table3[discount])</f>
        <v>0.05</v>
      </c>
      <c r="M748" s="2">
        <f>SUM(Table1[[#This Row],[Sales]],Table1[[#This Row],[freight]])</f>
        <v>1006.03</v>
      </c>
      <c r="N748" s="3">
        <f>_xlfn.XLOOKUP(Table1[[#This Row],[orderID]],Table3[orderID],Table3[quantity])</f>
        <v>18</v>
      </c>
      <c r="O748" s="6" t="str">
        <f>_xlfn.XLOOKUP(Table1[[#This Row],[CustomerID]],customers!A:A,customers!B:B)</f>
        <v>Vaffeljernet</v>
      </c>
      <c r="P748" s="6" t="str">
        <f>_xlfn.XLOOKUP(Table1[[#This Row],[shipperID]],Table6[shipperID],Table6[companyName])</f>
        <v>Federal Shipping</v>
      </c>
      <c r="Q748">
        <f>YEAR(Table1[[#This Row],[OrderDate]])</f>
        <v>2015</v>
      </c>
      <c r="R748">
        <f>MONTH(Table1[[#This Row],[OrderDate]])</f>
        <v>4</v>
      </c>
      <c r="S748" t="str">
        <f>"Q"&amp;ROUNDUP(Table1[[#This Row],[month]]/3,0)</f>
        <v>Q2</v>
      </c>
      <c r="T748" t="str">
        <f>CONCATENATE(Table1[[#This Row],[year]],"-",Table1[[#This Row],[Quarter]])</f>
        <v>2015-Q2</v>
      </c>
      <c r="U748" s="6" t="str">
        <f>IF(H747="","Pending",IF(Table1[[#This Row],[Days to ship]]&lt;Table1[[#This Row],[RequiredDate]],"On Time","Late"))</f>
        <v>On Time</v>
      </c>
      <c r="V748">
        <f>_xlfn.XLOOKUP(Table1[[#This Row],[orderID]],Table3[orderID],Table3[unitPrice])</f>
        <v>55</v>
      </c>
    </row>
    <row r="749" spans="1:22" x14ac:dyDescent="0.45">
      <c r="A749" s="3">
        <v>10995</v>
      </c>
      <c r="B749" s="6" t="s">
        <v>157</v>
      </c>
      <c r="C749" s="3">
        <v>1</v>
      </c>
      <c r="D749" s="6" t="str">
        <f>_xlfn.XLOOKUP(Table1[[#This Row],[EmployeeID]],Table4[employeeID],Table4[employeeName])</f>
        <v>Nancy Davolio</v>
      </c>
      <c r="E749" s="1">
        <v>42096</v>
      </c>
      <c r="F749" s="1">
        <v>42124</v>
      </c>
      <c r="G749" s="1">
        <v>42100</v>
      </c>
      <c r="H749" s="3">
        <f>IF(Table1[[#This Row],[ShippedDate]]="","",IF(Table1[[#This Row],[OrderDate]]="","",Table1[[#This Row],[ShippedDate]]-Table1[[#This Row],[OrderDate]]))</f>
        <v>4</v>
      </c>
      <c r="I749" s="3">
        <v>3</v>
      </c>
      <c r="J749" s="2">
        <v>46</v>
      </c>
      <c r="K749" s="2">
        <f>SUMIF(order_details!A:A,Table1[[#This Row],[orderID]],order_details!F:F)</f>
        <v>1196</v>
      </c>
      <c r="L749" s="9">
        <f>_xlfn.XLOOKUP(Table1[[#This Row],[orderID]],Table3[orderID],Table3[discount])</f>
        <v>0</v>
      </c>
      <c r="M749" s="2">
        <f>SUM(Table1[[#This Row],[Sales]],Table1[[#This Row],[freight]])</f>
        <v>1242</v>
      </c>
      <c r="N749" s="3">
        <f>_xlfn.XLOOKUP(Table1[[#This Row],[orderID]],Table3[orderID],Table3[quantity])</f>
        <v>20</v>
      </c>
      <c r="O749" s="6" t="str">
        <f>_xlfn.XLOOKUP(Table1[[#This Row],[CustomerID]],customers!A:A,customers!B:B)</f>
        <v>Pericles Comidas clásicas</v>
      </c>
      <c r="P749" s="6" t="str">
        <f>_xlfn.XLOOKUP(Table1[[#This Row],[shipperID]],Table6[shipperID],Table6[companyName])</f>
        <v>Federal Shipping</v>
      </c>
      <c r="Q749">
        <f>YEAR(Table1[[#This Row],[OrderDate]])</f>
        <v>2015</v>
      </c>
      <c r="R749">
        <f>MONTH(Table1[[#This Row],[OrderDate]])</f>
        <v>4</v>
      </c>
      <c r="S749" t="str">
        <f>"Q"&amp;ROUNDUP(Table1[[#This Row],[month]]/3,0)</f>
        <v>Q2</v>
      </c>
      <c r="T749" t="str">
        <f>CONCATENATE(Table1[[#This Row],[year]],"-",Table1[[#This Row],[Quarter]])</f>
        <v>2015-Q2</v>
      </c>
      <c r="U749" s="6" t="str">
        <f>IF(H748="","Pending",IF(Table1[[#This Row],[Days to ship]]&lt;Table1[[#This Row],[RequiredDate]],"On Time","Late"))</f>
        <v>On Time</v>
      </c>
      <c r="V749">
        <f>_xlfn.XLOOKUP(Table1[[#This Row],[orderID]],Table3[orderID],Table3[unitPrice])</f>
        <v>53</v>
      </c>
    </row>
    <row r="750" spans="1:22" x14ac:dyDescent="0.45">
      <c r="A750" s="3">
        <v>10996</v>
      </c>
      <c r="B750" s="6" t="s">
        <v>194</v>
      </c>
      <c r="C750" s="3">
        <v>4</v>
      </c>
      <c r="D750" s="6" t="str">
        <f>_xlfn.XLOOKUP(Table1[[#This Row],[EmployeeID]],Table4[employeeID],Table4[employeeName])</f>
        <v>Margaret Peacock</v>
      </c>
      <c r="E750" s="1">
        <v>42096</v>
      </c>
      <c r="F750" s="1">
        <v>42124</v>
      </c>
      <c r="G750" s="1">
        <v>42104</v>
      </c>
      <c r="H750" s="3">
        <f>IF(Table1[[#This Row],[ShippedDate]]="","",IF(Table1[[#This Row],[OrderDate]]="","",Table1[[#This Row],[ShippedDate]]-Table1[[#This Row],[OrderDate]]))</f>
        <v>8</v>
      </c>
      <c r="I750" s="3">
        <v>2</v>
      </c>
      <c r="J750" s="2">
        <v>1.1200000000000001</v>
      </c>
      <c r="K750" s="2">
        <f>SUMIF(order_details!A:A,Table1[[#This Row],[orderID]],order_details!F:F)</f>
        <v>560</v>
      </c>
      <c r="L750" s="9">
        <f>_xlfn.XLOOKUP(Table1[[#This Row],[orderID]],Table3[orderID],Table3[discount])</f>
        <v>0</v>
      </c>
      <c r="M750" s="2">
        <f>SUM(Table1[[#This Row],[Sales]],Table1[[#This Row],[freight]])</f>
        <v>561.12</v>
      </c>
      <c r="N750" s="3">
        <f>_xlfn.XLOOKUP(Table1[[#This Row],[orderID]],Table3[orderID],Table3[quantity])</f>
        <v>40</v>
      </c>
      <c r="O750" s="6" t="str">
        <f>_xlfn.XLOOKUP(Table1[[#This Row],[CustomerID]],customers!A:A,customers!B:B)</f>
        <v>QUICK-Stop</v>
      </c>
      <c r="P750" s="6" t="str">
        <f>_xlfn.XLOOKUP(Table1[[#This Row],[shipperID]],Table6[shipperID],Table6[companyName])</f>
        <v>United Package</v>
      </c>
      <c r="Q750">
        <f>YEAR(Table1[[#This Row],[OrderDate]])</f>
        <v>2015</v>
      </c>
      <c r="R750">
        <f>MONTH(Table1[[#This Row],[OrderDate]])</f>
        <v>4</v>
      </c>
      <c r="S750" t="str">
        <f>"Q"&amp;ROUNDUP(Table1[[#This Row],[month]]/3,0)</f>
        <v>Q2</v>
      </c>
      <c r="T750" t="str">
        <f>CONCATENATE(Table1[[#This Row],[year]],"-",Table1[[#This Row],[Quarter]])</f>
        <v>2015-Q2</v>
      </c>
      <c r="U750" s="6" t="str">
        <f>IF(H749="","Pending",IF(Table1[[#This Row],[Days to ship]]&lt;Table1[[#This Row],[RequiredDate]],"On Time","Late"))</f>
        <v>On Time</v>
      </c>
      <c r="V750">
        <f>_xlfn.XLOOKUP(Table1[[#This Row],[orderID]],Table3[orderID],Table3[unitPrice])</f>
        <v>14</v>
      </c>
    </row>
    <row r="751" spans="1:22" x14ac:dyDescent="0.45">
      <c r="A751" s="3">
        <v>10997</v>
      </c>
      <c r="B751" s="6" t="s">
        <v>159</v>
      </c>
      <c r="C751" s="3">
        <v>8</v>
      </c>
      <c r="D751" s="6" t="str">
        <f>_xlfn.XLOOKUP(Table1[[#This Row],[EmployeeID]],Table4[employeeID],Table4[employeeName])</f>
        <v>Laura Callahan</v>
      </c>
      <c r="E751" s="1">
        <v>42097</v>
      </c>
      <c r="F751" s="1">
        <v>42139</v>
      </c>
      <c r="G751" s="1">
        <v>42107</v>
      </c>
      <c r="H751" s="3">
        <f>IF(Table1[[#This Row],[ShippedDate]]="","",IF(Table1[[#This Row],[OrderDate]]="","",Table1[[#This Row],[ShippedDate]]-Table1[[#This Row],[OrderDate]]))</f>
        <v>10</v>
      </c>
      <c r="I751" s="3">
        <v>2</v>
      </c>
      <c r="J751" s="2">
        <v>73.91</v>
      </c>
      <c r="K751" s="2">
        <f>SUMIF(order_details!A:A,Table1[[#This Row],[orderID]],order_details!F:F)</f>
        <v>1885</v>
      </c>
      <c r="L751" s="9">
        <f>_xlfn.XLOOKUP(Table1[[#This Row],[orderID]],Table3[orderID],Table3[discount])</f>
        <v>0</v>
      </c>
      <c r="M751" s="2">
        <f>SUM(Table1[[#This Row],[Sales]],Table1[[#This Row],[freight]])</f>
        <v>1958.91</v>
      </c>
      <c r="N751" s="3">
        <f>_xlfn.XLOOKUP(Table1[[#This Row],[orderID]],Table3[orderID],Table3[quantity])</f>
        <v>50</v>
      </c>
      <c r="O751" s="6" t="str">
        <f>_xlfn.XLOOKUP(Table1[[#This Row],[CustomerID]],customers!A:A,customers!B:B)</f>
        <v>LILA-Supermercado</v>
      </c>
      <c r="P751" s="6" t="str">
        <f>_xlfn.XLOOKUP(Table1[[#This Row],[shipperID]],Table6[shipperID],Table6[companyName])</f>
        <v>United Package</v>
      </c>
      <c r="Q751">
        <f>YEAR(Table1[[#This Row],[OrderDate]])</f>
        <v>2015</v>
      </c>
      <c r="R751">
        <f>MONTH(Table1[[#This Row],[OrderDate]])</f>
        <v>4</v>
      </c>
      <c r="S751" t="str">
        <f>"Q"&amp;ROUNDUP(Table1[[#This Row],[month]]/3,0)</f>
        <v>Q2</v>
      </c>
      <c r="T751" t="str">
        <f>CONCATENATE(Table1[[#This Row],[year]],"-",Table1[[#This Row],[Quarter]])</f>
        <v>2015-Q2</v>
      </c>
      <c r="U751" s="6" t="str">
        <f>IF(H750="","Pending",IF(Table1[[#This Row],[Days to ship]]&lt;Table1[[#This Row],[RequiredDate]],"On Time","Late"))</f>
        <v>On Time</v>
      </c>
      <c r="V751">
        <f>_xlfn.XLOOKUP(Table1[[#This Row],[orderID]],Table3[orderID],Table3[unitPrice])</f>
        <v>32</v>
      </c>
    </row>
    <row r="752" spans="1:22" x14ac:dyDescent="0.45">
      <c r="A752" s="3">
        <v>10998</v>
      </c>
      <c r="B752" s="6" t="s">
        <v>183</v>
      </c>
      <c r="C752" s="3">
        <v>8</v>
      </c>
      <c r="D752" s="6" t="str">
        <f>_xlfn.XLOOKUP(Table1[[#This Row],[EmployeeID]],Table4[employeeID],Table4[employeeName])</f>
        <v>Laura Callahan</v>
      </c>
      <c r="E752" s="1">
        <v>42097</v>
      </c>
      <c r="F752" s="1">
        <v>42111</v>
      </c>
      <c r="G752" s="1">
        <v>42111</v>
      </c>
      <c r="H752" s="3">
        <f>IF(Table1[[#This Row],[ShippedDate]]="","",IF(Table1[[#This Row],[OrderDate]]="","",Table1[[#This Row],[ShippedDate]]-Table1[[#This Row],[OrderDate]]))</f>
        <v>14</v>
      </c>
      <c r="I752" s="3">
        <v>2</v>
      </c>
      <c r="J752" s="2">
        <v>20.309999999999999</v>
      </c>
      <c r="K752" s="2">
        <f>SUMIF(order_details!A:A,Table1[[#This Row],[orderID]],order_details!F:F)</f>
        <v>686</v>
      </c>
      <c r="L752" s="9">
        <f>_xlfn.XLOOKUP(Table1[[#This Row],[orderID]],Table3[orderID],Table3[discount])</f>
        <v>0</v>
      </c>
      <c r="M752" s="2">
        <f>SUM(Table1[[#This Row],[Sales]],Table1[[#This Row],[freight]])</f>
        <v>706.31</v>
      </c>
      <c r="N752" s="3">
        <f>_xlfn.XLOOKUP(Table1[[#This Row],[orderID]],Table3[orderID],Table3[quantity])</f>
        <v>12</v>
      </c>
      <c r="O752" s="6" t="str">
        <f>_xlfn.XLOOKUP(Table1[[#This Row],[CustomerID]],customers!A:A,customers!B:B)</f>
        <v>Wolski  Zajazd</v>
      </c>
      <c r="P752" s="6" t="str">
        <f>_xlfn.XLOOKUP(Table1[[#This Row],[shipperID]],Table6[shipperID],Table6[companyName])</f>
        <v>United Package</v>
      </c>
      <c r="Q752">
        <f>YEAR(Table1[[#This Row],[OrderDate]])</f>
        <v>2015</v>
      </c>
      <c r="R752">
        <f>MONTH(Table1[[#This Row],[OrderDate]])</f>
        <v>4</v>
      </c>
      <c r="S752" t="str">
        <f>"Q"&amp;ROUNDUP(Table1[[#This Row],[month]]/3,0)</f>
        <v>Q2</v>
      </c>
      <c r="T752" t="str">
        <f>CONCATENATE(Table1[[#This Row],[year]],"-",Table1[[#This Row],[Quarter]])</f>
        <v>2015-Q2</v>
      </c>
      <c r="U752" s="6" t="str">
        <f>IF(H751="","Pending",IF(Table1[[#This Row],[Days to ship]]&lt;Table1[[#This Row],[RequiredDate]],"On Time","Late"))</f>
        <v>On Time</v>
      </c>
      <c r="V752">
        <f>_xlfn.XLOOKUP(Table1[[#This Row],[orderID]],Table3[orderID],Table3[unitPrice])</f>
        <v>4.5</v>
      </c>
    </row>
    <row r="753" spans="1:22" x14ac:dyDescent="0.45">
      <c r="A753" s="3">
        <v>10999</v>
      </c>
      <c r="B753" s="6" t="s">
        <v>195</v>
      </c>
      <c r="C753" s="3">
        <v>6</v>
      </c>
      <c r="D753" s="6" t="str">
        <f>_xlfn.XLOOKUP(Table1[[#This Row],[EmployeeID]],Table4[employeeID],Table4[employeeName])</f>
        <v>Michael Suyama</v>
      </c>
      <c r="E753" s="1">
        <v>42097</v>
      </c>
      <c r="F753" s="1">
        <v>42125</v>
      </c>
      <c r="G753" s="1">
        <v>42104</v>
      </c>
      <c r="H753" s="3">
        <f>IF(Table1[[#This Row],[ShippedDate]]="","",IF(Table1[[#This Row],[OrderDate]]="","",Table1[[#This Row],[ShippedDate]]-Table1[[#This Row],[OrderDate]]))</f>
        <v>7</v>
      </c>
      <c r="I753" s="3">
        <v>2</v>
      </c>
      <c r="J753" s="2">
        <v>96.35</v>
      </c>
      <c r="K753" s="2">
        <f>SUMIF(order_details!A:A,Table1[[#This Row],[orderID]],order_details!F:F)</f>
        <v>1197.95</v>
      </c>
      <c r="L753" s="9">
        <f>_xlfn.XLOOKUP(Table1[[#This Row],[orderID]],Table3[orderID],Table3[discount])</f>
        <v>0.05</v>
      </c>
      <c r="M753" s="2">
        <f>SUM(Table1[[#This Row],[Sales]],Table1[[#This Row],[freight]])</f>
        <v>1294.3</v>
      </c>
      <c r="N753" s="3">
        <f>_xlfn.XLOOKUP(Table1[[#This Row],[orderID]],Table3[orderID],Table3[quantity])</f>
        <v>20</v>
      </c>
      <c r="O753" s="6" t="str">
        <f>_xlfn.XLOOKUP(Table1[[#This Row],[CustomerID]],customers!A:A,customers!B:B)</f>
        <v>Ottilies Käseladen</v>
      </c>
      <c r="P753" s="6" t="str">
        <f>_xlfn.XLOOKUP(Table1[[#This Row],[shipperID]],Table6[shipperID],Table6[companyName])</f>
        <v>United Package</v>
      </c>
      <c r="Q753">
        <f>YEAR(Table1[[#This Row],[OrderDate]])</f>
        <v>2015</v>
      </c>
      <c r="R753">
        <f>MONTH(Table1[[#This Row],[OrderDate]])</f>
        <v>4</v>
      </c>
      <c r="S753" t="str">
        <f>"Q"&amp;ROUNDUP(Table1[[#This Row],[month]]/3,0)</f>
        <v>Q2</v>
      </c>
      <c r="T753" t="str">
        <f>CONCATENATE(Table1[[#This Row],[year]],"-",Table1[[#This Row],[Quarter]])</f>
        <v>2015-Q2</v>
      </c>
      <c r="U753" s="6" t="str">
        <f>IF(H752="","Pending",IF(Table1[[#This Row],[Days to ship]]&lt;Table1[[#This Row],[RequiredDate]],"On Time","Late"))</f>
        <v>On Time</v>
      </c>
      <c r="V753">
        <f>_xlfn.XLOOKUP(Table1[[#This Row],[orderID]],Table3[orderID],Table3[unitPrice])</f>
        <v>9.65</v>
      </c>
    </row>
    <row r="754" spans="1:22" x14ac:dyDescent="0.45">
      <c r="A754" s="3">
        <v>11000</v>
      </c>
      <c r="B754" s="6" t="s">
        <v>153</v>
      </c>
      <c r="C754" s="3">
        <v>2</v>
      </c>
      <c r="D754" s="6" t="str">
        <f>_xlfn.XLOOKUP(Table1[[#This Row],[EmployeeID]],Table4[employeeID],Table4[employeeName])</f>
        <v>Andrew Fuller</v>
      </c>
      <c r="E754" s="1">
        <v>42100</v>
      </c>
      <c r="F754" s="1">
        <v>42128</v>
      </c>
      <c r="G754" s="1">
        <v>42108</v>
      </c>
      <c r="H754" s="3">
        <f>IF(Table1[[#This Row],[ShippedDate]]="","",IF(Table1[[#This Row],[OrderDate]]="","",Table1[[#This Row],[ShippedDate]]-Table1[[#This Row],[OrderDate]]))</f>
        <v>8</v>
      </c>
      <c r="I754" s="3">
        <v>3</v>
      </c>
      <c r="J754" s="2">
        <v>55.12</v>
      </c>
      <c r="K754" s="2">
        <f>SUMIF(order_details!A:A,Table1[[#This Row],[orderID]],order_details!F:F)</f>
        <v>903.75</v>
      </c>
      <c r="L754" s="9">
        <f>_xlfn.XLOOKUP(Table1[[#This Row],[orderID]],Table3[orderID],Table3[discount])</f>
        <v>0.25</v>
      </c>
      <c r="M754" s="2">
        <f>SUM(Table1[[#This Row],[Sales]],Table1[[#This Row],[freight]])</f>
        <v>958.87</v>
      </c>
      <c r="N754" s="3">
        <f>_xlfn.XLOOKUP(Table1[[#This Row],[orderID]],Table3[orderID],Table3[quantity])</f>
        <v>25</v>
      </c>
      <c r="O754" s="6" t="str">
        <f>_xlfn.XLOOKUP(Table1[[#This Row],[CustomerID]],customers!A:A,customers!B:B)</f>
        <v>Rattlesnake Canyon Grocery</v>
      </c>
      <c r="P754" s="6" t="str">
        <f>_xlfn.XLOOKUP(Table1[[#This Row],[shipperID]],Table6[shipperID],Table6[companyName])</f>
        <v>Federal Shipping</v>
      </c>
      <c r="Q754">
        <f>YEAR(Table1[[#This Row],[OrderDate]])</f>
        <v>2015</v>
      </c>
      <c r="R754">
        <f>MONTH(Table1[[#This Row],[OrderDate]])</f>
        <v>4</v>
      </c>
      <c r="S754" t="str">
        <f>"Q"&amp;ROUNDUP(Table1[[#This Row],[month]]/3,0)</f>
        <v>Q2</v>
      </c>
      <c r="T754" t="str">
        <f>CONCATENATE(Table1[[#This Row],[year]],"-",Table1[[#This Row],[Quarter]])</f>
        <v>2015-Q2</v>
      </c>
      <c r="U754" s="6" t="str">
        <f>IF(H753="","Pending",IF(Table1[[#This Row],[Days to ship]]&lt;Table1[[#This Row],[RequiredDate]],"On Time","Late"))</f>
        <v>On Time</v>
      </c>
      <c r="V754">
        <f>_xlfn.XLOOKUP(Table1[[#This Row],[orderID]],Table3[orderID],Table3[unitPrice])</f>
        <v>22</v>
      </c>
    </row>
    <row r="755" spans="1:22" x14ac:dyDescent="0.45">
      <c r="A755" s="3">
        <v>11001</v>
      </c>
      <c r="B755" s="6" t="s">
        <v>179</v>
      </c>
      <c r="C755" s="3">
        <v>2</v>
      </c>
      <c r="D755" s="6" t="str">
        <f>_xlfn.XLOOKUP(Table1[[#This Row],[EmployeeID]],Table4[employeeID],Table4[employeeName])</f>
        <v>Andrew Fuller</v>
      </c>
      <c r="E755" s="1">
        <v>42100</v>
      </c>
      <c r="F755" s="1">
        <v>42128</v>
      </c>
      <c r="G755" s="1">
        <v>42108</v>
      </c>
      <c r="H755" s="3">
        <f>IF(Table1[[#This Row],[ShippedDate]]="","",IF(Table1[[#This Row],[OrderDate]]="","",Table1[[#This Row],[ShippedDate]]-Table1[[#This Row],[OrderDate]]))</f>
        <v>8</v>
      </c>
      <c r="I755" s="3">
        <v>2</v>
      </c>
      <c r="J755" s="2">
        <v>197.3</v>
      </c>
      <c r="K755" s="2">
        <f>SUMIF(order_details!A:A,Table1[[#This Row],[orderID]],order_details!F:F)</f>
        <v>2769</v>
      </c>
      <c r="L755" s="9">
        <f>_xlfn.XLOOKUP(Table1[[#This Row],[orderID]],Table3[orderID],Table3[discount])</f>
        <v>0</v>
      </c>
      <c r="M755" s="2">
        <f>SUM(Table1[[#This Row],[Sales]],Table1[[#This Row],[freight]])</f>
        <v>2966.3</v>
      </c>
      <c r="N755" s="3">
        <f>_xlfn.XLOOKUP(Table1[[#This Row],[orderID]],Table3[orderID],Table3[quantity])</f>
        <v>60</v>
      </c>
      <c r="O755" s="6" t="str">
        <f>_xlfn.XLOOKUP(Table1[[#This Row],[CustomerID]],customers!A:A,customers!B:B)</f>
        <v>Folk och fä HB</v>
      </c>
      <c r="P755" s="6" t="str">
        <f>_xlfn.XLOOKUP(Table1[[#This Row],[shipperID]],Table6[shipperID],Table6[companyName])</f>
        <v>United Package</v>
      </c>
      <c r="Q755">
        <f>YEAR(Table1[[#This Row],[OrderDate]])</f>
        <v>2015</v>
      </c>
      <c r="R755">
        <f>MONTH(Table1[[#This Row],[OrderDate]])</f>
        <v>4</v>
      </c>
      <c r="S755" t="str">
        <f>"Q"&amp;ROUNDUP(Table1[[#This Row],[month]]/3,0)</f>
        <v>Q2</v>
      </c>
      <c r="T755" t="str">
        <f>CONCATENATE(Table1[[#This Row],[year]],"-",Table1[[#This Row],[Quarter]])</f>
        <v>2015-Q2</v>
      </c>
      <c r="U755" s="6" t="str">
        <f>IF(H754="","Pending",IF(Table1[[#This Row],[Days to ship]]&lt;Table1[[#This Row],[RequiredDate]],"On Time","Late"))</f>
        <v>On Time</v>
      </c>
      <c r="V755">
        <f>_xlfn.XLOOKUP(Table1[[#This Row],[orderID]],Table3[orderID],Table3[unitPrice])</f>
        <v>30</v>
      </c>
    </row>
    <row r="756" spans="1:22" x14ac:dyDescent="0.45">
      <c r="A756" s="3">
        <v>11002</v>
      </c>
      <c r="B756" s="6" t="s">
        <v>165</v>
      </c>
      <c r="C756" s="3">
        <v>4</v>
      </c>
      <c r="D756" s="6" t="str">
        <f>_xlfn.XLOOKUP(Table1[[#This Row],[EmployeeID]],Table4[employeeID],Table4[employeeName])</f>
        <v>Margaret Peacock</v>
      </c>
      <c r="E756" s="1">
        <v>42100</v>
      </c>
      <c r="F756" s="1">
        <v>42128</v>
      </c>
      <c r="G756" s="1">
        <v>42110</v>
      </c>
      <c r="H756" s="3">
        <f>IF(Table1[[#This Row],[ShippedDate]]="","",IF(Table1[[#This Row],[OrderDate]]="","",Table1[[#This Row],[ShippedDate]]-Table1[[#This Row],[OrderDate]]))</f>
        <v>10</v>
      </c>
      <c r="I756" s="3">
        <v>1</v>
      </c>
      <c r="J756" s="2">
        <v>141.16</v>
      </c>
      <c r="K756" s="2">
        <f>SUMIF(order_details!A:A,Table1[[#This Row],[orderID]],order_details!F:F)</f>
        <v>1811.1</v>
      </c>
      <c r="L756" s="9">
        <f>_xlfn.XLOOKUP(Table1[[#This Row],[orderID]],Table3[orderID],Table3[discount])</f>
        <v>0</v>
      </c>
      <c r="M756" s="2">
        <f>SUM(Table1[[#This Row],[Sales]],Table1[[#This Row],[freight]])</f>
        <v>1952.26</v>
      </c>
      <c r="N756" s="3">
        <f>_xlfn.XLOOKUP(Table1[[#This Row],[orderID]],Table3[orderID],Table3[quantity])</f>
        <v>56</v>
      </c>
      <c r="O756" s="6" t="str">
        <f>_xlfn.XLOOKUP(Table1[[#This Row],[CustomerID]],customers!A:A,customers!B:B)</f>
        <v>Save-a-lot Markets</v>
      </c>
      <c r="P756" s="6" t="str">
        <f>_xlfn.XLOOKUP(Table1[[#This Row],[shipperID]],Table6[shipperID],Table6[companyName])</f>
        <v>Speedy Express</v>
      </c>
      <c r="Q756">
        <f>YEAR(Table1[[#This Row],[OrderDate]])</f>
        <v>2015</v>
      </c>
      <c r="R756">
        <f>MONTH(Table1[[#This Row],[OrderDate]])</f>
        <v>4</v>
      </c>
      <c r="S756" t="str">
        <f>"Q"&amp;ROUNDUP(Table1[[#This Row],[month]]/3,0)</f>
        <v>Q2</v>
      </c>
      <c r="T756" t="str">
        <f>CONCATENATE(Table1[[#This Row],[year]],"-",Table1[[#This Row],[Quarter]])</f>
        <v>2015-Q2</v>
      </c>
      <c r="U756" s="6" t="str">
        <f>IF(H755="","Pending",IF(Table1[[#This Row],[Days to ship]]&lt;Table1[[#This Row],[RequiredDate]],"On Time","Late"))</f>
        <v>On Time</v>
      </c>
      <c r="V756">
        <f>_xlfn.XLOOKUP(Table1[[#This Row],[orderID]],Table3[orderID],Table3[unitPrice])</f>
        <v>6</v>
      </c>
    </row>
    <row r="757" spans="1:22" x14ac:dyDescent="0.45">
      <c r="A757" s="3">
        <v>11003</v>
      </c>
      <c r="B757" s="6" t="s">
        <v>206</v>
      </c>
      <c r="C757" s="3">
        <v>3</v>
      </c>
      <c r="D757" s="6" t="str">
        <f>_xlfn.XLOOKUP(Table1[[#This Row],[EmployeeID]],Table4[employeeID],Table4[employeeName])</f>
        <v>Janet Leverling</v>
      </c>
      <c r="E757" s="1">
        <v>42100</v>
      </c>
      <c r="F757" s="1">
        <v>42128</v>
      </c>
      <c r="G757" s="1">
        <v>42102</v>
      </c>
      <c r="H757" s="3">
        <f>IF(Table1[[#This Row],[ShippedDate]]="","",IF(Table1[[#This Row],[OrderDate]]="","",Table1[[#This Row],[ShippedDate]]-Table1[[#This Row],[OrderDate]]))</f>
        <v>2</v>
      </c>
      <c r="I757" s="3">
        <v>3</v>
      </c>
      <c r="J757" s="2">
        <v>14.91</v>
      </c>
      <c r="K757" s="2">
        <f>SUMIF(order_details!A:A,Table1[[#This Row],[orderID]],order_details!F:F)</f>
        <v>326</v>
      </c>
      <c r="L757" s="9">
        <f>_xlfn.XLOOKUP(Table1[[#This Row],[orderID]],Table3[orderID],Table3[discount])</f>
        <v>0</v>
      </c>
      <c r="M757" s="2">
        <f>SUM(Table1[[#This Row],[Sales]],Table1[[#This Row],[freight]])</f>
        <v>340.91</v>
      </c>
      <c r="N757" s="3">
        <f>_xlfn.XLOOKUP(Table1[[#This Row],[orderID]],Table3[orderID],Table3[quantity])</f>
        <v>4</v>
      </c>
      <c r="O757" s="6" t="str">
        <f>_xlfn.XLOOKUP(Table1[[#This Row],[CustomerID]],customers!A:A,customers!B:B)</f>
        <v>The Cracker Box</v>
      </c>
      <c r="P757" s="6" t="str">
        <f>_xlfn.XLOOKUP(Table1[[#This Row],[shipperID]],Table6[shipperID],Table6[companyName])</f>
        <v>Federal Shipping</v>
      </c>
      <c r="Q757">
        <f>YEAR(Table1[[#This Row],[OrderDate]])</f>
        <v>2015</v>
      </c>
      <c r="R757">
        <f>MONTH(Table1[[#This Row],[OrderDate]])</f>
        <v>4</v>
      </c>
      <c r="S757" t="str">
        <f>"Q"&amp;ROUNDUP(Table1[[#This Row],[month]]/3,0)</f>
        <v>Q2</v>
      </c>
      <c r="T757" t="str">
        <f>CONCATENATE(Table1[[#This Row],[year]],"-",Table1[[#This Row],[Quarter]])</f>
        <v>2015-Q2</v>
      </c>
      <c r="U757" s="6" t="str">
        <f>IF(H756="","Pending",IF(Table1[[#This Row],[Days to ship]]&lt;Table1[[#This Row],[RequiredDate]],"On Time","Late"))</f>
        <v>On Time</v>
      </c>
      <c r="V757">
        <f>_xlfn.XLOOKUP(Table1[[#This Row],[orderID]],Table3[orderID],Table3[unitPrice])</f>
        <v>18</v>
      </c>
    </row>
    <row r="758" spans="1:22" x14ac:dyDescent="0.45">
      <c r="A758" s="3">
        <v>11004</v>
      </c>
      <c r="B758" s="6" t="s">
        <v>205</v>
      </c>
      <c r="C758" s="3">
        <v>3</v>
      </c>
      <c r="D758" s="6" t="str">
        <f>_xlfn.XLOOKUP(Table1[[#This Row],[EmployeeID]],Table4[employeeID],Table4[employeeName])</f>
        <v>Janet Leverling</v>
      </c>
      <c r="E758" s="1">
        <v>42101</v>
      </c>
      <c r="F758" s="1">
        <v>42129</v>
      </c>
      <c r="G758" s="1">
        <v>42114</v>
      </c>
      <c r="H758" s="3">
        <f>IF(Table1[[#This Row],[ShippedDate]]="","",IF(Table1[[#This Row],[OrderDate]]="","",Table1[[#This Row],[ShippedDate]]-Table1[[#This Row],[OrderDate]]))</f>
        <v>13</v>
      </c>
      <c r="I758" s="3">
        <v>1</v>
      </c>
      <c r="J758" s="2">
        <v>44.84</v>
      </c>
      <c r="K758" s="2">
        <f>SUMIF(order_details!A:A,Table1[[#This Row],[orderID]],order_details!F:F)</f>
        <v>295.38</v>
      </c>
      <c r="L758" s="9">
        <f>_xlfn.XLOOKUP(Table1[[#This Row],[orderID]],Table3[orderID],Table3[discount])</f>
        <v>0</v>
      </c>
      <c r="M758" s="2">
        <f>SUM(Table1[[#This Row],[Sales]],Table1[[#This Row],[freight]])</f>
        <v>340.22</v>
      </c>
      <c r="N758" s="3">
        <f>_xlfn.XLOOKUP(Table1[[#This Row],[orderID]],Table3[orderID],Table3[quantity])</f>
        <v>6</v>
      </c>
      <c r="O758" s="6" t="str">
        <f>_xlfn.XLOOKUP(Table1[[#This Row],[CustomerID]],customers!A:A,customers!B:B)</f>
        <v>Maison Dewey</v>
      </c>
      <c r="P758" s="6" t="str">
        <f>_xlfn.XLOOKUP(Table1[[#This Row],[shipperID]],Table6[shipperID],Table6[companyName])</f>
        <v>Speedy Express</v>
      </c>
      <c r="Q758">
        <f>YEAR(Table1[[#This Row],[OrderDate]])</f>
        <v>2015</v>
      </c>
      <c r="R758">
        <f>MONTH(Table1[[#This Row],[OrderDate]])</f>
        <v>4</v>
      </c>
      <c r="S758" t="str">
        <f>"Q"&amp;ROUNDUP(Table1[[#This Row],[month]]/3,0)</f>
        <v>Q2</v>
      </c>
      <c r="T758" t="str">
        <f>CONCATENATE(Table1[[#This Row],[year]],"-",Table1[[#This Row],[Quarter]])</f>
        <v>2015-Q2</v>
      </c>
      <c r="U758" s="6" t="str">
        <f>IF(H757="","Pending",IF(Table1[[#This Row],[Days to ship]]&lt;Table1[[#This Row],[RequiredDate]],"On Time","Late"))</f>
        <v>On Time</v>
      </c>
      <c r="V758">
        <f>_xlfn.XLOOKUP(Table1[[#This Row],[orderID]],Table3[orderID],Table3[unitPrice])</f>
        <v>31.23</v>
      </c>
    </row>
    <row r="759" spans="1:22" x14ac:dyDescent="0.45">
      <c r="A759" s="3">
        <v>11005</v>
      </c>
      <c r="B759" s="6" t="s">
        <v>204</v>
      </c>
      <c r="C759" s="3">
        <v>2</v>
      </c>
      <c r="D759" s="6" t="str">
        <f>_xlfn.XLOOKUP(Table1[[#This Row],[EmployeeID]],Table4[employeeID],Table4[employeeName])</f>
        <v>Andrew Fuller</v>
      </c>
      <c r="E759" s="1">
        <v>42101</v>
      </c>
      <c r="F759" s="1">
        <v>42129</v>
      </c>
      <c r="G759" s="1">
        <v>42104</v>
      </c>
      <c r="H759" s="3">
        <f>IF(Table1[[#This Row],[ShippedDate]]="","",IF(Table1[[#This Row],[OrderDate]]="","",Table1[[#This Row],[ShippedDate]]-Table1[[#This Row],[OrderDate]]))</f>
        <v>3</v>
      </c>
      <c r="I759" s="3">
        <v>1</v>
      </c>
      <c r="J759" s="2">
        <v>0.75</v>
      </c>
      <c r="K759" s="2">
        <f>SUMIF(order_details!A:A,Table1[[#This Row],[orderID]],order_details!F:F)</f>
        <v>586</v>
      </c>
      <c r="L759" s="9">
        <f>_xlfn.XLOOKUP(Table1[[#This Row],[orderID]],Table3[orderID],Table3[discount])</f>
        <v>0</v>
      </c>
      <c r="M759" s="2">
        <f>SUM(Table1[[#This Row],[Sales]],Table1[[#This Row],[freight]])</f>
        <v>586.75</v>
      </c>
      <c r="N759" s="3">
        <f>_xlfn.XLOOKUP(Table1[[#This Row],[orderID]],Table3[orderID],Table3[quantity])</f>
        <v>2</v>
      </c>
      <c r="O759" s="6" t="str">
        <f>_xlfn.XLOOKUP(Table1[[#This Row],[CustomerID]],customers!A:A,customers!B:B)</f>
        <v>Wilman Kala</v>
      </c>
      <c r="P759" s="6" t="str">
        <f>_xlfn.XLOOKUP(Table1[[#This Row],[shipperID]],Table6[shipperID],Table6[companyName])</f>
        <v>Speedy Express</v>
      </c>
      <c r="Q759">
        <f>YEAR(Table1[[#This Row],[OrderDate]])</f>
        <v>2015</v>
      </c>
      <c r="R759">
        <f>MONTH(Table1[[#This Row],[OrderDate]])</f>
        <v>4</v>
      </c>
      <c r="S759" t="str">
        <f>"Q"&amp;ROUNDUP(Table1[[#This Row],[month]]/3,0)</f>
        <v>Q2</v>
      </c>
      <c r="T759" t="str">
        <f>CONCATENATE(Table1[[#This Row],[year]],"-",Table1[[#This Row],[Quarter]])</f>
        <v>2015-Q2</v>
      </c>
      <c r="U759" s="6" t="str">
        <f>IF(H758="","Pending",IF(Table1[[#This Row],[Days to ship]]&lt;Table1[[#This Row],[RequiredDate]],"On Time","Late"))</f>
        <v>On Time</v>
      </c>
      <c r="V759">
        <f>_xlfn.XLOOKUP(Table1[[#This Row],[orderID]],Table3[orderID],Table3[unitPrice])</f>
        <v>18</v>
      </c>
    </row>
    <row r="760" spans="1:22" x14ac:dyDescent="0.45">
      <c r="A760" s="3">
        <v>11006</v>
      </c>
      <c r="B760" s="6" t="s">
        <v>168</v>
      </c>
      <c r="C760" s="3">
        <v>3</v>
      </c>
      <c r="D760" s="6" t="str">
        <f>_xlfn.XLOOKUP(Table1[[#This Row],[EmployeeID]],Table4[employeeID],Table4[employeeName])</f>
        <v>Janet Leverling</v>
      </c>
      <c r="E760" s="1">
        <v>42101</v>
      </c>
      <c r="F760" s="1">
        <v>42129</v>
      </c>
      <c r="G760" s="1">
        <v>42109</v>
      </c>
      <c r="H760" s="3">
        <f>IF(Table1[[#This Row],[ShippedDate]]="","",IF(Table1[[#This Row],[OrderDate]]="","",Table1[[#This Row],[ShippedDate]]-Table1[[#This Row],[OrderDate]]))</f>
        <v>8</v>
      </c>
      <c r="I760" s="3">
        <v>2</v>
      </c>
      <c r="J760" s="2">
        <v>25.19</v>
      </c>
      <c r="K760" s="2">
        <f>SUMIF(order_details!A:A,Table1[[#This Row],[orderID]],order_details!F:F)</f>
        <v>329.685</v>
      </c>
      <c r="L760" s="9">
        <f>_xlfn.XLOOKUP(Table1[[#This Row],[orderID]],Table3[orderID],Table3[discount])</f>
        <v>0</v>
      </c>
      <c r="M760" s="2">
        <f>SUM(Table1[[#This Row],[Sales]],Table1[[#This Row],[freight]])</f>
        <v>354.875</v>
      </c>
      <c r="N760" s="3">
        <f>_xlfn.XLOOKUP(Table1[[#This Row],[orderID]],Table3[orderID],Table3[quantity])</f>
        <v>8</v>
      </c>
      <c r="O760" s="6" t="str">
        <f>_xlfn.XLOOKUP(Table1[[#This Row],[CustomerID]],customers!A:A,customers!B:B)</f>
        <v>Great Lakes Food Market</v>
      </c>
      <c r="P760" s="6" t="str">
        <f>_xlfn.XLOOKUP(Table1[[#This Row],[shipperID]],Table6[shipperID],Table6[companyName])</f>
        <v>United Package</v>
      </c>
      <c r="Q760">
        <f>YEAR(Table1[[#This Row],[OrderDate]])</f>
        <v>2015</v>
      </c>
      <c r="R760">
        <f>MONTH(Table1[[#This Row],[OrderDate]])</f>
        <v>4</v>
      </c>
      <c r="S760" t="str">
        <f>"Q"&amp;ROUNDUP(Table1[[#This Row],[month]]/3,0)</f>
        <v>Q2</v>
      </c>
      <c r="T760" t="str">
        <f>CONCATENATE(Table1[[#This Row],[year]],"-",Table1[[#This Row],[Quarter]])</f>
        <v>2015-Q2</v>
      </c>
      <c r="U760" s="6" t="str">
        <f>IF(H759="","Pending",IF(Table1[[#This Row],[Days to ship]]&lt;Table1[[#This Row],[RequiredDate]],"On Time","Late"))</f>
        <v>On Time</v>
      </c>
      <c r="V760">
        <f>_xlfn.XLOOKUP(Table1[[#This Row],[orderID]],Table3[orderID],Table3[unitPrice])</f>
        <v>18</v>
      </c>
    </row>
    <row r="761" spans="1:22" x14ac:dyDescent="0.45">
      <c r="A761" s="3">
        <v>11007</v>
      </c>
      <c r="B761" s="6" t="s">
        <v>203</v>
      </c>
      <c r="C761" s="3">
        <v>8</v>
      </c>
      <c r="D761" s="6" t="str">
        <f>_xlfn.XLOOKUP(Table1[[#This Row],[EmployeeID]],Table4[employeeID],Table4[employeeName])</f>
        <v>Laura Callahan</v>
      </c>
      <c r="E761" s="1">
        <v>42102</v>
      </c>
      <c r="F761" s="1">
        <v>42130</v>
      </c>
      <c r="G761" s="1">
        <v>42107</v>
      </c>
      <c r="H761" s="3">
        <f>IF(Table1[[#This Row],[ShippedDate]]="","",IF(Table1[[#This Row],[OrderDate]]="","",Table1[[#This Row],[ShippedDate]]-Table1[[#This Row],[OrderDate]]))</f>
        <v>5</v>
      </c>
      <c r="I761" s="3">
        <v>2</v>
      </c>
      <c r="J761" s="2">
        <v>202.24</v>
      </c>
      <c r="K761" s="2">
        <f>SUMIF(order_details!A:A,Table1[[#This Row],[orderID]],order_details!F:F)</f>
        <v>2633.9</v>
      </c>
      <c r="L761" s="9">
        <f>_xlfn.XLOOKUP(Table1[[#This Row],[orderID]],Table3[orderID],Table3[discount])</f>
        <v>0</v>
      </c>
      <c r="M761" s="2">
        <f>SUM(Table1[[#This Row],[Sales]],Table1[[#This Row],[freight]])</f>
        <v>2836.1400000000003</v>
      </c>
      <c r="N761" s="3">
        <f>_xlfn.XLOOKUP(Table1[[#This Row],[orderID]],Table3[orderID],Table3[quantity])</f>
        <v>30</v>
      </c>
      <c r="O761" s="6" t="str">
        <f>_xlfn.XLOOKUP(Table1[[#This Row],[CustomerID]],customers!A:A,customers!B:B)</f>
        <v>Princesa Isabel Vinhos</v>
      </c>
      <c r="P761" s="6" t="str">
        <f>_xlfn.XLOOKUP(Table1[[#This Row],[shipperID]],Table6[shipperID],Table6[companyName])</f>
        <v>United Package</v>
      </c>
      <c r="Q761">
        <f>YEAR(Table1[[#This Row],[OrderDate]])</f>
        <v>2015</v>
      </c>
      <c r="R761">
        <f>MONTH(Table1[[#This Row],[OrderDate]])</f>
        <v>4</v>
      </c>
      <c r="S761" t="str">
        <f>"Q"&amp;ROUNDUP(Table1[[#This Row],[month]]/3,0)</f>
        <v>Q2</v>
      </c>
      <c r="T761" t="str">
        <f>CONCATENATE(Table1[[#This Row],[year]],"-",Table1[[#This Row],[Quarter]])</f>
        <v>2015-Q2</v>
      </c>
      <c r="U761" s="6" t="str">
        <f>IF(H760="","Pending",IF(Table1[[#This Row],[Days to ship]]&lt;Table1[[#This Row],[RequiredDate]],"On Time","Late"))</f>
        <v>On Time</v>
      </c>
      <c r="V761">
        <f>_xlfn.XLOOKUP(Table1[[#This Row],[orderID]],Table3[orderID],Table3[unitPrice])</f>
        <v>40</v>
      </c>
    </row>
    <row r="762" spans="1:22" x14ac:dyDescent="0.45">
      <c r="A762" s="3">
        <v>11008</v>
      </c>
      <c r="B762" s="6" t="s">
        <v>158</v>
      </c>
      <c r="C762" s="3">
        <v>7</v>
      </c>
      <c r="D762" s="6" t="str">
        <f>_xlfn.XLOOKUP(Table1[[#This Row],[EmployeeID]],Table4[employeeID],Table4[employeeName])</f>
        <v>Robert King</v>
      </c>
      <c r="E762" s="1">
        <v>42102</v>
      </c>
      <c r="F762" s="1">
        <v>42130</v>
      </c>
      <c r="H762" s="3" t="str">
        <f>IF(Table1[[#This Row],[ShippedDate]]="","",IF(Table1[[#This Row],[OrderDate]]="","",Table1[[#This Row],[ShippedDate]]-Table1[[#This Row],[OrderDate]]))</f>
        <v/>
      </c>
      <c r="I762" s="3">
        <v>3</v>
      </c>
      <c r="J762" s="2">
        <v>79.459999999999994</v>
      </c>
      <c r="K762" s="2">
        <f>SUMIF(order_details!A:A,Table1[[#This Row],[orderID]],order_details!F:F)</f>
        <v>4680.8999999999996</v>
      </c>
      <c r="L762" s="9">
        <f>_xlfn.XLOOKUP(Table1[[#This Row],[orderID]],Table3[orderID],Table3[discount])</f>
        <v>0.05</v>
      </c>
      <c r="M762" s="2">
        <f>SUM(Table1[[#This Row],[Sales]],Table1[[#This Row],[freight]])</f>
        <v>4760.3599999999997</v>
      </c>
      <c r="N762" s="3">
        <f>_xlfn.XLOOKUP(Table1[[#This Row],[orderID]],Table3[orderID],Table3[quantity])</f>
        <v>70</v>
      </c>
      <c r="O762" s="6" t="str">
        <f>_xlfn.XLOOKUP(Table1[[#This Row],[CustomerID]],customers!A:A,customers!B:B)</f>
        <v>Ernst Handel</v>
      </c>
      <c r="P762" s="6" t="str">
        <f>_xlfn.XLOOKUP(Table1[[#This Row],[shipperID]],Table6[shipperID],Table6[companyName])</f>
        <v>Federal Shipping</v>
      </c>
      <c r="Q762">
        <f>YEAR(Table1[[#This Row],[OrderDate]])</f>
        <v>2015</v>
      </c>
      <c r="R762">
        <f>MONTH(Table1[[#This Row],[OrderDate]])</f>
        <v>4</v>
      </c>
      <c r="S762" t="str">
        <f>"Q"&amp;ROUNDUP(Table1[[#This Row],[month]]/3,0)</f>
        <v>Q2</v>
      </c>
      <c r="T762" t="str">
        <f>CONCATENATE(Table1[[#This Row],[year]],"-",Table1[[#This Row],[Quarter]])</f>
        <v>2015-Q2</v>
      </c>
      <c r="U762" s="6" t="str">
        <f>IF(H761="","Pending",IF(Table1[[#This Row],[Days to ship]]&lt;Table1[[#This Row],[RequiredDate]],"On Time","Late"))</f>
        <v>Late</v>
      </c>
      <c r="V762">
        <f>_xlfn.XLOOKUP(Table1[[#This Row],[orderID]],Table3[orderID],Table3[unitPrice])</f>
        <v>45.6</v>
      </c>
    </row>
    <row r="763" spans="1:22" x14ac:dyDescent="0.45">
      <c r="A763" s="3">
        <v>11009</v>
      </c>
      <c r="B763" s="6" t="s">
        <v>189</v>
      </c>
      <c r="C763" s="3">
        <v>2</v>
      </c>
      <c r="D763" s="6" t="str">
        <f>_xlfn.XLOOKUP(Table1[[#This Row],[EmployeeID]],Table4[employeeID],Table4[employeeName])</f>
        <v>Andrew Fuller</v>
      </c>
      <c r="E763" s="1">
        <v>42102</v>
      </c>
      <c r="F763" s="1">
        <v>42130</v>
      </c>
      <c r="G763" s="1">
        <v>42104</v>
      </c>
      <c r="H763" s="3">
        <f>IF(Table1[[#This Row],[ShippedDate]]="","",IF(Table1[[#This Row],[OrderDate]]="","",Table1[[#This Row],[ShippedDate]]-Table1[[#This Row],[OrderDate]]))</f>
        <v>2</v>
      </c>
      <c r="I763" s="3">
        <v>1</v>
      </c>
      <c r="J763" s="2">
        <v>59.11</v>
      </c>
      <c r="K763" s="2">
        <f>SUMIF(order_details!A:A,Table1[[#This Row],[orderID]],order_details!F:F)</f>
        <v>616.5</v>
      </c>
      <c r="L763" s="9">
        <f>_xlfn.XLOOKUP(Table1[[#This Row],[orderID]],Table3[orderID],Table3[discount])</f>
        <v>0</v>
      </c>
      <c r="M763" s="2">
        <f>SUM(Table1[[#This Row],[Sales]],Table1[[#This Row],[freight]])</f>
        <v>675.61</v>
      </c>
      <c r="N763" s="3">
        <f>_xlfn.XLOOKUP(Table1[[#This Row],[orderID]],Table3[orderID],Table3[quantity])</f>
        <v>12</v>
      </c>
      <c r="O763" s="6" t="str">
        <f>_xlfn.XLOOKUP(Table1[[#This Row],[CustomerID]],customers!A:A,customers!B:B)</f>
        <v>Godos Cocina Típica</v>
      </c>
      <c r="P763" s="6" t="str">
        <f>_xlfn.XLOOKUP(Table1[[#This Row],[shipperID]],Table6[shipperID],Table6[companyName])</f>
        <v>Speedy Express</v>
      </c>
      <c r="Q763">
        <f>YEAR(Table1[[#This Row],[OrderDate]])</f>
        <v>2015</v>
      </c>
      <c r="R763">
        <f>MONTH(Table1[[#This Row],[OrderDate]])</f>
        <v>4</v>
      </c>
      <c r="S763" t="str">
        <f>"Q"&amp;ROUNDUP(Table1[[#This Row],[month]]/3,0)</f>
        <v>Q2</v>
      </c>
      <c r="T763" t="str">
        <f>CONCATENATE(Table1[[#This Row],[year]],"-",Table1[[#This Row],[Quarter]])</f>
        <v>2015-Q2</v>
      </c>
      <c r="U763" s="6" t="str">
        <f>IF(H762="","Pending",IF(Table1[[#This Row],[Days to ship]]&lt;Table1[[#This Row],[RequiredDate]],"On Time","Late"))</f>
        <v>Pending</v>
      </c>
      <c r="V763">
        <f>_xlfn.XLOOKUP(Table1[[#This Row],[orderID]],Table3[orderID],Table3[unitPrice])</f>
        <v>4.5</v>
      </c>
    </row>
    <row r="764" spans="1:22" x14ac:dyDescent="0.45">
      <c r="A764" s="3">
        <v>11010</v>
      </c>
      <c r="B764" s="6" t="s">
        <v>167</v>
      </c>
      <c r="C764" s="3">
        <v>2</v>
      </c>
      <c r="D764" s="6" t="str">
        <f>_xlfn.XLOOKUP(Table1[[#This Row],[EmployeeID]],Table4[employeeID],Table4[employeeName])</f>
        <v>Andrew Fuller</v>
      </c>
      <c r="E764" s="1">
        <v>42103</v>
      </c>
      <c r="F764" s="1">
        <v>42131</v>
      </c>
      <c r="G764" s="1">
        <v>42115</v>
      </c>
      <c r="H764" s="3">
        <f>IF(Table1[[#This Row],[ShippedDate]]="","",IF(Table1[[#This Row],[OrderDate]]="","",Table1[[#This Row],[ShippedDate]]-Table1[[#This Row],[OrderDate]]))</f>
        <v>12</v>
      </c>
      <c r="I764" s="3">
        <v>2</v>
      </c>
      <c r="J764" s="2">
        <v>28.71</v>
      </c>
      <c r="K764" s="2">
        <f>SUMIF(order_details!A:A,Table1[[#This Row],[orderID]],order_details!F:F)</f>
        <v>645</v>
      </c>
      <c r="L764" s="9">
        <f>_xlfn.XLOOKUP(Table1[[#This Row],[orderID]],Table3[orderID],Table3[discount])</f>
        <v>0</v>
      </c>
      <c r="M764" s="2">
        <f>SUM(Table1[[#This Row],[Sales]],Table1[[#This Row],[freight]])</f>
        <v>673.71</v>
      </c>
      <c r="N764" s="3">
        <f>_xlfn.XLOOKUP(Table1[[#This Row],[orderID]],Table3[orderID],Table3[quantity])</f>
        <v>20</v>
      </c>
      <c r="O764" s="6" t="str">
        <f>_xlfn.XLOOKUP(Table1[[#This Row],[CustomerID]],customers!A:A,customers!B:B)</f>
        <v>Reggiani Caseifici</v>
      </c>
      <c r="P764" s="6" t="str">
        <f>_xlfn.XLOOKUP(Table1[[#This Row],[shipperID]],Table6[shipperID],Table6[companyName])</f>
        <v>United Package</v>
      </c>
      <c r="Q764">
        <f>YEAR(Table1[[#This Row],[OrderDate]])</f>
        <v>2015</v>
      </c>
      <c r="R764">
        <f>MONTH(Table1[[#This Row],[OrderDate]])</f>
        <v>4</v>
      </c>
      <c r="S764" t="str">
        <f>"Q"&amp;ROUNDUP(Table1[[#This Row],[month]]/3,0)</f>
        <v>Q2</v>
      </c>
      <c r="T764" t="str">
        <f>CONCATENATE(Table1[[#This Row],[year]],"-",Table1[[#This Row],[Quarter]])</f>
        <v>2015-Q2</v>
      </c>
      <c r="U764" s="6" t="str">
        <f>IF(H763="","Pending",IF(Table1[[#This Row],[Days to ship]]&lt;Table1[[#This Row],[RequiredDate]],"On Time","Late"))</f>
        <v>On Time</v>
      </c>
      <c r="V764">
        <f>_xlfn.XLOOKUP(Table1[[#This Row],[orderID]],Table3[orderID],Table3[unitPrice])</f>
        <v>30</v>
      </c>
    </row>
    <row r="765" spans="1:22" x14ac:dyDescent="0.45">
      <c r="A765" s="3">
        <v>11011</v>
      </c>
      <c r="B765" s="6" t="s">
        <v>202</v>
      </c>
      <c r="C765" s="3">
        <v>3</v>
      </c>
      <c r="D765" s="6" t="str">
        <f>_xlfn.XLOOKUP(Table1[[#This Row],[EmployeeID]],Table4[employeeID],Table4[employeeName])</f>
        <v>Janet Leverling</v>
      </c>
      <c r="E765" s="1">
        <v>42103</v>
      </c>
      <c r="F765" s="1">
        <v>42131</v>
      </c>
      <c r="G765" s="1">
        <v>42107</v>
      </c>
      <c r="H765" s="3">
        <f>IF(Table1[[#This Row],[ShippedDate]]="","",IF(Table1[[#This Row],[OrderDate]]="","",Table1[[#This Row],[ShippedDate]]-Table1[[#This Row],[OrderDate]]))</f>
        <v>4</v>
      </c>
      <c r="I765" s="3">
        <v>1</v>
      </c>
      <c r="J765" s="2">
        <v>1.21</v>
      </c>
      <c r="K765" s="2">
        <f>SUMIF(order_details!A:A,Table1[[#This Row],[orderID]],order_details!F:F)</f>
        <v>933.5</v>
      </c>
      <c r="L765" s="9">
        <f>_xlfn.XLOOKUP(Table1[[#This Row],[orderID]],Table3[orderID],Table3[discount])</f>
        <v>0.05</v>
      </c>
      <c r="M765" s="2">
        <f>SUM(Table1[[#This Row],[Sales]],Table1[[#This Row],[freight]])</f>
        <v>934.71</v>
      </c>
      <c r="N765" s="3">
        <f>_xlfn.XLOOKUP(Table1[[#This Row],[orderID]],Table3[orderID],Table3[quantity])</f>
        <v>40</v>
      </c>
      <c r="O765" s="6" t="str">
        <f>_xlfn.XLOOKUP(Table1[[#This Row],[CustomerID]],customers!A:A,customers!B:B)</f>
        <v>Alfreds Futterkiste</v>
      </c>
      <c r="P765" s="6" t="str">
        <f>_xlfn.XLOOKUP(Table1[[#This Row],[shipperID]],Table6[shipperID],Table6[companyName])</f>
        <v>Speedy Express</v>
      </c>
      <c r="Q765">
        <f>YEAR(Table1[[#This Row],[OrderDate]])</f>
        <v>2015</v>
      </c>
      <c r="R765">
        <f>MONTH(Table1[[#This Row],[OrderDate]])</f>
        <v>4</v>
      </c>
      <c r="S765" t="str">
        <f>"Q"&amp;ROUNDUP(Table1[[#This Row],[month]]/3,0)</f>
        <v>Q2</v>
      </c>
      <c r="T765" t="str">
        <f>CONCATENATE(Table1[[#This Row],[year]],"-",Table1[[#This Row],[Quarter]])</f>
        <v>2015-Q2</v>
      </c>
      <c r="U765" s="6" t="str">
        <f>IF(H764="","Pending",IF(Table1[[#This Row],[Days to ship]]&lt;Table1[[#This Row],[RequiredDate]],"On Time","Late"))</f>
        <v>On Time</v>
      </c>
      <c r="V765">
        <f>_xlfn.XLOOKUP(Table1[[#This Row],[orderID]],Table3[orderID],Table3[unitPrice])</f>
        <v>13.25</v>
      </c>
    </row>
    <row r="766" spans="1:22" x14ac:dyDescent="0.45">
      <c r="A766" s="3">
        <v>11012</v>
      </c>
      <c r="B766" s="6" t="s">
        <v>201</v>
      </c>
      <c r="C766" s="3">
        <v>1</v>
      </c>
      <c r="D766" s="6" t="str">
        <f>_xlfn.XLOOKUP(Table1[[#This Row],[EmployeeID]],Table4[employeeID],Table4[employeeName])</f>
        <v>Nancy Davolio</v>
      </c>
      <c r="E766" s="1">
        <v>42103</v>
      </c>
      <c r="F766" s="1">
        <v>42117</v>
      </c>
      <c r="G766" s="1">
        <v>42111</v>
      </c>
      <c r="H766" s="3">
        <f>IF(Table1[[#This Row],[ShippedDate]]="","",IF(Table1[[#This Row],[OrderDate]]="","",Table1[[#This Row],[ShippedDate]]-Table1[[#This Row],[OrderDate]]))</f>
        <v>8</v>
      </c>
      <c r="I766" s="3">
        <v>3</v>
      </c>
      <c r="J766" s="2">
        <v>242.95</v>
      </c>
      <c r="K766" s="2">
        <f>SUMIF(order_details!A:A,Table1[[#This Row],[orderID]],order_details!F:F)</f>
        <v>2825.3</v>
      </c>
      <c r="L766" s="9">
        <f>_xlfn.XLOOKUP(Table1[[#This Row],[orderID]],Table3[orderID],Table3[discount])</f>
        <v>0.05</v>
      </c>
      <c r="M766" s="2">
        <f>SUM(Table1[[#This Row],[Sales]],Table1[[#This Row],[freight]])</f>
        <v>3068.25</v>
      </c>
      <c r="N766" s="3">
        <f>_xlfn.XLOOKUP(Table1[[#This Row],[orderID]],Table3[orderID],Table3[quantity])</f>
        <v>50</v>
      </c>
      <c r="O766" s="6" t="str">
        <f>_xlfn.XLOOKUP(Table1[[#This Row],[CustomerID]],customers!A:A,customers!B:B)</f>
        <v>Frankenversand</v>
      </c>
      <c r="P766" s="6" t="str">
        <f>_xlfn.XLOOKUP(Table1[[#This Row],[shipperID]],Table6[shipperID],Table6[companyName])</f>
        <v>Federal Shipping</v>
      </c>
      <c r="Q766">
        <f>YEAR(Table1[[#This Row],[OrderDate]])</f>
        <v>2015</v>
      </c>
      <c r="R766">
        <f>MONTH(Table1[[#This Row],[OrderDate]])</f>
        <v>4</v>
      </c>
      <c r="S766" t="str">
        <f>"Q"&amp;ROUNDUP(Table1[[#This Row],[month]]/3,0)</f>
        <v>Q2</v>
      </c>
      <c r="T766" t="str">
        <f>CONCATENATE(Table1[[#This Row],[year]],"-",Table1[[#This Row],[Quarter]])</f>
        <v>2015-Q2</v>
      </c>
      <c r="U766" s="6" t="str">
        <f>IF(H765="","Pending",IF(Table1[[#This Row],[Days to ship]]&lt;Table1[[#This Row],[RequiredDate]],"On Time","Late"))</f>
        <v>On Time</v>
      </c>
      <c r="V766">
        <f>_xlfn.XLOOKUP(Table1[[#This Row],[orderID]],Table3[orderID],Table3[unitPrice])</f>
        <v>9.1999999999999993</v>
      </c>
    </row>
    <row r="767" spans="1:22" x14ac:dyDescent="0.45">
      <c r="A767" s="3">
        <v>11013</v>
      </c>
      <c r="B767" s="6" t="s">
        <v>200</v>
      </c>
      <c r="C767" s="3">
        <v>2</v>
      </c>
      <c r="D767" s="6" t="str">
        <f>_xlfn.XLOOKUP(Table1[[#This Row],[EmployeeID]],Table4[employeeID],Table4[employeeName])</f>
        <v>Andrew Fuller</v>
      </c>
      <c r="E767" s="1">
        <v>42103</v>
      </c>
      <c r="F767" s="1">
        <v>42131</v>
      </c>
      <c r="G767" s="1">
        <v>42104</v>
      </c>
      <c r="H767" s="3">
        <f>IF(Table1[[#This Row],[ShippedDate]]="","",IF(Table1[[#This Row],[OrderDate]]="","",Table1[[#This Row],[ShippedDate]]-Table1[[#This Row],[OrderDate]]))</f>
        <v>1</v>
      </c>
      <c r="I767" s="3">
        <v>1</v>
      </c>
      <c r="J767" s="2">
        <v>32.99</v>
      </c>
      <c r="K767" s="2">
        <f>SUMIF(order_details!A:A,Table1[[#This Row],[orderID]],order_details!F:F)</f>
        <v>361</v>
      </c>
      <c r="L767" s="9">
        <f>_xlfn.XLOOKUP(Table1[[#This Row],[orderID]],Table3[orderID],Table3[discount])</f>
        <v>0</v>
      </c>
      <c r="M767" s="2">
        <f>SUM(Table1[[#This Row],[Sales]],Table1[[#This Row],[freight]])</f>
        <v>393.99</v>
      </c>
      <c r="N767" s="3">
        <f>_xlfn.XLOOKUP(Table1[[#This Row],[orderID]],Table3[orderID],Table3[quantity])</f>
        <v>10</v>
      </c>
      <c r="O767" s="6" t="str">
        <f>_xlfn.XLOOKUP(Table1[[#This Row],[CustomerID]],customers!A:A,customers!B:B)</f>
        <v>Romero y tomillo</v>
      </c>
      <c r="P767" s="6" t="str">
        <f>_xlfn.XLOOKUP(Table1[[#This Row],[shipperID]],Table6[shipperID],Table6[companyName])</f>
        <v>Speedy Express</v>
      </c>
      <c r="Q767">
        <f>YEAR(Table1[[#This Row],[OrderDate]])</f>
        <v>2015</v>
      </c>
      <c r="R767">
        <f>MONTH(Table1[[#This Row],[OrderDate]])</f>
        <v>4</v>
      </c>
      <c r="S767" t="str">
        <f>"Q"&amp;ROUNDUP(Table1[[#This Row],[month]]/3,0)</f>
        <v>Q2</v>
      </c>
      <c r="T767" t="str">
        <f>CONCATENATE(Table1[[#This Row],[year]],"-",Table1[[#This Row],[Quarter]])</f>
        <v>2015-Q2</v>
      </c>
      <c r="U767" s="6" t="str">
        <f>IF(H766="","Pending",IF(Table1[[#This Row],[Days to ship]]&lt;Table1[[#This Row],[RequiredDate]],"On Time","Late"))</f>
        <v>On Time</v>
      </c>
      <c r="V767">
        <f>_xlfn.XLOOKUP(Table1[[#This Row],[orderID]],Table3[orderID],Table3[unitPrice])</f>
        <v>9</v>
      </c>
    </row>
    <row r="768" spans="1:22" x14ac:dyDescent="0.45">
      <c r="A768" s="3">
        <v>11014</v>
      </c>
      <c r="B768" s="6" t="s">
        <v>187</v>
      </c>
      <c r="C768" s="3">
        <v>2</v>
      </c>
      <c r="D768" s="6" t="str">
        <f>_xlfn.XLOOKUP(Table1[[#This Row],[EmployeeID]],Table4[employeeID],Table4[employeeName])</f>
        <v>Andrew Fuller</v>
      </c>
      <c r="E768" s="1">
        <v>42104</v>
      </c>
      <c r="F768" s="1">
        <v>42132</v>
      </c>
      <c r="G768" s="1">
        <v>42109</v>
      </c>
      <c r="H768" s="3">
        <f>IF(Table1[[#This Row],[ShippedDate]]="","",IF(Table1[[#This Row],[OrderDate]]="","",Table1[[#This Row],[ShippedDate]]-Table1[[#This Row],[OrderDate]]))</f>
        <v>5</v>
      </c>
      <c r="I768" s="3">
        <v>3</v>
      </c>
      <c r="J768" s="2">
        <v>23.6</v>
      </c>
      <c r="K768" s="2">
        <f>SUMIF(order_details!A:A,Table1[[#This Row],[orderID]],order_details!F:F)</f>
        <v>243.18</v>
      </c>
      <c r="L768" s="9">
        <f>_xlfn.XLOOKUP(Table1[[#This Row],[orderID]],Table3[orderID],Table3[discount])</f>
        <v>0.1</v>
      </c>
      <c r="M768" s="2">
        <f>SUM(Table1[[#This Row],[Sales]],Table1[[#This Row],[freight]])</f>
        <v>266.78000000000003</v>
      </c>
      <c r="N768" s="3">
        <f>_xlfn.XLOOKUP(Table1[[#This Row],[orderID]],Table3[orderID],Table3[quantity])</f>
        <v>28</v>
      </c>
      <c r="O768" s="6" t="str">
        <f>_xlfn.XLOOKUP(Table1[[#This Row],[CustomerID]],customers!A:A,customers!B:B)</f>
        <v>LINO-Delicateses</v>
      </c>
      <c r="P768" s="6" t="str">
        <f>_xlfn.XLOOKUP(Table1[[#This Row],[shipperID]],Table6[shipperID],Table6[companyName])</f>
        <v>Federal Shipping</v>
      </c>
      <c r="Q768">
        <f>YEAR(Table1[[#This Row],[OrderDate]])</f>
        <v>2015</v>
      </c>
      <c r="R768">
        <f>MONTH(Table1[[#This Row],[OrderDate]])</f>
        <v>4</v>
      </c>
      <c r="S768" t="str">
        <f>"Q"&amp;ROUNDUP(Table1[[#This Row],[month]]/3,0)</f>
        <v>Q2</v>
      </c>
      <c r="T768" t="str">
        <f>CONCATENATE(Table1[[#This Row],[year]],"-",Table1[[#This Row],[Quarter]])</f>
        <v>2015-Q2</v>
      </c>
      <c r="U768" s="6" t="str">
        <f>IF(H767="","Pending",IF(Table1[[#This Row],[Days to ship]]&lt;Table1[[#This Row],[RequiredDate]],"On Time","Late"))</f>
        <v>On Time</v>
      </c>
      <c r="V768">
        <f>_xlfn.XLOOKUP(Table1[[#This Row],[orderID]],Table3[orderID],Table3[unitPrice])</f>
        <v>9.65</v>
      </c>
    </row>
    <row r="769" spans="1:22" x14ac:dyDescent="0.45">
      <c r="A769" s="3">
        <v>11015</v>
      </c>
      <c r="B769" s="6" t="s">
        <v>199</v>
      </c>
      <c r="C769" s="3">
        <v>2</v>
      </c>
      <c r="D769" s="6" t="str">
        <f>_xlfn.XLOOKUP(Table1[[#This Row],[EmployeeID]],Table4[employeeID],Table4[employeeName])</f>
        <v>Andrew Fuller</v>
      </c>
      <c r="E769" s="1">
        <v>42104</v>
      </c>
      <c r="F769" s="1">
        <v>42118</v>
      </c>
      <c r="G769" s="1">
        <v>42114</v>
      </c>
      <c r="H769" s="3">
        <f>IF(Table1[[#This Row],[ShippedDate]]="","",IF(Table1[[#This Row],[OrderDate]]="","",Table1[[#This Row],[ShippedDate]]-Table1[[#This Row],[OrderDate]]))</f>
        <v>10</v>
      </c>
      <c r="I769" s="3">
        <v>2</v>
      </c>
      <c r="J769" s="2">
        <v>4.62</v>
      </c>
      <c r="K769" s="2">
        <f>SUMIF(order_details!A:A,Table1[[#This Row],[orderID]],order_details!F:F)</f>
        <v>622.35</v>
      </c>
      <c r="L769" s="9">
        <f>_xlfn.XLOOKUP(Table1[[#This Row],[orderID]],Table3[orderID],Table3[discount])</f>
        <v>0</v>
      </c>
      <c r="M769" s="2">
        <f>SUM(Table1[[#This Row],[Sales]],Table1[[#This Row],[freight]])</f>
        <v>626.97</v>
      </c>
      <c r="N769" s="3">
        <f>_xlfn.XLOOKUP(Table1[[#This Row],[orderID]],Table3[orderID],Table3[quantity])</f>
        <v>15</v>
      </c>
      <c r="O769" s="6" t="str">
        <f>_xlfn.XLOOKUP(Table1[[#This Row],[CustomerID]],customers!A:A,customers!B:B)</f>
        <v>Santé Gourmet</v>
      </c>
      <c r="P769" s="6" t="str">
        <f>_xlfn.XLOOKUP(Table1[[#This Row],[shipperID]],Table6[shipperID],Table6[companyName])</f>
        <v>United Package</v>
      </c>
      <c r="Q769">
        <f>YEAR(Table1[[#This Row],[OrderDate]])</f>
        <v>2015</v>
      </c>
      <c r="R769">
        <f>MONTH(Table1[[#This Row],[OrderDate]])</f>
        <v>4</v>
      </c>
      <c r="S769" t="str">
        <f>"Q"&amp;ROUNDUP(Table1[[#This Row],[month]]/3,0)</f>
        <v>Q2</v>
      </c>
      <c r="T769" t="str">
        <f>CONCATENATE(Table1[[#This Row],[year]],"-",Table1[[#This Row],[Quarter]])</f>
        <v>2015-Q2</v>
      </c>
      <c r="U769" s="6" t="str">
        <f>IF(H768="","Pending",IF(Table1[[#This Row],[Days to ship]]&lt;Table1[[#This Row],[RequiredDate]],"On Time","Late"))</f>
        <v>On Time</v>
      </c>
      <c r="V769">
        <f>_xlfn.XLOOKUP(Table1[[#This Row],[orderID]],Table3[orderID],Table3[unitPrice])</f>
        <v>25.89</v>
      </c>
    </row>
    <row r="770" spans="1:22" x14ac:dyDescent="0.45">
      <c r="A770" s="3">
        <v>11016</v>
      </c>
      <c r="B770" s="6" t="s">
        <v>198</v>
      </c>
      <c r="C770" s="3">
        <v>9</v>
      </c>
      <c r="D770" s="6" t="str">
        <f>_xlfn.XLOOKUP(Table1[[#This Row],[EmployeeID]],Table4[employeeID],Table4[employeeName])</f>
        <v>Anne Dodsworth</v>
      </c>
      <c r="E770" s="1">
        <v>42104</v>
      </c>
      <c r="F770" s="1">
        <v>42132</v>
      </c>
      <c r="G770" s="1">
        <v>42107</v>
      </c>
      <c r="H770" s="3">
        <f>IF(Table1[[#This Row],[ShippedDate]]="","",IF(Table1[[#This Row],[OrderDate]]="","",Table1[[#This Row],[ShippedDate]]-Table1[[#This Row],[OrderDate]]))</f>
        <v>3</v>
      </c>
      <c r="I770" s="3">
        <v>2</v>
      </c>
      <c r="J770" s="2">
        <v>33.799999999999997</v>
      </c>
      <c r="K770" s="2">
        <f>SUMIF(order_details!A:A,Table1[[#This Row],[orderID]],order_details!F:F)</f>
        <v>491.5</v>
      </c>
      <c r="L770" s="9">
        <f>_xlfn.XLOOKUP(Table1[[#This Row],[orderID]],Table3[orderID],Table3[discount])</f>
        <v>0</v>
      </c>
      <c r="M770" s="2">
        <f>SUM(Table1[[#This Row],[Sales]],Table1[[#This Row],[freight]])</f>
        <v>525.29999999999995</v>
      </c>
      <c r="N770" s="3">
        <f>_xlfn.XLOOKUP(Table1[[#This Row],[orderID]],Table3[orderID],Table3[quantity])</f>
        <v>15</v>
      </c>
      <c r="O770" s="6" t="str">
        <f>_xlfn.XLOOKUP(Table1[[#This Row],[CustomerID]],customers!A:A,customers!B:B)</f>
        <v>Around the Horn</v>
      </c>
      <c r="P770" s="6" t="str">
        <f>_xlfn.XLOOKUP(Table1[[#This Row],[shipperID]],Table6[shipperID],Table6[companyName])</f>
        <v>United Package</v>
      </c>
      <c r="Q770">
        <f>YEAR(Table1[[#This Row],[OrderDate]])</f>
        <v>2015</v>
      </c>
      <c r="R770">
        <f>MONTH(Table1[[#This Row],[OrderDate]])</f>
        <v>4</v>
      </c>
      <c r="S770" t="str">
        <f>"Q"&amp;ROUNDUP(Table1[[#This Row],[month]]/3,0)</f>
        <v>Q2</v>
      </c>
      <c r="T770" t="str">
        <f>CONCATENATE(Table1[[#This Row],[year]],"-",Table1[[#This Row],[Quarter]])</f>
        <v>2015-Q2</v>
      </c>
      <c r="U770" s="6" t="str">
        <f>IF(H769="","Pending",IF(Table1[[#This Row],[Days to ship]]&lt;Table1[[#This Row],[RequiredDate]],"On Time","Late"))</f>
        <v>On Time</v>
      </c>
      <c r="V770">
        <f>_xlfn.XLOOKUP(Table1[[#This Row],[orderID]],Table3[orderID],Table3[unitPrice])</f>
        <v>12.5</v>
      </c>
    </row>
    <row r="771" spans="1:22" x14ac:dyDescent="0.45">
      <c r="A771" s="3">
        <v>11017</v>
      </c>
      <c r="B771" s="6" t="s">
        <v>158</v>
      </c>
      <c r="C771" s="3">
        <v>9</v>
      </c>
      <c r="D771" s="6" t="str">
        <f>_xlfn.XLOOKUP(Table1[[#This Row],[EmployeeID]],Table4[employeeID],Table4[employeeName])</f>
        <v>Anne Dodsworth</v>
      </c>
      <c r="E771" s="1">
        <v>42107</v>
      </c>
      <c r="F771" s="1">
        <v>42135</v>
      </c>
      <c r="G771" s="1">
        <v>42114</v>
      </c>
      <c r="H771" s="3">
        <f>IF(Table1[[#This Row],[ShippedDate]]="","",IF(Table1[[#This Row],[OrderDate]]="","",Table1[[#This Row],[ShippedDate]]-Table1[[#This Row],[OrderDate]]))</f>
        <v>7</v>
      </c>
      <c r="I771" s="3">
        <v>2</v>
      </c>
      <c r="J771" s="2">
        <v>754.26</v>
      </c>
      <c r="K771" s="2">
        <f>SUMIF(order_details!A:A,Table1[[#This Row],[orderID]],order_details!F:F)</f>
        <v>6750</v>
      </c>
      <c r="L771" s="9">
        <f>_xlfn.XLOOKUP(Table1[[#This Row],[orderID]],Table3[orderID],Table3[discount])</f>
        <v>0</v>
      </c>
      <c r="M771" s="2">
        <f>SUM(Table1[[#This Row],[Sales]],Table1[[#This Row],[freight]])</f>
        <v>7504.26</v>
      </c>
      <c r="N771" s="3">
        <f>_xlfn.XLOOKUP(Table1[[#This Row],[orderID]],Table3[orderID],Table3[quantity])</f>
        <v>25</v>
      </c>
      <c r="O771" s="6" t="str">
        <f>_xlfn.XLOOKUP(Table1[[#This Row],[CustomerID]],customers!A:A,customers!B:B)</f>
        <v>Ernst Handel</v>
      </c>
      <c r="P771" s="6" t="str">
        <f>_xlfn.XLOOKUP(Table1[[#This Row],[shipperID]],Table6[shipperID],Table6[companyName])</f>
        <v>United Package</v>
      </c>
      <c r="Q771">
        <f>YEAR(Table1[[#This Row],[OrderDate]])</f>
        <v>2015</v>
      </c>
      <c r="R771">
        <f>MONTH(Table1[[#This Row],[OrderDate]])</f>
        <v>4</v>
      </c>
      <c r="S771" t="str">
        <f>"Q"&amp;ROUNDUP(Table1[[#This Row],[month]]/3,0)</f>
        <v>Q2</v>
      </c>
      <c r="T771" t="str">
        <f>CONCATENATE(Table1[[#This Row],[year]],"-",Table1[[#This Row],[Quarter]])</f>
        <v>2015-Q2</v>
      </c>
      <c r="U771" s="6" t="str">
        <f>IF(H770="","Pending",IF(Table1[[#This Row],[Days to ship]]&lt;Table1[[#This Row],[RequiredDate]],"On Time","Late"))</f>
        <v>On Time</v>
      </c>
      <c r="V771">
        <f>_xlfn.XLOOKUP(Table1[[#This Row],[orderID]],Table3[orderID],Table3[unitPrice])</f>
        <v>10</v>
      </c>
    </row>
    <row r="772" spans="1:22" x14ac:dyDescent="0.45">
      <c r="A772" s="3">
        <v>11018</v>
      </c>
      <c r="B772" s="6" t="s">
        <v>197</v>
      </c>
      <c r="C772" s="3">
        <v>4</v>
      </c>
      <c r="D772" s="6" t="str">
        <f>_xlfn.XLOOKUP(Table1[[#This Row],[EmployeeID]],Table4[employeeID],Table4[employeeName])</f>
        <v>Margaret Peacock</v>
      </c>
      <c r="E772" s="1">
        <v>42107</v>
      </c>
      <c r="F772" s="1">
        <v>42135</v>
      </c>
      <c r="G772" s="1">
        <v>42110</v>
      </c>
      <c r="H772" s="3">
        <f>IF(Table1[[#This Row],[ShippedDate]]="","",IF(Table1[[#This Row],[OrderDate]]="","",Table1[[#This Row],[ShippedDate]]-Table1[[#This Row],[OrderDate]]))</f>
        <v>3</v>
      </c>
      <c r="I772" s="3">
        <v>2</v>
      </c>
      <c r="J772" s="2">
        <v>11.65</v>
      </c>
      <c r="K772" s="2">
        <f>SUMIF(order_details!A:A,Table1[[#This Row],[orderID]],order_details!F:F)</f>
        <v>1575</v>
      </c>
      <c r="L772" s="9">
        <f>_xlfn.XLOOKUP(Table1[[#This Row],[orderID]],Table3[orderID],Table3[discount])</f>
        <v>0</v>
      </c>
      <c r="M772" s="2">
        <f>SUM(Table1[[#This Row],[Sales]],Table1[[#This Row],[freight]])</f>
        <v>1586.65</v>
      </c>
      <c r="N772" s="3">
        <f>_xlfn.XLOOKUP(Table1[[#This Row],[orderID]],Table3[orderID],Table3[quantity])</f>
        <v>20</v>
      </c>
      <c r="O772" s="6" t="str">
        <f>_xlfn.XLOOKUP(Table1[[#This Row],[CustomerID]],customers!A:A,customers!B:B)</f>
        <v>Lonesome Pine Restaurant</v>
      </c>
      <c r="P772" s="6" t="str">
        <f>_xlfn.XLOOKUP(Table1[[#This Row],[shipperID]],Table6[shipperID],Table6[companyName])</f>
        <v>United Package</v>
      </c>
      <c r="Q772">
        <f>YEAR(Table1[[#This Row],[OrderDate]])</f>
        <v>2015</v>
      </c>
      <c r="R772">
        <f>MONTH(Table1[[#This Row],[OrderDate]])</f>
        <v>4</v>
      </c>
      <c r="S772" t="str">
        <f>"Q"&amp;ROUNDUP(Table1[[#This Row],[month]]/3,0)</f>
        <v>Q2</v>
      </c>
      <c r="T772" t="str">
        <f>CONCATENATE(Table1[[#This Row],[year]],"-",Table1[[#This Row],[Quarter]])</f>
        <v>2015-Q2</v>
      </c>
      <c r="U772" s="6" t="str">
        <f>IF(H771="","Pending",IF(Table1[[#This Row],[Days to ship]]&lt;Table1[[#This Row],[RequiredDate]],"On Time","Late"))</f>
        <v>On Time</v>
      </c>
      <c r="V772">
        <f>_xlfn.XLOOKUP(Table1[[#This Row],[orderID]],Table3[orderID],Table3[unitPrice])</f>
        <v>38</v>
      </c>
    </row>
    <row r="773" spans="1:22" x14ac:dyDescent="0.45">
      <c r="A773" s="3">
        <v>11019</v>
      </c>
      <c r="B773" s="6" t="s">
        <v>196</v>
      </c>
      <c r="C773" s="3">
        <v>6</v>
      </c>
      <c r="D773" s="6" t="str">
        <f>_xlfn.XLOOKUP(Table1[[#This Row],[EmployeeID]],Table4[employeeID],Table4[employeeName])</f>
        <v>Michael Suyama</v>
      </c>
      <c r="E773" s="1">
        <v>42107</v>
      </c>
      <c r="F773" s="1">
        <v>42135</v>
      </c>
      <c r="H773" s="3" t="str">
        <f>IF(Table1[[#This Row],[ShippedDate]]="","",IF(Table1[[#This Row],[OrderDate]]="","",Table1[[#This Row],[ShippedDate]]-Table1[[#This Row],[OrderDate]]))</f>
        <v/>
      </c>
      <c r="I773" s="3">
        <v>3</v>
      </c>
      <c r="J773" s="2">
        <v>3.17</v>
      </c>
      <c r="K773" s="2">
        <f>SUMIF(order_details!A:A,Table1[[#This Row],[orderID]],order_details!F:F)</f>
        <v>76</v>
      </c>
      <c r="L773" s="9">
        <f>_xlfn.XLOOKUP(Table1[[#This Row],[orderID]],Table3[orderID],Table3[discount])</f>
        <v>0</v>
      </c>
      <c r="M773" s="2">
        <f>SUM(Table1[[#This Row],[Sales]],Table1[[#This Row],[freight]])</f>
        <v>79.17</v>
      </c>
      <c r="N773" s="3">
        <f>_xlfn.XLOOKUP(Table1[[#This Row],[orderID]],Table3[orderID],Table3[quantity])</f>
        <v>3</v>
      </c>
      <c r="O773" s="6" t="str">
        <f>_xlfn.XLOOKUP(Table1[[#This Row],[CustomerID]],customers!A:A,customers!B:B)</f>
        <v>Rancho grande</v>
      </c>
      <c r="P773" s="6" t="str">
        <f>_xlfn.XLOOKUP(Table1[[#This Row],[shipperID]],Table6[shipperID],Table6[companyName])</f>
        <v>Federal Shipping</v>
      </c>
      <c r="Q773">
        <f>YEAR(Table1[[#This Row],[OrderDate]])</f>
        <v>2015</v>
      </c>
      <c r="R773">
        <f>MONTH(Table1[[#This Row],[OrderDate]])</f>
        <v>4</v>
      </c>
      <c r="S773" t="str">
        <f>"Q"&amp;ROUNDUP(Table1[[#This Row],[month]]/3,0)</f>
        <v>Q2</v>
      </c>
      <c r="T773" t="str">
        <f>CONCATENATE(Table1[[#This Row],[year]],"-",Table1[[#This Row],[Quarter]])</f>
        <v>2015-Q2</v>
      </c>
      <c r="U773" s="6" t="str">
        <f>IF(H772="","Pending",IF(Table1[[#This Row],[Days to ship]]&lt;Table1[[#This Row],[RequiredDate]],"On Time","Late"))</f>
        <v>Late</v>
      </c>
      <c r="V773">
        <f>_xlfn.XLOOKUP(Table1[[#This Row],[orderID]],Table3[orderID],Table3[unitPrice])</f>
        <v>12</v>
      </c>
    </row>
    <row r="774" spans="1:22" x14ac:dyDescent="0.45">
      <c r="A774" s="3">
        <v>11020</v>
      </c>
      <c r="B774" s="6" t="s">
        <v>195</v>
      </c>
      <c r="C774" s="3">
        <v>2</v>
      </c>
      <c r="D774" s="6" t="str">
        <f>_xlfn.XLOOKUP(Table1[[#This Row],[EmployeeID]],Table4[employeeID],Table4[employeeName])</f>
        <v>Andrew Fuller</v>
      </c>
      <c r="E774" s="1">
        <v>42108</v>
      </c>
      <c r="F774" s="1">
        <v>42136</v>
      </c>
      <c r="G774" s="1">
        <v>42110</v>
      </c>
      <c r="H774" s="3">
        <f>IF(Table1[[#This Row],[ShippedDate]]="","",IF(Table1[[#This Row],[OrderDate]]="","",Table1[[#This Row],[ShippedDate]]-Table1[[#This Row],[OrderDate]]))</f>
        <v>2</v>
      </c>
      <c r="I774" s="3">
        <v>2</v>
      </c>
      <c r="J774" s="2">
        <v>43.3</v>
      </c>
      <c r="K774" s="2">
        <f>SUMIF(order_details!A:A,Table1[[#This Row],[orderID]],order_details!F:F)</f>
        <v>632.4</v>
      </c>
      <c r="L774" s="9">
        <f>_xlfn.XLOOKUP(Table1[[#This Row],[orderID]],Table3[orderID],Table3[discount])</f>
        <v>0.15</v>
      </c>
      <c r="M774" s="2">
        <f>SUM(Table1[[#This Row],[Sales]],Table1[[#This Row],[freight]])</f>
        <v>675.69999999999993</v>
      </c>
      <c r="N774" s="3">
        <f>_xlfn.XLOOKUP(Table1[[#This Row],[orderID]],Table3[orderID],Table3[quantity])</f>
        <v>24</v>
      </c>
      <c r="O774" s="6" t="str">
        <f>_xlfn.XLOOKUP(Table1[[#This Row],[CustomerID]],customers!A:A,customers!B:B)</f>
        <v>Ottilies Käseladen</v>
      </c>
      <c r="P774" s="6" t="str">
        <f>_xlfn.XLOOKUP(Table1[[#This Row],[shipperID]],Table6[shipperID],Table6[companyName])</f>
        <v>United Package</v>
      </c>
      <c r="Q774">
        <f>YEAR(Table1[[#This Row],[OrderDate]])</f>
        <v>2015</v>
      </c>
      <c r="R774">
        <f>MONTH(Table1[[#This Row],[OrderDate]])</f>
        <v>4</v>
      </c>
      <c r="S774" t="str">
        <f>"Q"&amp;ROUNDUP(Table1[[#This Row],[month]]/3,0)</f>
        <v>Q2</v>
      </c>
      <c r="T774" t="str">
        <f>CONCATENATE(Table1[[#This Row],[year]],"-",Table1[[#This Row],[Quarter]])</f>
        <v>2015-Q2</v>
      </c>
      <c r="U774" s="6" t="str">
        <f>IF(H773="","Pending",IF(Table1[[#This Row],[Days to ship]]&lt;Table1[[#This Row],[RequiredDate]],"On Time","Late"))</f>
        <v>Pending</v>
      </c>
      <c r="V774">
        <f>_xlfn.XLOOKUP(Table1[[#This Row],[orderID]],Table3[orderID],Table3[unitPrice])</f>
        <v>31</v>
      </c>
    </row>
    <row r="775" spans="1:22" x14ac:dyDescent="0.45">
      <c r="A775" s="3">
        <v>11021</v>
      </c>
      <c r="B775" s="6" t="s">
        <v>194</v>
      </c>
      <c r="C775" s="3">
        <v>3</v>
      </c>
      <c r="D775" s="6" t="str">
        <f>_xlfn.XLOOKUP(Table1[[#This Row],[EmployeeID]],Table4[employeeID],Table4[employeeName])</f>
        <v>Janet Leverling</v>
      </c>
      <c r="E775" s="1">
        <v>42108</v>
      </c>
      <c r="F775" s="1">
        <v>42136</v>
      </c>
      <c r="G775" s="1">
        <v>42115</v>
      </c>
      <c r="H775" s="3">
        <f>IF(Table1[[#This Row],[ShippedDate]]="","",IF(Table1[[#This Row],[OrderDate]]="","",Table1[[#This Row],[ShippedDate]]-Table1[[#This Row],[OrderDate]]))</f>
        <v>7</v>
      </c>
      <c r="I775" s="3">
        <v>1</v>
      </c>
      <c r="J775" s="2">
        <v>297.18</v>
      </c>
      <c r="K775" s="2">
        <f>SUMIF(order_details!A:A,Table1[[#This Row],[orderID]],order_details!F:F)</f>
        <v>6306.24</v>
      </c>
      <c r="L775" s="9">
        <f>_xlfn.XLOOKUP(Table1[[#This Row],[orderID]],Table3[orderID],Table3[discount])</f>
        <v>0.25</v>
      </c>
      <c r="M775" s="2">
        <f>SUM(Table1[[#This Row],[Sales]],Table1[[#This Row],[freight]])</f>
        <v>6603.42</v>
      </c>
      <c r="N775" s="3">
        <f>_xlfn.XLOOKUP(Table1[[#This Row],[orderID]],Table3[orderID],Table3[quantity])</f>
        <v>11</v>
      </c>
      <c r="O775" s="6" t="str">
        <f>_xlfn.XLOOKUP(Table1[[#This Row],[CustomerID]],customers!A:A,customers!B:B)</f>
        <v>QUICK-Stop</v>
      </c>
      <c r="P775" s="6" t="str">
        <f>_xlfn.XLOOKUP(Table1[[#This Row],[shipperID]],Table6[shipperID],Table6[companyName])</f>
        <v>Speedy Express</v>
      </c>
      <c r="Q775">
        <f>YEAR(Table1[[#This Row],[OrderDate]])</f>
        <v>2015</v>
      </c>
      <c r="R775">
        <f>MONTH(Table1[[#This Row],[OrderDate]])</f>
        <v>4</v>
      </c>
      <c r="S775" t="str">
        <f>"Q"&amp;ROUNDUP(Table1[[#This Row],[month]]/3,0)</f>
        <v>Q2</v>
      </c>
      <c r="T775" t="str">
        <f>CONCATENATE(Table1[[#This Row],[year]],"-",Table1[[#This Row],[Quarter]])</f>
        <v>2015-Q2</v>
      </c>
      <c r="U775" s="6" t="str">
        <f>IF(H774="","Pending",IF(Table1[[#This Row],[Days to ship]]&lt;Table1[[#This Row],[RequiredDate]],"On Time","Late"))</f>
        <v>On Time</v>
      </c>
      <c r="V775">
        <f>_xlfn.XLOOKUP(Table1[[#This Row],[orderID]],Table3[orderID],Table3[unitPrice])</f>
        <v>19</v>
      </c>
    </row>
    <row r="776" spans="1:22" x14ac:dyDescent="0.45">
      <c r="A776" s="3">
        <v>11022</v>
      </c>
      <c r="B776" s="6" t="s">
        <v>177</v>
      </c>
      <c r="C776" s="3">
        <v>9</v>
      </c>
      <c r="D776" s="6" t="str">
        <f>_xlfn.XLOOKUP(Table1[[#This Row],[EmployeeID]],Table4[employeeID],Table4[employeeName])</f>
        <v>Anne Dodsworth</v>
      </c>
      <c r="E776" s="1">
        <v>42108</v>
      </c>
      <c r="F776" s="1">
        <v>42136</v>
      </c>
      <c r="G776" s="1">
        <v>42128</v>
      </c>
      <c r="H776" s="3">
        <f>IF(Table1[[#This Row],[ShippedDate]]="","",IF(Table1[[#This Row],[OrderDate]]="","",Table1[[#This Row],[ShippedDate]]-Table1[[#This Row],[OrderDate]]))</f>
        <v>20</v>
      </c>
      <c r="I776" s="3">
        <v>2</v>
      </c>
      <c r="J776" s="2">
        <v>6.27</v>
      </c>
      <c r="K776" s="2">
        <f>SUMIF(order_details!A:A,Table1[[#This Row],[orderID]],order_details!F:F)</f>
        <v>1402</v>
      </c>
      <c r="L776" s="9">
        <f>_xlfn.XLOOKUP(Table1[[#This Row],[orderID]],Table3[orderID],Table3[discount])</f>
        <v>0</v>
      </c>
      <c r="M776" s="2">
        <f>SUM(Table1[[#This Row],[Sales]],Table1[[#This Row],[freight]])</f>
        <v>1408.27</v>
      </c>
      <c r="N776" s="3">
        <f>_xlfn.XLOOKUP(Table1[[#This Row],[orderID]],Table3[orderID],Table3[quantity])</f>
        <v>35</v>
      </c>
      <c r="O776" s="6" t="str">
        <f>_xlfn.XLOOKUP(Table1[[#This Row],[CustomerID]],customers!A:A,customers!B:B)</f>
        <v>Hanari Carnes</v>
      </c>
      <c r="P776" s="6" t="str">
        <f>_xlfn.XLOOKUP(Table1[[#This Row],[shipperID]],Table6[shipperID],Table6[companyName])</f>
        <v>United Package</v>
      </c>
      <c r="Q776">
        <f>YEAR(Table1[[#This Row],[OrderDate]])</f>
        <v>2015</v>
      </c>
      <c r="R776">
        <f>MONTH(Table1[[#This Row],[OrderDate]])</f>
        <v>4</v>
      </c>
      <c r="S776" t="str">
        <f>"Q"&amp;ROUNDUP(Table1[[#This Row],[month]]/3,0)</f>
        <v>Q2</v>
      </c>
      <c r="T776" t="str">
        <f>CONCATENATE(Table1[[#This Row],[year]],"-",Table1[[#This Row],[Quarter]])</f>
        <v>2015-Q2</v>
      </c>
      <c r="U776" s="6" t="str">
        <f>IF(H775="","Pending",IF(Table1[[#This Row],[Days to ship]]&lt;Table1[[#This Row],[RequiredDate]],"On Time","Late"))</f>
        <v>On Time</v>
      </c>
      <c r="V776">
        <f>_xlfn.XLOOKUP(Table1[[#This Row],[orderID]],Table3[orderID],Table3[unitPrice])</f>
        <v>9.1999999999999993</v>
      </c>
    </row>
    <row r="777" spans="1:22" x14ac:dyDescent="0.45">
      <c r="A777" s="3">
        <v>11023</v>
      </c>
      <c r="B777" s="6" t="s">
        <v>193</v>
      </c>
      <c r="C777" s="3">
        <v>1</v>
      </c>
      <c r="D777" s="6" t="str">
        <f>_xlfn.XLOOKUP(Table1[[#This Row],[EmployeeID]],Table4[employeeID],Table4[employeeName])</f>
        <v>Nancy Davolio</v>
      </c>
      <c r="E777" s="1">
        <v>42108</v>
      </c>
      <c r="F777" s="1">
        <v>42122</v>
      </c>
      <c r="G777" s="1">
        <v>42118</v>
      </c>
      <c r="H777" s="3">
        <f>IF(Table1[[#This Row],[ShippedDate]]="","",IF(Table1[[#This Row],[OrderDate]]="","",Table1[[#This Row],[ShippedDate]]-Table1[[#This Row],[OrderDate]]))</f>
        <v>10</v>
      </c>
      <c r="I777" s="3">
        <v>2</v>
      </c>
      <c r="J777" s="2">
        <v>123.83</v>
      </c>
      <c r="K777" s="2">
        <f>SUMIF(order_details!A:A,Table1[[#This Row],[orderID]],order_details!F:F)</f>
        <v>1500</v>
      </c>
      <c r="L777" s="9">
        <f>_xlfn.XLOOKUP(Table1[[#This Row],[orderID]],Table3[orderID],Table3[discount])</f>
        <v>0</v>
      </c>
      <c r="M777" s="2">
        <f>SUM(Table1[[#This Row],[Sales]],Table1[[#This Row],[freight]])</f>
        <v>1623.83</v>
      </c>
      <c r="N777" s="3">
        <f>_xlfn.XLOOKUP(Table1[[#This Row],[orderID]],Table3[orderID],Table3[quantity])</f>
        <v>4</v>
      </c>
      <c r="O777" s="6" t="str">
        <f>_xlfn.XLOOKUP(Table1[[#This Row],[CustomerID]],customers!A:A,customers!B:B)</f>
        <v>B's Beverages</v>
      </c>
      <c r="P777" s="6" t="str">
        <f>_xlfn.XLOOKUP(Table1[[#This Row],[shipperID]],Table6[shipperID],Table6[companyName])</f>
        <v>United Package</v>
      </c>
      <c r="Q777">
        <f>YEAR(Table1[[#This Row],[OrderDate]])</f>
        <v>2015</v>
      </c>
      <c r="R777">
        <f>MONTH(Table1[[#This Row],[OrderDate]])</f>
        <v>4</v>
      </c>
      <c r="S777" t="str">
        <f>"Q"&amp;ROUNDUP(Table1[[#This Row],[month]]/3,0)</f>
        <v>Q2</v>
      </c>
      <c r="T777" t="str">
        <f>CONCATENATE(Table1[[#This Row],[year]],"-",Table1[[#This Row],[Quarter]])</f>
        <v>2015-Q2</v>
      </c>
      <c r="U777" s="6" t="str">
        <f>IF(H776="","Pending",IF(Table1[[#This Row],[Days to ship]]&lt;Table1[[#This Row],[RequiredDate]],"On Time","Late"))</f>
        <v>On Time</v>
      </c>
      <c r="V777">
        <f>_xlfn.XLOOKUP(Table1[[#This Row],[orderID]],Table3[orderID],Table3[unitPrice])</f>
        <v>30</v>
      </c>
    </row>
    <row r="778" spans="1:22" x14ac:dyDescent="0.45">
      <c r="A778" s="3">
        <v>11024</v>
      </c>
      <c r="B778" s="6" t="s">
        <v>173</v>
      </c>
      <c r="C778" s="3">
        <v>4</v>
      </c>
      <c r="D778" s="6" t="str">
        <f>_xlfn.XLOOKUP(Table1[[#This Row],[EmployeeID]],Table4[employeeID],Table4[employeeName])</f>
        <v>Margaret Peacock</v>
      </c>
      <c r="E778" s="1">
        <v>42109</v>
      </c>
      <c r="F778" s="1">
        <v>42137</v>
      </c>
      <c r="G778" s="1">
        <v>42114</v>
      </c>
      <c r="H778" s="3">
        <f>IF(Table1[[#This Row],[ShippedDate]]="","",IF(Table1[[#This Row],[OrderDate]]="","",Table1[[#This Row],[ShippedDate]]-Table1[[#This Row],[OrderDate]]))</f>
        <v>5</v>
      </c>
      <c r="I778" s="3">
        <v>1</v>
      </c>
      <c r="J778" s="2">
        <v>74.36</v>
      </c>
      <c r="K778" s="2">
        <f>SUMIF(order_details!A:A,Table1[[#This Row],[orderID]],order_details!F:F)</f>
        <v>1966.81</v>
      </c>
      <c r="L778" s="9">
        <f>_xlfn.XLOOKUP(Table1[[#This Row],[orderID]],Table3[orderID],Table3[discount])</f>
        <v>0</v>
      </c>
      <c r="M778" s="2">
        <f>SUM(Table1[[#This Row],[Sales]],Table1[[#This Row],[freight]])</f>
        <v>2041.1699999999998</v>
      </c>
      <c r="N778" s="3">
        <f>_xlfn.XLOOKUP(Table1[[#This Row],[orderID]],Table3[orderID],Table3[quantity])</f>
        <v>12</v>
      </c>
      <c r="O778" s="6" t="str">
        <f>_xlfn.XLOOKUP(Table1[[#This Row],[CustomerID]],customers!A:A,customers!B:B)</f>
        <v>Eastern Connection</v>
      </c>
      <c r="P778" s="6" t="str">
        <f>_xlfn.XLOOKUP(Table1[[#This Row],[shipperID]],Table6[shipperID],Table6[companyName])</f>
        <v>Speedy Express</v>
      </c>
      <c r="Q778">
        <f>YEAR(Table1[[#This Row],[OrderDate]])</f>
        <v>2015</v>
      </c>
      <c r="R778">
        <f>MONTH(Table1[[#This Row],[OrderDate]])</f>
        <v>4</v>
      </c>
      <c r="S778" t="str">
        <f>"Q"&amp;ROUNDUP(Table1[[#This Row],[month]]/3,0)</f>
        <v>Q2</v>
      </c>
      <c r="T778" t="str">
        <f>CONCATENATE(Table1[[#This Row],[year]],"-",Table1[[#This Row],[Quarter]])</f>
        <v>2015-Q2</v>
      </c>
      <c r="U778" s="6" t="str">
        <f>IF(H777="","Pending",IF(Table1[[#This Row],[Days to ship]]&lt;Table1[[#This Row],[RequiredDate]],"On Time","Late"))</f>
        <v>On Time</v>
      </c>
      <c r="V778">
        <f>_xlfn.XLOOKUP(Table1[[#This Row],[orderID]],Table3[orderID],Table3[unitPrice])</f>
        <v>31.23</v>
      </c>
    </row>
    <row r="779" spans="1:22" x14ac:dyDescent="0.45">
      <c r="A779" s="3">
        <v>11025</v>
      </c>
      <c r="B779" s="6" t="s">
        <v>192</v>
      </c>
      <c r="C779" s="3">
        <v>6</v>
      </c>
      <c r="D779" s="6" t="str">
        <f>_xlfn.XLOOKUP(Table1[[#This Row],[EmployeeID]],Table4[employeeID],Table4[employeeName])</f>
        <v>Michael Suyama</v>
      </c>
      <c r="E779" s="1">
        <v>42109</v>
      </c>
      <c r="F779" s="1">
        <v>42137</v>
      </c>
      <c r="G779" s="1">
        <v>42118</v>
      </c>
      <c r="H779" s="3">
        <f>IF(Table1[[#This Row],[ShippedDate]]="","",IF(Table1[[#This Row],[OrderDate]]="","",Table1[[#This Row],[ShippedDate]]-Table1[[#This Row],[OrderDate]]))</f>
        <v>9</v>
      </c>
      <c r="I779" s="3">
        <v>3</v>
      </c>
      <c r="J779" s="2">
        <v>29.17</v>
      </c>
      <c r="K779" s="2">
        <f>SUMIF(order_details!A:A,Table1[[#This Row],[orderID]],order_details!F:F)</f>
        <v>270</v>
      </c>
      <c r="L779" s="9">
        <f>_xlfn.XLOOKUP(Table1[[#This Row],[orderID]],Table3[orderID],Table3[discount])</f>
        <v>0.1</v>
      </c>
      <c r="M779" s="2">
        <f>SUM(Table1[[#This Row],[Sales]],Table1[[#This Row],[freight]])</f>
        <v>299.17</v>
      </c>
      <c r="N779" s="3">
        <f>_xlfn.XLOOKUP(Table1[[#This Row],[orderID]],Table3[orderID],Table3[quantity])</f>
        <v>10</v>
      </c>
      <c r="O779" s="6" t="str">
        <f>_xlfn.XLOOKUP(Table1[[#This Row],[CustomerID]],customers!A:A,customers!B:B)</f>
        <v>Wartian Herkku</v>
      </c>
      <c r="P779" s="6" t="str">
        <f>_xlfn.XLOOKUP(Table1[[#This Row],[shipperID]],Table6[shipperID],Table6[companyName])</f>
        <v>Federal Shipping</v>
      </c>
      <c r="Q779">
        <f>YEAR(Table1[[#This Row],[OrderDate]])</f>
        <v>2015</v>
      </c>
      <c r="R779">
        <f>MONTH(Table1[[#This Row],[OrderDate]])</f>
        <v>4</v>
      </c>
      <c r="S779" t="str">
        <f>"Q"&amp;ROUNDUP(Table1[[#This Row],[month]]/3,0)</f>
        <v>Q2</v>
      </c>
      <c r="T779" t="str">
        <f>CONCATENATE(Table1[[#This Row],[year]],"-",Table1[[#This Row],[Quarter]])</f>
        <v>2015-Q2</v>
      </c>
      <c r="U779" s="6" t="str">
        <f>IF(H778="","Pending",IF(Table1[[#This Row],[Days to ship]]&lt;Table1[[#This Row],[RequiredDate]],"On Time","Late"))</f>
        <v>On Time</v>
      </c>
      <c r="V779">
        <f>_xlfn.XLOOKUP(Table1[[#This Row],[orderID]],Table3[orderID],Table3[unitPrice])</f>
        <v>18</v>
      </c>
    </row>
    <row r="780" spans="1:22" x14ac:dyDescent="0.45">
      <c r="A780" s="3">
        <v>11026</v>
      </c>
      <c r="B780" s="6" t="s">
        <v>169</v>
      </c>
      <c r="C780" s="3">
        <v>4</v>
      </c>
      <c r="D780" s="6" t="str">
        <f>_xlfn.XLOOKUP(Table1[[#This Row],[EmployeeID]],Table4[employeeID],Table4[employeeName])</f>
        <v>Margaret Peacock</v>
      </c>
      <c r="E780" s="1">
        <v>42109</v>
      </c>
      <c r="F780" s="1">
        <v>42137</v>
      </c>
      <c r="G780" s="1">
        <v>42122</v>
      </c>
      <c r="H780" s="3">
        <f>IF(Table1[[#This Row],[ShippedDate]]="","",IF(Table1[[#This Row],[OrderDate]]="","",Table1[[#This Row],[ShippedDate]]-Table1[[#This Row],[OrderDate]]))</f>
        <v>13</v>
      </c>
      <c r="I780" s="3">
        <v>1</v>
      </c>
      <c r="J780" s="2">
        <v>47.09</v>
      </c>
      <c r="K780" s="2">
        <f>SUMIF(order_details!A:A,Table1[[#This Row],[orderID]],order_details!F:F)</f>
        <v>1030</v>
      </c>
      <c r="L780" s="9">
        <f>_xlfn.XLOOKUP(Table1[[#This Row],[orderID]],Table3[orderID],Table3[discount])</f>
        <v>0</v>
      </c>
      <c r="M780" s="2">
        <f>SUM(Table1[[#This Row],[Sales]],Table1[[#This Row],[freight]])</f>
        <v>1077.0899999999999</v>
      </c>
      <c r="N780" s="3">
        <f>_xlfn.XLOOKUP(Table1[[#This Row],[orderID]],Table3[orderID],Table3[quantity])</f>
        <v>8</v>
      </c>
      <c r="O780" s="6" t="str">
        <f>_xlfn.XLOOKUP(Table1[[#This Row],[CustomerID]],customers!A:A,customers!B:B)</f>
        <v>Franchi S.p.A.</v>
      </c>
      <c r="P780" s="6" t="str">
        <f>_xlfn.XLOOKUP(Table1[[#This Row],[shipperID]],Table6[shipperID],Table6[companyName])</f>
        <v>Speedy Express</v>
      </c>
      <c r="Q780">
        <f>YEAR(Table1[[#This Row],[OrderDate]])</f>
        <v>2015</v>
      </c>
      <c r="R780">
        <f>MONTH(Table1[[#This Row],[OrderDate]])</f>
        <v>4</v>
      </c>
      <c r="S780" t="str">
        <f>"Q"&amp;ROUNDUP(Table1[[#This Row],[month]]/3,0)</f>
        <v>Q2</v>
      </c>
      <c r="T780" t="str">
        <f>CONCATENATE(Table1[[#This Row],[year]],"-",Table1[[#This Row],[Quarter]])</f>
        <v>2015-Q2</v>
      </c>
      <c r="U780" s="6" t="str">
        <f>IF(H779="","Pending",IF(Table1[[#This Row],[Days to ship]]&lt;Table1[[#This Row],[RequiredDate]],"On Time","Late"))</f>
        <v>On Time</v>
      </c>
      <c r="V780">
        <f>_xlfn.XLOOKUP(Table1[[#This Row],[orderID]],Table3[orderID],Table3[unitPrice])</f>
        <v>62.5</v>
      </c>
    </row>
    <row r="781" spans="1:22" x14ac:dyDescent="0.45">
      <c r="A781" s="3">
        <v>11027</v>
      </c>
      <c r="B781" s="6" t="s">
        <v>181</v>
      </c>
      <c r="C781" s="3">
        <v>1</v>
      </c>
      <c r="D781" s="6" t="str">
        <f>_xlfn.XLOOKUP(Table1[[#This Row],[EmployeeID]],Table4[employeeID],Table4[employeeName])</f>
        <v>Nancy Davolio</v>
      </c>
      <c r="E781" s="1">
        <v>42110</v>
      </c>
      <c r="F781" s="1">
        <v>42138</v>
      </c>
      <c r="G781" s="1">
        <v>42114</v>
      </c>
      <c r="H781" s="3">
        <f>IF(Table1[[#This Row],[ShippedDate]]="","",IF(Table1[[#This Row],[OrderDate]]="","",Table1[[#This Row],[ShippedDate]]-Table1[[#This Row],[OrderDate]]))</f>
        <v>4</v>
      </c>
      <c r="I781" s="3">
        <v>1</v>
      </c>
      <c r="J781" s="2">
        <v>52.52</v>
      </c>
      <c r="K781" s="2">
        <f>SUMIF(order_details!A:A,Table1[[#This Row],[orderID]],order_details!F:F)</f>
        <v>877.72499999999991</v>
      </c>
      <c r="L781" s="9">
        <f>_xlfn.XLOOKUP(Table1[[#This Row],[orderID]],Table3[orderID],Table3[discount])</f>
        <v>0.25</v>
      </c>
      <c r="M781" s="2">
        <f>SUM(Table1[[#This Row],[Sales]],Table1[[#This Row],[freight]])</f>
        <v>930.24499999999989</v>
      </c>
      <c r="N781" s="3">
        <f>_xlfn.XLOOKUP(Table1[[#This Row],[orderID]],Table3[orderID],Table3[quantity])</f>
        <v>30</v>
      </c>
      <c r="O781" s="6" t="str">
        <f>_xlfn.XLOOKUP(Table1[[#This Row],[CustomerID]],customers!A:A,customers!B:B)</f>
        <v>Bottom-Dollar Markets</v>
      </c>
      <c r="P781" s="6" t="str">
        <f>_xlfn.XLOOKUP(Table1[[#This Row],[shipperID]],Table6[shipperID],Table6[companyName])</f>
        <v>Speedy Express</v>
      </c>
      <c r="Q781">
        <f>YEAR(Table1[[#This Row],[OrderDate]])</f>
        <v>2015</v>
      </c>
      <c r="R781">
        <f>MONTH(Table1[[#This Row],[OrderDate]])</f>
        <v>4</v>
      </c>
      <c r="S781" t="str">
        <f>"Q"&amp;ROUNDUP(Table1[[#This Row],[month]]/3,0)</f>
        <v>Q2</v>
      </c>
      <c r="T781" t="str">
        <f>CONCATENATE(Table1[[#This Row],[year]],"-",Table1[[#This Row],[Quarter]])</f>
        <v>2015-Q2</v>
      </c>
      <c r="U781" s="6" t="str">
        <f>IF(H780="","Pending",IF(Table1[[#This Row],[Days to ship]]&lt;Table1[[#This Row],[RequiredDate]],"On Time","Late"))</f>
        <v>On Time</v>
      </c>
      <c r="V781">
        <f>_xlfn.XLOOKUP(Table1[[#This Row],[orderID]],Table3[orderID],Table3[unitPrice])</f>
        <v>4.5</v>
      </c>
    </row>
    <row r="782" spans="1:22" x14ac:dyDescent="0.45">
      <c r="A782" s="3">
        <v>11028</v>
      </c>
      <c r="B782" s="6" t="s">
        <v>191</v>
      </c>
      <c r="C782" s="3">
        <v>2</v>
      </c>
      <c r="D782" s="6" t="str">
        <f>_xlfn.XLOOKUP(Table1[[#This Row],[EmployeeID]],Table4[employeeID],Table4[employeeName])</f>
        <v>Andrew Fuller</v>
      </c>
      <c r="E782" s="1">
        <v>42110</v>
      </c>
      <c r="F782" s="1">
        <v>42138</v>
      </c>
      <c r="G782" s="1">
        <v>42116</v>
      </c>
      <c r="H782" s="3">
        <f>IF(Table1[[#This Row],[ShippedDate]]="","",IF(Table1[[#This Row],[OrderDate]]="","",Table1[[#This Row],[ShippedDate]]-Table1[[#This Row],[OrderDate]]))</f>
        <v>6</v>
      </c>
      <c r="I782" s="3">
        <v>1</v>
      </c>
      <c r="J782" s="2">
        <v>29.59</v>
      </c>
      <c r="K782" s="2">
        <f>SUMIF(order_details!A:A,Table1[[#This Row],[orderID]],order_details!F:F)</f>
        <v>2160</v>
      </c>
      <c r="L782" s="9">
        <f>_xlfn.XLOOKUP(Table1[[#This Row],[orderID]],Table3[orderID],Table3[discount])</f>
        <v>0</v>
      </c>
      <c r="M782" s="2">
        <f>SUM(Table1[[#This Row],[Sales]],Table1[[#This Row],[freight]])</f>
        <v>2189.59</v>
      </c>
      <c r="N782" s="3">
        <f>_xlfn.XLOOKUP(Table1[[#This Row],[orderID]],Table3[orderID],Table3[quantity])</f>
        <v>35</v>
      </c>
      <c r="O782" s="6" t="str">
        <f>_xlfn.XLOOKUP(Table1[[#This Row],[CustomerID]],customers!A:A,customers!B:B)</f>
        <v>Königlich Essen</v>
      </c>
      <c r="P782" s="6" t="str">
        <f>_xlfn.XLOOKUP(Table1[[#This Row],[shipperID]],Table6[shipperID],Table6[companyName])</f>
        <v>Speedy Express</v>
      </c>
      <c r="Q782">
        <f>YEAR(Table1[[#This Row],[OrderDate]])</f>
        <v>2015</v>
      </c>
      <c r="R782">
        <f>MONTH(Table1[[#This Row],[OrderDate]])</f>
        <v>4</v>
      </c>
      <c r="S782" t="str">
        <f>"Q"&amp;ROUNDUP(Table1[[#This Row],[month]]/3,0)</f>
        <v>Q2</v>
      </c>
      <c r="T782" t="str">
        <f>CONCATENATE(Table1[[#This Row],[year]],"-",Table1[[#This Row],[Quarter]])</f>
        <v>2015-Q2</v>
      </c>
      <c r="U782" s="6" t="str">
        <f>IF(H781="","Pending",IF(Table1[[#This Row],[Days to ship]]&lt;Table1[[#This Row],[RequiredDate]],"On Time","Late"))</f>
        <v>On Time</v>
      </c>
      <c r="V782">
        <f>_xlfn.XLOOKUP(Table1[[#This Row],[orderID]],Table3[orderID],Table3[unitPrice])</f>
        <v>24</v>
      </c>
    </row>
    <row r="783" spans="1:22" x14ac:dyDescent="0.45">
      <c r="A783" s="3">
        <v>11029</v>
      </c>
      <c r="B783" s="6" t="s">
        <v>186</v>
      </c>
      <c r="C783" s="3">
        <v>4</v>
      </c>
      <c r="D783" s="6" t="str">
        <f>_xlfn.XLOOKUP(Table1[[#This Row],[EmployeeID]],Table4[employeeID],Table4[employeeName])</f>
        <v>Margaret Peacock</v>
      </c>
      <c r="E783" s="1">
        <v>42110</v>
      </c>
      <c r="F783" s="1">
        <v>42138</v>
      </c>
      <c r="G783" s="1">
        <v>42121</v>
      </c>
      <c r="H783" s="3">
        <f>IF(Table1[[#This Row],[ShippedDate]]="","",IF(Table1[[#This Row],[OrderDate]]="","",Table1[[#This Row],[ShippedDate]]-Table1[[#This Row],[OrderDate]]))</f>
        <v>11</v>
      </c>
      <c r="I783" s="3">
        <v>1</v>
      </c>
      <c r="J783" s="2">
        <v>47.84</v>
      </c>
      <c r="K783" s="2">
        <f>SUMIF(order_details!A:A,Table1[[#This Row],[orderID]],order_details!F:F)</f>
        <v>1286.8</v>
      </c>
      <c r="L783" s="9">
        <f>_xlfn.XLOOKUP(Table1[[#This Row],[orderID]],Table3[orderID],Table3[discount])</f>
        <v>0</v>
      </c>
      <c r="M783" s="2">
        <f>SUM(Table1[[#This Row],[Sales]],Table1[[#This Row],[freight]])</f>
        <v>1334.6399999999999</v>
      </c>
      <c r="N783" s="3">
        <f>_xlfn.XLOOKUP(Table1[[#This Row],[orderID]],Table3[orderID],Table3[quantity])</f>
        <v>20</v>
      </c>
      <c r="O783" s="6" t="str">
        <f>_xlfn.XLOOKUP(Table1[[#This Row],[CustomerID]],customers!A:A,customers!B:B)</f>
        <v>Chop-suey Chinese</v>
      </c>
      <c r="P783" s="6" t="str">
        <f>_xlfn.XLOOKUP(Table1[[#This Row],[shipperID]],Table6[shipperID],Table6[companyName])</f>
        <v>Speedy Express</v>
      </c>
      <c r="Q783">
        <f>YEAR(Table1[[#This Row],[OrderDate]])</f>
        <v>2015</v>
      </c>
      <c r="R783">
        <f>MONTH(Table1[[#This Row],[OrderDate]])</f>
        <v>4</v>
      </c>
      <c r="S783" t="str">
        <f>"Q"&amp;ROUNDUP(Table1[[#This Row],[month]]/3,0)</f>
        <v>Q2</v>
      </c>
      <c r="T783" t="str">
        <f>CONCATENATE(Table1[[#This Row],[year]],"-",Table1[[#This Row],[Quarter]])</f>
        <v>2015-Q2</v>
      </c>
      <c r="U783" s="6" t="str">
        <f>IF(H782="","Pending",IF(Table1[[#This Row],[Days to ship]]&lt;Table1[[#This Row],[RequiredDate]],"On Time","Late"))</f>
        <v>On Time</v>
      </c>
      <c r="V783">
        <f>_xlfn.XLOOKUP(Table1[[#This Row],[orderID]],Table3[orderID],Table3[unitPrice])</f>
        <v>38</v>
      </c>
    </row>
    <row r="784" spans="1:22" x14ac:dyDescent="0.45">
      <c r="A784" s="3">
        <v>11030</v>
      </c>
      <c r="B784" s="6" t="s">
        <v>165</v>
      </c>
      <c r="C784" s="3">
        <v>7</v>
      </c>
      <c r="D784" s="6" t="str">
        <f>_xlfn.XLOOKUP(Table1[[#This Row],[EmployeeID]],Table4[employeeID],Table4[employeeName])</f>
        <v>Robert King</v>
      </c>
      <c r="E784" s="1">
        <v>42111</v>
      </c>
      <c r="F784" s="1">
        <v>42139</v>
      </c>
      <c r="G784" s="1">
        <v>42121</v>
      </c>
      <c r="H784" s="3">
        <f>IF(Table1[[#This Row],[ShippedDate]]="","",IF(Table1[[#This Row],[OrderDate]]="","",Table1[[#This Row],[ShippedDate]]-Table1[[#This Row],[OrderDate]]))</f>
        <v>10</v>
      </c>
      <c r="I784" s="3">
        <v>2</v>
      </c>
      <c r="J784" s="2">
        <v>830.75</v>
      </c>
      <c r="K784" s="2">
        <f>SUMIF(order_details!A:A,Table1[[#This Row],[orderID]],order_details!F:F)</f>
        <v>12615.05</v>
      </c>
      <c r="L784" s="9">
        <f>_xlfn.XLOOKUP(Table1[[#This Row],[orderID]],Table3[orderID],Table3[discount])</f>
        <v>0.25</v>
      </c>
      <c r="M784" s="2">
        <f>SUM(Table1[[#This Row],[Sales]],Table1[[#This Row],[freight]])</f>
        <v>13445.8</v>
      </c>
      <c r="N784" s="3">
        <f>_xlfn.XLOOKUP(Table1[[#This Row],[orderID]],Table3[orderID],Table3[quantity])</f>
        <v>100</v>
      </c>
      <c r="O784" s="6" t="str">
        <f>_xlfn.XLOOKUP(Table1[[#This Row],[CustomerID]],customers!A:A,customers!B:B)</f>
        <v>Save-a-lot Markets</v>
      </c>
      <c r="P784" s="6" t="str">
        <f>_xlfn.XLOOKUP(Table1[[#This Row],[shipperID]],Table6[shipperID],Table6[companyName])</f>
        <v>United Package</v>
      </c>
      <c r="Q784">
        <f>YEAR(Table1[[#This Row],[OrderDate]])</f>
        <v>2015</v>
      </c>
      <c r="R784">
        <f>MONTH(Table1[[#This Row],[OrderDate]])</f>
        <v>4</v>
      </c>
      <c r="S784" t="str">
        <f>"Q"&amp;ROUNDUP(Table1[[#This Row],[month]]/3,0)</f>
        <v>Q2</v>
      </c>
      <c r="T784" t="str">
        <f>CONCATENATE(Table1[[#This Row],[year]],"-",Table1[[#This Row],[Quarter]])</f>
        <v>2015-Q2</v>
      </c>
      <c r="U784" s="6" t="str">
        <f>IF(H783="","Pending",IF(Table1[[#This Row],[Days to ship]]&lt;Table1[[#This Row],[RequiredDate]],"On Time","Late"))</f>
        <v>On Time</v>
      </c>
      <c r="V784">
        <f>_xlfn.XLOOKUP(Table1[[#This Row],[orderID]],Table3[orderID],Table3[unitPrice])</f>
        <v>19</v>
      </c>
    </row>
    <row r="785" spans="1:22" x14ac:dyDescent="0.45">
      <c r="A785" s="3">
        <v>11031</v>
      </c>
      <c r="B785" s="6" t="s">
        <v>165</v>
      </c>
      <c r="C785" s="3">
        <v>6</v>
      </c>
      <c r="D785" s="6" t="str">
        <f>_xlfn.XLOOKUP(Table1[[#This Row],[EmployeeID]],Table4[employeeID],Table4[employeeName])</f>
        <v>Michael Suyama</v>
      </c>
      <c r="E785" s="1">
        <v>42111</v>
      </c>
      <c r="F785" s="1">
        <v>42139</v>
      </c>
      <c r="G785" s="1">
        <v>42118</v>
      </c>
      <c r="H785" s="3">
        <f>IF(Table1[[#This Row],[ShippedDate]]="","",IF(Table1[[#This Row],[OrderDate]]="","",Table1[[#This Row],[ShippedDate]]-Table1[[#This Row],[OrderDate]]))</f>
        <v>7</v>
      </c>
      <c r="I785" s="3">
        <v>2</v>
      </c>
      <c r="J785" s="2">
        <v>227.22</v>
      </c>
      <c r="K785" s="2">
        <f>SUMIF(order_details!A:A,Table1[[#This Row],[orderID]],order_details!F:F)</f>
        <v>2393.5</v>
      </c>
      <c r="L785" s="9">
        <f>_xlfn.XLOOKUP(Table1[[#This Row],[orderID]],Table3[orderID],Table3[discount])</f>
        <v>0</v>
      </c>
      <c r="M785" s="2">
        <f>SUM(Table1[[#This Row],[Sales]],Table1[[#This Row],[freight]])</f>
        <v>2620.7199999999998</v>
      </c>
      <c r="N785" s="3">
        <f>_xlfn.XLOOKUP(Table1[[#This Row],[orderID]],Table3[orderID],Table3[quantity])</f>
        <v>45</v>
      </c>
      <c r="O785" s="6" t="str">
        <f>_xlfn.XLOOKUP(Table1[[#This Row],[CustomerID]],customers!A:A,customers!B:B)</f>
        <v>Save-a-lot Markets</v>
      </c>
      <c r="P785" s="6" t="str">
        <f>_xlfn.XLOOKUP(Table1[[#This Row],[shipperID]],Table6[shipperID],Table6[companyName])</f>
        <v>United Package</v>
      </c>
      <c r="Q785">
        <f>YEAR(Table1[[#This Row],[OrderDate]])</f>
        <v>2015</v>
      </c>
      <c r="R785">
        <f>MONTH(Table1[[#This Row],[OrderDate]])</f>
        <v>4</v>
      </c>
      <c r="S785" t="str">
        <f>"Q"&amp;ROUNDUP(Table1[[#This Row],[month]]/3,0)</f>
        <v>Q2</v>
      </c>
      <c r="T785" t="str">
        <f>CONCATENATE(Table1[[#This Row],[year]],"-",Table1[[#This Row],[Quarter]])</f>
        <v>2015-Q2</v>
      </c>
      <c r="U785" s="6" t="str">
        <f>IF(H784="","Pending",IF(Table1[[#This Row],[Days to ship]]&lt;Table1[[#This Row],[RequiredDate]],"On Time","Late"))</f>
        <v>On Time</v>
      </c>
      <c r="V785">
        <f>_xlfn.XLOOKUP(Table1[[#This Row],[orderID]],Table3[orderID],Table3[unitPrice])</f>
        <v>18</v>
      </c>
    </row>
    <row r="786" spans="1:22" x14ac:dyDescent="0.45">
      <c r="A786" s="3">
        <v>11032</v>
      </c>
      <c r="B786" s="6" t="s">
        <v>164</v>
      </c>
      <c r="C786" s="3">
        <v>2</v>
      </c>
      <c r="D786" s="6" t="str">
        <f>_xlfn.XLOOKUP(Table1[[#This Row],[EmployeeID]],Table4[employeeID],Table4[employeeName])</f>
        <v>Andrew Fuller</v>
      </c>
      <c r="E786" s="1">
        <v>42111</v>
      </c>
      <c r="F786" s="1">
        <v>42139</v>
      </c>
      <c r="G786" s="1">
        <v>42117</v>
      </c>
      <c r="H786" s="3">
        <f>IF(Table1[[#This Row],[ShippedDate]]="","",IF(Table1[[#This Row],[OrderDate]]="","",Table1[[#This Row],[ShippedDate]]-Table1[[#This Row],[OrderDate]]))</f>
        <v>6</v>
      </c>
      <c r="I786" s="3">
        <v>3</v>
      </c>
      <c r="J786" s="2">
        <v>606.19000000000005</v>
      </c>
      <c r="K786" s="2">
        <f>SUMIF(order_details!A:A,Table1[[#This Row],[orderID]],order_details!F:F)</f>
        <v>8902.5</v>
      </c>
      <c r="L786" s="9">
        <f>_xlfn.XLOOKUP(Table1[[#This Row],[orderID]],Table3[orderID],Table3[discount])</f>
        <v>0</v>
      </c>
      <c r="M786" s="2">
        <f>SUM(Table1[[#This Row],[Sales]],Table1[[#This Row],[freight]])</f>
        <v>9508.69</v>
      </c>
      <c r="N786" s="3">
        <f>_xlfn.XLOOKUP(Table1[[#This Row],[orderID]],Table3[orderID],Table3[quantity])</f>
        <v>35</v>
      </c>
      <c r="O786" s="6" t="str">
        <f>_xlfn.XLOOKUP(Table1[[#This Row],[CustomerID]],customers!A:A,customers!B:B)</f>
        <v>White Clover Markets</v>
      </c>
      <c r="P786" s="6" t="str">
        <f>_xlfn.XLOOKUP(Table1[[#This Row],[shipperID]],Table6[shipperID],Table6[companyName])</f>
        <v>Federal Shipping</v>
      </c>
      <c r="Q786">
        <f>YEAR(Table1[[#This Row],[OrderDate]])</f>
        <v>2015</v>
      </c>
      <c r="R786">
        <f>MONTH(Table1[[#This Row],[OrderDate]])</f>
        <v>4</v>
      </c>
      <c r="S786" t="str">
        <f>"Q"&amp;ROUNDUP(Table1[[#This Row],[month]]/3,0)</f>
        <v>Q2</v>
      </c>
      <c r="T786" t="str">
        <f>CONCATENATE(Table1[[#This Row],[year]],"-",Table1[[#This Row],[Quarter]])</f>
        <v>2015-Q2</v>
      </c>
      <c r="U786" s="6" t="str">
        <f>IF(H785="","Pending",IF(Table1[[#This Row],[Days to ship]]&lt;Table1[[#This Row],[RequiredDate]],"On Time","Late"))</f>
        <v>On Time</v>
      </c>
      <c r="V786">
        <f>_xlfn.XLOOKUP(Table1[[#This Row],[orderID]],Table3[orderID],Table3[unitPrice])</f>
        <v>19</v>
      </c>
    </row>
    <row r="787" spans="1:22" x14ac:dyDescent="0.45">
      <c r="A787" s="3">
        <v>11033</v>
      </c>
      <c r="B787" s="6" t="s">
        <v>155</v>
      </c>
      <c r="C787" s="3">
        <v>7</v>
      </c>
      <c r="D787" s="6" t="str">
        <f>_xlfn.XLOOKUP(Table1[[#This Row],[EmployeeID]],Table4[employeeID],Table4[employeeName])</f>
        <v>Robert King</v>
      </c>
      <c r="E787" s="1">
        <v>42111</v>
      </c>
      <c r="F787" s="1">
        <v>42139</v>
      </c>
      <c r="G787" s="1">
        <v>42117</v>
      </c>
      <c r="H787" s="3">
        <f>IF(Table1[[#This Row],[ShippedDate]]="","",IF(Table1[[#This Row],[OrderDate]]="","",Table1[[#This Row],[ShippedDate]]-Table1[[#This Row],[OrderDate]]))</f>
        <v>6</v>
      </c>
      <c r="I787" s="3">
        <v>3</v>
      </c>
      <c r="J787" s="2">
        <v>84.74</v>
      </c>
      <c r="K787" s="2">
        <f>SUMIF(order_details!A:A,Table1[[#This Row],[orderID]],order_details!F:F)</f>
        <v>3232.8</v>
      </c>
      <c r="L787" s="9">
        <f>_xlfn.XLOOKUP(Table1[[#This Row],[orderID]],Table3[orderID],Table3[discount])</f>
        <v>0.1</v>
      </c>
      <c r="M787" s="2">
        <f>SUM(Table1[[#This Row],[Sales]],Table1[[#This Row],[freight]])</f>
        <v>3317.54</v>
      </c>
      <c r="N787" s="3">
        <f>_xlfn.XLOOKUP(Table1[[#This Row],[orderID]],Table3[orderID],Table3[quantity])</f>
        <v>70</v>
      </c>
      <c r="O787" s="6" t="str">
        <f>_xlfn.XLOOKUP(Table1[[#This Row],[CustomerID]],customers!A:A,customers!B:B)</f>
        <v>Richter Supermarkt</v>
      </c>
      <c r="P787" s="6" t="str">
        <f>_xlfn.XLOOKUP(Table1[[#This Row],[shipperID]],Table6[shipperID],Table6[companyName])</f>
        <v>Federal Shipping</v>
      </c>
      <c r="Q787">
        <f>YEAR(Table1[[#This Row],[OrderDate]])</f>
        <v>2015</v>
      </c>
      <c r="R787">
        <f>MONTH(Table1[[#This Row],[OrderDate]])</f>
        <v>4</v>
      </c>
      <c r="S787" t="str">
        <f>"Q"&amp;ROUNDUP(Table1[[#This Row],[month]]/3,0)</f>
        <v>Q2</v>
      </c>
      <c r="T787" t="str">
        <f>CONCATENATE(Table1[[#This Row],[year]],"-",Table1[[#This Row],[Quarter]])</f>
        <v>2015-Q2</v>
      </c>
      <c r="U787" s="6" t="str">
        <f>IF(H786="","Pending",IF(Table1[[#This Row],[Days to ship]]&lt;Table1[[#This Row],[RequiredDate]],"On Time","Late"))</f>
        <v>On Time</v>
      </c>
      <c r="V787">
        <f>_xlfn.XLOOKUP(Table1[[#This Row],[orderID]],Table3[orderID],Table3[unitPrice])</f>
        <v>32.799999999999997</v>
      </c>
    </row>
    <row r="788" spans="1:22" x14ac:dyDescent="0.45">
      <c r="A788" s="3">
        <v>11034</v>
      </c>
      <c r="B788" s="6" t="s">
        <v>190</v>
      </c>
      <c r="C788" s="3">
        <v>8</v>
      </c>
      <c r="D788" s="6" t="str">
        <f>_xlfn.XLOOKUP(Table1[[#This Row],[EmployeeID]],Table4[employeeID],Table4[employeeName])</f>
        <v>Laura Callahan</v>
      </c>
      <c r="E788" s="1">
        <v>42114</v>
      </c>
      <c r="F788" s="1">
        <v>42156</v>
      </c>
      <c r="G788" s="1">
        <v>42121</v>
      </c>
      <c r="H788" s="3">
        <f>IF(Table1[[#This Row],[ShippedDate]]="","",IF(Table1[[#This Row],[OrderDate]]="","",Table1[[#This Row],[ShippedDate]]-Table1[[#This Row],[OrderDate]]))</f>
        <v>7</v>
      </c>
      <c r="I788" s="3">
        <v>1</v>
      </c>
      <c r="J788" s="2">
        <v>40.32</v>
      </c>
      <c r="K788" s="2">
        <f>SUMIF(order_details!A:A,Table1[[#This Row],[orderID]],order_details!F:F)</f>
        <v>539.4</v>
      </c>
      <c r="L788" s="9">
        <f>_xlfn.XLOOKUP(Table1[[#This Row],[orderID]],Table3[orderID],Table3[discount])</f>
        <v>0.1</v>
      </c>
      <c r="M788" s="2">
        <f>SUM(Table1[[#This Row],[Sales]],Table1[[#This Row],[freight]])</f>
        <v>579.72</v>
      </c>
      <c r="N788" s="3">
        <f>_xlfn.XLOOKUP(Table1[[#This Row],[orderID]],Table3[orderID],Table3[quantity])</f>
        <v>15</v>
      </c>
      <c r="O788" s="6" t="str">
        <f>_xlfn.XLOOKUP(Table1[[#This Row],[CustomerID]],customers!A:A,customers!B:B)</f>
        <v>Old World Delicatessen</v>
      </c>
      <c r="P788" s="6" t="str">
        <f>_xlfn.XLOOKUP(Table1[[#This Row],[shipperID]],Table6[shipperID],Table6[companyName])</f>
        <v>Speedy Express</v>
      </c>
      <c r="Q788">
        <f>YEAR(Table1[[#This Row],[OrderDate]])</f>
        <v>2015</v>
      </c>
      <c r="R788">
        <f>MONTH(Table1[[#This Row],[OrderDate]])</f>
        <v>4</v>
      </c>
      <c r="S788" t="str">
        <f>"Q"&amp;ROUNDUP(Table1[[#This Row],[month]]/3,0)</f>
        <v>Q2</v>
      </c>
      <c r="T788" t="str">
        <f>CONCATENATE(Table1[[#This Row],[year]],"-",Table1[[#This Row],[Quarter]])</f>
        <v>2015-Q2</v>
      </c>
      <c r="U788" s="6" t="str">
        <f>IF(H787="","Pending",IF(Table1[[#This Row],[Days to ship]]&lt;Table1[[#This Row],[RequiredDate]],"On Time","Late"))</f>
        <v>On Time</v>
      </c>
      <c r="V788">
        <f>_xlfn.XLOOKUP(Table1[[#This Row],[orderID]],Table3[orderID],Table3[unitPrice])</f>
        <v>10</v>
      </c>
    </row>
    <row r="789" spans="1:22" x14ac:dyDescent="0.45">
      <c r="A789" s="3">
        <v>11035</v>
      </c>
      <c r="B789" s="6" t="s">
        <v>188</v>
      </c>
      <c r="C789" s="3">
        <v>2</v>
      </c>
      <c r="D789" s="6" t="str">
        <f>_xlfn.XLOOKUP(Table1[[#This Row],[EmployeeID]],Table4[employeeID],Table4[employeeName])</f>
        <v>Andrew Fuller</v>
      </c>
      <c r="E789" s="1">
        <v>42114</v>
      </c>
      <c r="F789" s="1">
        <v>42142</v>
      </c>
      <c r="G789" s="1">
        <v>42118</v>
      </c>
      <c r="H789" s="3">
        <f>IF(Table1[[#This Row],[ShippedDate]]="","",IF(Table1[[#This Row],[OrderDate]]="","",Table1[[#This Row],[ShippedDate]]-Table1[[#This Row],[OrderDate]]))</f>
        <v>4</v>
      </c>
      <c r="I789" s="3">
        <v>2</v>
      </c>
      <c r="J789" s="2">
        <v>0.17</v>
      </c>
      <c r="K789" s="2">
        <f>SUMIF(order_details!A:A,Table1[[#This Row],[orderID]],order_details!F:F)</f>
        <v>1754.5</v>
      </c>
      <c r="L789" s="9">
        <f>_xlfn.XLOOKUP(Table1[[#This Row],[orderID]],Table3[orderID],Table3[discount])</f>
        <v>0</v>
      </c>
      <c r="M789" s="2">
        <f>SUM(Table1[[#This Row],[Sales]],Table1[[#This Row],[freight]])</f>
        <v>1754.67</v>
      </c>
      <c r="N789" s="3">
        <f>_xlfn.XLOOKUP(Table1[[#This Row],[orderID]],Table3[orderID],Table3[quantity])</f>
        <v>10</v>
      </c>
      <c r="O789" s="6" t="str">
        <f>_xlfn.XLOOKUP(Table1[[#This Row],[CustomerID]],customers!A:A,customers!B:B)</f>
        <v>Suprêmes délices</v>
      </c>
      <c r="P789" s="6" t="str">
        <f>_xlfn.XLOOKUP(Table1[[#This Row],[shipperID]],Table6[shipperID],Table6[companyName])</f>
        <v>United Package</v>
      </c>
      <c r="Q789">
        <f>YEAR(Table1[[#This Row],[OrderDate]])</f>
        <v>2015</v>
      </c>
      <c r="R789">
        <f>MONTH(Table1[[#This Row],[OrderDate]])</f>
        <v>4</v>
      </c>
      <c r="S789" t="str">
        <f>"Q"&amp;ROUNDUP(Table1[[#This Row],[month]]/3,0)</f>
        <v>Q2</v>
      </c>
      <c r="T789" t="str">
        <f>CONCATENATE(Table1[[#This Row],[year]],"-",Table1[[#This Row],[Quarter]])</f>
        <v>2015-Q2</v>
      </c>
      <c r="U789" s="6" t="str">
        <f>IF(H788="","Pending",IF(Table1[[#This Row],[Days to ship]]&lt;Table1[[#This Row],[RequiredDate]],"On Time","Late"))</f>
        <v>On Time</v>
      </c>
      <c r="V789">
        <f>_xlfn.XLOOKUP(Table1[[#This Row],[orderID]],Table3[orderID],Table3[unitPrice])</f>
        <v>18</v>
      </c>
    </row>
    <row r="790" spans="1:22" x14ac:dyDescent="0.45">
      <c r="A790" s="3">
        <v>11036</v>
      </c>
      <c r="B790" s="6" t="s">
        <v>163</v>
      </c>
      <c r="C790" s="3">
        <v>8</v>
      </c>
      <c r="D790" s="6" t="str">
        <f>_xlfn.XLOOKUP(Table1[[#This Row],[EmployeeID]],Table4[employeeID],Table4[employeeName])</f>
        <v>Laura Callahan</v>
      </c>
      <c r="E790" s="1">
        <v>42114</v>
      </c>
      <c r="F790" s="1">
        <v>42142</v>
      </c>
      <c r="G790" s="1">
        <v>42116</v>
      </c>
      <c r="H790" s="3">
        <f>IF(Table1[[#This Row],[ShippedDate]]="","",IF(Table1[[#This Row],[OrderDate]]="","",Table1[[#This Row],[ShippedDate]]-Table1[[#This Row],[OrderDate]]))</f>
        <v>2</v>
      </c>
      <c r="I790" s="3">
        <v>3</v>
      </c>
      <c r="J790" s="2">
        <v>149.47</v>
      </c>
      <c r="K790" s="2">
        <f>SUMIF(order_details!A:A,Table1[[#This Row],[orderID]],order_details!F:F)</f>
        <v>1692</v>
      </c>
      <c r="L790" s="9">
        <f>_xlfn.XLOOKUP(Table1[[#This Row],[orderID]],Table3[orderID],Table3[discount])</f>
        <v>0</v>
      </c>
      <c r="M790" s="2">
        <f>SUM(Table1[[#This Row],[Sales]],Table1[[#This Row],[freight]])</f>
        <v>1841.47</v>
      </c>
      <c r="N790" s="3">
        <f>_xlfn.XLOOKUP(Table1[[#This Row],[orderID]],Table3[orderID],Table3[quantity])</f>
        <v>7</v>
      </c>
      <c r="O790" s="6" t="str">
        <f>_xlfn.XLOOKUP(Table1[[#This Row],[CustomerID]],customers!A:A,customers!B:B)</f>
        <v>Drachenblut Delikatessen</v>
      </c>
      <c r="P790" s="6" t="str">
        <f>_xlfn.XLOOKUP(Table1[[#This Row],[shipperID]],Table6[shipperID],Table6[companyName])</f>
        <v>Federal Shipping</v>
      </c>
      <c r="Q790">
        <f>YEAR(Table1[[#This Row],[OrderDate]])</f>
        <v>2015</v>
      </c>
      <c r="R790">
        <f>MONTH(Table1[[#This Row],[OrderDate]])</f>
        <v>4</v>
      </c>
      <c r="S790" t="str">
        <f>"Q"&amp;ROUNDUP(Table1[[#This Row],[month]]/3,0)</f>
        <v>Q2</v>
      </c>
      <c r="T790" t="str">
        <f>CONCATENATE(Table1[[#This Row],[year]],"-",Table1[[#This Row],[Quarter]])</f>
        <v>2015-Q2</v>
      </c>
      <c r="U790" s="6" t="str">
        <f>IF(H789="","Pending",IF(Table1[[#This Row],[Days to ship]]&lt;Table1[[#This Row],[RequiredDate]],"On Time","Late"))</f>
        <v>On Time</v>
      </c>
      <c r="V790">
        <f>_xlfn.XLOOKUP(Table1[[#This Row],[orderID]],Table3[orderID],Table3[unitPrice])</f>
        <v>6</v>
      </c>
    </row>
    <row r="791" spans="1:22" x14ac:dyDescent="0.45">
      <c r="A791" s="3">
        <v>11037</v>
      </c>
      <c r="B791" s="6" t="s">
        <v>189</v>
      </c>
      <c r="C791" s="3">
        <v>7</v>
      </c>
      <c r="D791" s="6" t="str">
        <f>_xlfn.XLOOKUP(Table1[[#This Row],[EmployeeID]],Table4[employeeID],Table4[employeeName])</f>
        <v>Robert King</v>
      </c>
      <c r="E791" s="1">
        <v>42115</v>
      </c>
      <c r="F791" s="1">
        <v>42143</v>
      </c>
      <c r="G791" s="1">
        <v>42121</v>
      </c>
      <c r="H791" s="3">
        <f>IF(Table1[[#This Row],[ShippedDate]]="","",IF(Table1[[#This Row],[OrderDate]]="","",Table1[[#This Row],[ShippedDate]]-Table1[[#This Row],[OrderDate]]))</f>
        <v>6</v>
      </c>
      <c r="I791" s="3">
        <v>1</v>
      </c>
      <c r="J791" s="2">
        <v>3.2</v>
      </c>
      <c r="K791" s="2">
        <f>SUMIF(order_details!A:A,Table1[[#This Row],[orderID]],order_details!F:F)</f>
        <v>60</v>
      </c>
      <c r="L791" s="9">
        <f>_xlfn.XLOOKUP(Table1[[#This Row],[orderID]],Table3[orderID],Table3[discount])</f>
        <v>0</v>
      </c>
      <c r="M791" s="2">
        <f>SUM(Table1[[#This Row],[Sales]],Table1[[#This Row],[freight]])</f>
        <v>63.2</v>
      </c>
      <c r="N791" s="3">
        <f>_xlfn.XLOOKUP(Table1[[#This Row],[orderID]],Table3[orderID],Table3[quantity])</f>
        <v>4</v>
      </c>
      <c r="O791" s="6" t="str">
        <f>_xlfn.XLOOKUP(Table1[[#This Row],[CustomerID]],customers!A:A,customers!B:B)</f>
        <v>Godos Cocina Típica</v>
      </c>
      <c r="P791" s="6" t="str">
        <f>_xlfn.XLOOKUP(Table1[[#This Row],[shipperID]],Table6[shipperID],Table6[companyName])</f>
        <v>Speedy Express</v>
      </c>
      <c r="Q791">
        <f>YEAR(Table1[[#This Row],[OrderDate]])</f>
        <v>2015</v>
      </c>
      <c r="R791">
        <f>MONTH(Table1[[#This Row],[OrderDate]])</f>
        <v>4</v>
      </c>
      <c r="S791" t="str">
        <f>"Q"&amp;ROUNDUP(Table1[[#This Row],[month]]/3,0)</f>
        <v>Q2</v>
      </c>
      <c r="T791" t="str">
        <f>CONCATENATE(Table1[[#This Row],[year]],"-",Table1[[#This Row],[Quarter]])</f>
        <v>2015-Q2</v>
      </c>
      <c r="U791" s="6" t="str">
        <f>IF(H790="","Pending",IF(Table1[[#This Row],[Days to ship]]&lt;Table1[[#This Row],[RequiredDate]],"On Time","Late"))</f>
        <v>On Time</v>
      </c>
      <c r="V791">
        <f>_xlfn.XLOOKUP(Table1[[#This Row],[orderID]],Table3[orderID],Table3[unitPrice])</f>
        <v>15</v>
      </c>
    </row>
    <row r="792" spans="1:22" x14ac:dyDescent="0.45">
      <c r="A792" s="3">
        <v>11038</v>
      </c>
      <c r="B792" s="6" t="s">
        <v>188</v>
      </c>
      <c r="C792" s="3">
        <v>1</v>
      </c>
      <c r="D792" s="6" t="str">
        <f>_xlfn.XLOOKUP(Table1[[#This Row],[EmployeeID]],Table4[employeeID],Table4[employeeName])</f>
        <v>Nancy Davolio</v>
      </c>
      <c r="E792" s="1">
        <v>42115</v>
      </c>
      <c r="F792" s="1">
        <v>42143</v>
      </c>
      <c r="G792" s="1">
        <v>42124</v>
      </c>
      <c r="H792" s="3">
        <f>IF(Table1[[#This Row],[ShippedDate]]="","",IF(Table1[[#This Row],[OrderDate]]="","",Table1[[#This Row],[ShippedDate]]-Table1[[#This Row],[OrderDate]]))</f>
        <v>9</v>
      </c>
      <c r="I792" s="3">
        <v>2</v>
      </c>
      <c r="J792" s="2">
        <v>29.59</v>
      </c>
      <c r="K792" s="2">
        <f>SUMIF(order_details!A:A,Table1[[#This Row],[orderID]],order_details!F:F)</f>
        <v>732.6</v>
      </c>
      <c r="L792" s="9">
        <f>_xlfn.XLOOKUP(Table1[[#This Row],[orderID]],Table3[orderID],Table3[discount])</f>
        <v>0.2</v>
      </c>
      <c r="M792" s="2">
        <f>SUM(Table1[[#This Row],[Sales]],Table1[[#This Row],[freight]])</f>
        <v>762.19</v>
      </c>
      <c r="N792" s="3">
        <f>_xlfn.XLOOKUP(Table1[[#This Row],[orderID]],Table3[orderID],Table3[quantity])</f>
        <v>5</v>
      </c>
      <c r="O792" s="6" t="str">
        <f>_xlfn.XLOOKUP(Table1[[#This Row],[CustomerID]],customers!A:A,customers!B:B)</f>
        <v>Suprêmes délices</v>
      </c>
      <c r="P792" s="6" t="str">
        <f>_xlfn.XLOOKUP(Table1[[#This Row],[shipperID]],Table6[shipperID],Table6[companyName])</f>
        <v>United Package</v>
      </c>
      <c r="Q792">
        <f>YEAR(Table1[[#This Row],[OrderDate]])</f>
        <v>2015</v>
      </c>
      <c r="R792">
        <f>MONTH(Table1[[#This Row],[OrderDate]])</f>
        <v>4</v>
      </c>
      <c r="S792" t="str">
        <f>"Q"&amp;ROUNDUP(Table1[[#This Row],[month]]/3,0)</f>
        <v>Q2</v>
      </c>
      <c r="T792" t="str">
        <f>CONCATENATE(Table1[[#This Row],[year]],"-",Table1[[#This Row],[Quarter]])</f>
        <v>2015-Q2</v>
      </c>
      <c r="U792" s="6" t="str">
        <f>IF(H791="","Pending",IF(Table1[[#This Row],[Days to ship]]&lt;Table1[[#This Row],[RequiredDate]],"On Time","Late"))</f>
        <v>On Time</v>
      </c>
      <c r="V792">
        <f>_xlfn.XLOOKUP(Table1[[#This Row],[orderID]],Table3[orderID],Table3[unitPrice])</f>
        <v>18.399999999999999</v>
      </c>
    </row>
    <row r="793" spans="1:22" x14ac:dyDescent="0.45">
      <c r="A793" s="3">
        <v>11039</v>
      </c>
      <c r="B793" s="6" t="s">
        <v>187</v>
      </c>
      <c r="C793" s="3">
        <v>1</v>
      </c>
      <c r="D793" s="6" t="str">
        <f>_xlfn.XLOOKUP(Table1[[#This Row],[EmployeeID]],Table4[employeeID],Table4[employeeName])</f>
        <v>Nancy Davolio</v>
      </c>
      <c r="E793" s="1">
        <v>42115</v>
      </c>
      <c r="F793" s="1">
        <v>42143</v>
      </c>
      <c r="H793" s="3" t="str">
        <f>IF(Table1[[#This Row],[ShippedDate]]="","",IF(Table1[[#This Row],[OrderDate]]="","",Table1[[#This Row],[ShippedDate]]-Table1[[#This Row],[OrderDate]]))</f>
        <v/>
      </c>
      <c r="I793" s="3">
        <v>2</v>
      </c>
      <c r="J793" s="2">
        <v>65</v>
      </c>
      <c r="K793" s="2">
        <f>SUMIF(order_details!A:A,Table1[[#This Row],[orderID]],order_details!F:F)</f>
        <v>3090</v>
      </c>
      <c r="L793" s="9">
        <f>_xlfn.XLOOKUP(Table1[[#This Row],[orderID]],Table3[orderID],Table3[discount])</f>
        <v>0</v>
      </c>
      <c r="M793" s="2">
        <f>SUM(Table1[[#This Row],[Sales]],Table1[[#This Row],[freight]])</f>
        <v>3155</v>
      </c>
      <c r="N793" s="3">
        <f>_xlfn.XLOOKUP(Table1[[#This Row],[orderID]],Table3[orderID],Table3[quantity])</f>
        <v>20</v>
      </c>
      <c r="O793" s="6" t="str">
        <f>_xlfn.XLOOKUP(Table1[[#This Row],[CustomerID]],customers!A:A,customers!B:B)</f>
        <v>LINO-Delicateses</v>
      </c>
      <c r="P793" s="6" t="str">
        <f>_xlfn.XLOOKUP(Table1[[#This Row],[shipperID]],Table6[shipperID],Table6[companyName])</f>
        <v>United Package</v>
      </c>
      <c r="Q793">
        <f>YEAR(Table1[[#This Row],[OrderDate]])</f>
        <v>2015</v>
      </c>
      <c r="R793">
        <f>MONTH(Table1[[#This Row],[OrderDate]])</f>
        <v>4</v>
      </c>
      <c r="S793" t="str">
        <f>"Q"&amp;ROUNDUP(Table1[[#This Row],[month]]/3,0)</f>
        <v>Q2</v>
      </c>
      <c r="T793" t="str">
        <f>CONCATENATE(Table1[[#This Row],[year]],"-",Table1[[#This Row],[Quarter]])</f>
        <v>2015-Q2</v>
      </c>
      <c r="U793" s="6" t="str">
        <f>IF(H792="","Pending",IF(Table1[[#This Row],[Days to ship]]&lt;Table1[[#This Row],[RequiredDate]],"On Time","Late"))</f>
        <v>Late</v>
      </c>
      <c r="V793">
        <f>_xlfn.XLOOKUP(Table1[[#This Row],[orderID]],Table3[orderID],Table3[unitPrice])</f>
        <v>45.6</v>
      </c>
    </row>
    <row r="794" spans="1:22" x14ac:dyDescent="0.45">
      <c r="A794" s="3">
        <v>11040</v>
      </c>
      <c r="B794" s="6" t="s">
        <v>168</v>
      </c>
      <c r="C794" s="3">
        <v>4</v>
      </c>
      <c r="D794" s="6" t="str">
        <f>_xlfn.XLOOKUP(Table1[[#This Row],[EmployeeID]],Table4[employeeID],Table4[employeeName])</f>
        <v>Margaret Peacock</v>
      </c>
      <c r="E794" s="1">
        <v>42116</v>
      </c>
      <c r="F794" s="1">
        <v>42144</v>
      </c>
      <c r="H794" s="3" t="str">
        <f>IF(Table1[[#This Row],[ShippedDate]]="","",IF(Table1[[#This Row],[OrderDate]]="","",Table1[[#This Row],[ShippedDate]]-Table1[[#This Row],[OrderDate]]))</f>
        <v/>
      </c>
      <c r="I794" s="3">
        <v>3</v>
      </c>
      <c r="J794" s="2">
        <v>18.84</v>
      </c>
      <c r="K794" s="2">
        <f>SUMIF(order_details!A:A,Table1[[#This Row],[orderID]],order_details!F:F)</f>
        <v>200</v>
      </c>
      <c r="L794" s="9">
        <f>_xlfn.XLOOKUP(Table1[[#This Row],[orderID]],Table3[orderID],Table3[discount])</f>
        <v>0</v>
      </c>
      <c r="M794" s="2">
        <f>SUM(Table1[[#This Row],[Sales]],Table1[[#This Row],[freight]])</f>
        <v>218.84</v>
      </c>
      <c r="N794" s="3">
        <f>_xlfn.XLOOKUP(Table1[[#This Row],[orderID]],Table3[orderID],Table3[quantity])</f>
        <v>20</v>
      </c>
      <c r="O794" s="6" t="str">
        <f>_xlfn.XLOOKUP(Table1[[#This Row],[CustomerID]],customers!A:A,customers!B:B)</f>
        <v>Great Lakes Food Market</v>
      </c>
      <c r="P794" s="6" t="str">
        <f>_xlfn.XLOOKUP(Table1[[#This Row],[shipperID]],Table6[shipperID],Table6[companyName])</f>
        <v>Federal Shipping</v>
      </c>
      <c r="Q794">
        <f>YEAR(Table1[[#This Row],[OrderDate]])</f>
        <v>2015</v>
      </c>
      <c r="R794">
        <f>MONTH(Table1[[#This Row],[OrderDate]])</f>
        <v>4</v>
      </c>
      <c r="S794" t="str">
        <f>"Q"&amp;ROUNDUP(Table1[[#This Row],[month]]/3,0)</f>
        <v>Q2</v>
      </c>
      <c r="T794" t="str">
        <f>CONCATENATE(Table1[[#This Row],[year]],"-",Table1[[#This Row],[Quarter]])</f>
        <v>2015-Q2</v>
      </c>
      <c r="U794" s="6" t="str">
        <f>IF(H793="","Pending",IF(Table1[[#This Row],[Days to ship]]&lt;Table1[[#This Row],[RequiredDate]],"On Time","Late"))</f>
        <v>Pending</v>
      </c>
      <c r="V794">
        <f>_xlfn.XLOOKUP(Table1[[#This Row],[orderID]],Table3[orderID],Table3[unitPrice])</f>
        <v>10</v>
      </c>
    </row>
    <row r="795" spans="1:22" x14ac:dyDescent="0.45">
      <c r="A795" s="3">
        <v>11041</v>
      </c>
      <c r="B795" s="6" t="s">
        <v>186</v>
      </c>
      <c r="C795" s="3">
        <v>3</v>
      </c>
      <c r="D795" s="6" t="str">
        <f>_xlfn.XLOOKUP(Table1[[#This Row],[EmployeeID]],Table4[employeeID],Table4[employeeName])</f>
        <v>Janet Leverling</v>
      </c>
      <c r="E795" s="1">
        <v>42116</v>
      </c>
      <c r="F795" s="1">
        <v>42144</v>
      </c>
      <c r="G795" s="1">
        <v>42122</v>
      </c>
      <c r="H795" s="3">
        <f>IF(Table1[[#This Row],[ShippedDate]]="","",IF(Table1[[#This Row],[OrderDate]]="","",Table1[[#This Row],[ShippedDate]]-Table1[[#This Row],[OrderDate]]))</f>
        <v>6</v>
      </c>
      <c r="I795" s="3">
        <v>2</v>
      </c>
      <c r="J795" s="2">
        <v>48.22</v>
      </c>
      <c r="K795" s="2">
        <f>SUMIF(order_details!A:A,Table1[[#This Row],[orderID]],order_details!F:F)</f>
        <v>1773</v>
      </c>
      <c r="L795" s="9">
        <f>_xlfn.XLOOKUP(Table1[[#This Row],[orderID]],Table3[orderID],Table3[discount])</f>
        <v>0.2</v>
      </c>
      <c r="M795" s="2">
        <f>SUM(Table1[[#This Row],[Sales]],Table1[[#This Row],[freight]])</f>
        <v>1821.22</v>
      </c>
      <c r="N795" s="3">
        <f>_xlfn.XLOOKUP(Table1[[#This Row],[orderID]],Table3[orderID],Table3[quantity])</f>
        <v>30</v>
      </c>
      <c r="O795" s="6" t="str">
        <f>_xlfn.XLOOKUP(Table1[[#This Row],[CustomerID]],customers!A:A,customers!B:B)</f>
        <v>Chop-suey Chinese</v>
      </c>
      <c r="P795" s="6" t="str">
        <f>_xlfn.XLOOKUP(Table1[[#This Row],[shipperID]],Table6[shipperID],Table6[companyName])</f>
        <v>United Package</v>
      </c>
      <c r="Q795">
        <f>YEAR(Table1[[#This Row],[OrderDate]])</f>
        <v>2015</v>
      </c>
      <c r="R795">
        <f>MONTH(Table1[[#This Row],[OrderDate]])</f>
        <v>4</v>
      </c>
      <c r="S795" t="str">
        <f>"Q"&amp;ROUNDUP(Table1[[#This Row],[month]]/3,0)</f>
        <v>Q2</v>
      </c>
      <c r="T795" t="str">
        <f>CONCATENATE(Table1[[#This Row],[year]],"-",Table1[[#This Row],[Quarter]])</f>
        <v>2015-Q2</v>
      </c>
      <c r="U795" s="6" t="str">
        <f>IF(H794="","Pending",IF(Table1[[#This Row],[Days to ship]]&lt;Table1[[#This Row],[RequiredDate]],"On Time","Late"))</f>
        <v>Pending</v>
      </c>
      <c r="V795">
        <f>_xlfn.XLOOKUP(Table1[[#This Row],[orderID]],Table3[orderID],Table3[unitPrice])</f>
        <v>19</v>
      </c>
    </row>
    <row r="796" spans="1:22" x14ac:dyDescent="0.45">
      <c r="A796" s="3">
        <v>11042</v>
      </c>
      <c r="B796" s="6" t="s">
        <v>185</v>
      </c>
      <c r="C796" s="3">
        <v>2</v>
      </c>
      <c r="D796" s="6" t="str">
        <f>_xlfn.XLOOKUP(Table1[[#This Row],[EmployeeID]],Table4[employeeID],Table4[employeeName])</f>
        <v>Andrew Fuller</v>
      </c>
      <c r="E796" s="1">
        <v>42116</v>
      </c>
      <c r="F796" s="1">
        <v>42130</v>
      </c>
      <c r="G796" s="1">
        <v>42125</v>
      </c>
      <c r="H796" s="3">
        <f>IF(Table1[[#This Row],[ShippedDate]]="","",IF(Table1[[#This Row],[OrderDate]]="","",Table1[[#This Row],[ShippedDate]]-Table1[[#This Row],[OrderDate]]))</f>
        <v>9</v>
      </c>
      <c r="I796" s="3">
        <v>1</v>
      </c>
      <c r="J796" s="2">
        <v>29.99</v>
      </c>
      <c r="K796" s="2">
        <f>SUMIF(order_details!A:A,Table1[[#This Row],[orderID]],order_details!F:F)</f>
        <v>405.75</v>
      </c>
      <c r="L796" s="9">
        <f>_xlfn.XLOOKUP(Table1[[#This Row],[orderID]],Table3[orderID],Table3[discount])</f>
        <v>0</v>
      </c>
      <c r="M796" s="2">
        <f>SUM(Table1[[#This Row],[Sales]],Table1[[#This Row],[freight]])</f>
        <v>435.74</v>
      </c>
      <c r="N796" s="3">
        <f>_xlfn.XLOOKUP(Table1[[#This Row],[orderID]],Table3[orderID],Table3[quantity])</f>
        <v>15</v>
      </c>
      <c r="O796" s="6" t="str">
        <f>_xlfn.XLOOKUP(Table1[[#This Row],[CustomerID]],customers!A:A,customers!B:B)</f>
        <v>Comércio Mineiro</v>
      </c>
      <c r="P796" s="6" t="str">
        <f>_xlfn.XLOOKUP(Table1[[#This Row],[shipperID]],Table6[shipperID],Table6[companyName])</f>
        <v>Speedy Express</v>
      </c>
      <c r="Q796">
        <f>YEAR(Table1[[#This Row],[OrderDate]])</f>
        <v>2015</v>
      </c>
      <c r="R796">
        <f>MONTH(Table1[[#This Row],[OrderDate]])</f>
        <v>4</v>
      </c>
      <c r="S796" t="str">
        <f>"Q"&amp;ROUNDUP(Table1[[#This Row],[month]]/3,0)</f>
        <v>Q2</v>
      </c>
      <c r="T796" t="str">
        <f>CONCATENATE(Table1[[#This Row],[year]],"-",Table1[[#This Row],[Quarter]])</f>
        <v>2015-Q2</v>
      </c>
      <c r="U796" s="6" t="str">
        <f>IF(H795="","Pending",IF(Table1[[#This Row],[Days to ship]]&lt;Table1[[#This Row],[RequiredDate]],"On Time","Late"))</f>
        <v>On Time</v>
      </c>
      <c r="V796">
        <f>_xlfn.XLOOKUP(Table1[[#This Row],[orderID]],Table3[orderID],Table3[unitPrice])</f>
        <v>19.45</v>
      </c>
    </row>
    <row r="797" spans="1:22" x14ac:dyDescent="0.45">
      <c r="A797" s="3">
        <v>11043</v>
      </c>
      <c r="B797" s="6" t="s">
        <v>184</v>
      </c>
      <c r="C797" s="3">
        <v>5</v>
      </c>
      <c r="D797" s="6" t="str">
        <f>_xlfn.XLOOKUP(Table1[[#This Row],[EmployeeID]],Table4[employeeID],Table4[employeeName])</f>
        <v>Steven Buchanan</v>
      </c>
      <c r="E797" s="1">
        <v>42116</v>
      </c>
      <c r="F797" s="1">
        <v>42144</v>
      </c>
      <c r="G797" s="1">
        <v>42123</v>
      </c>
      <c r="H797" s="3">
        <f>IF(Table1[[#This Row],[ShippedDate]]="","",IF(Table1[[#This Row],[OrderDate]]="","",Table1[[#This Row],[ShippedDate]]-Table1[[#This Row],[OrderDate]]))</f>
        <v>7</v>
      </c>
      <c r="I797" s="3">
        <v>2</v>
      </c>
      <c r="J797" s="2">
        <v>8.8000000000000007</v>
      </c>
      <c r="K797" s="2">
        <f>SUMIF(order_details!A:A,Table1[[#This Row],[orderID]],order_details!F:F)</f>
        <v>210</v>
      </c>
      <c r="L797" s="9">
        <f>_xlfn.XLOOKUP(Table1[[#This Row],[orderID]],Table3[orderID],Table3[discount])</f>
        <v>0</v>
      </c>
      <c r="M797" s="2">
        <f>SUM(Table1[[#This Row],[Sales]],Table1[[#This Row],[freight]])</f>
        <v>218.8</v>
      </c>
      <c r="N797" s="3">
        <f>_xlfn.XLOOKUP(Table1[[#This Row],[orderID]],Table3[orderID],Table3[quantity])</f>
        <v>10</v>
      </c>
      <c r="O797" s="6" t="str">
        <f>_xlfn.XLOOKUP(Table1[[#This Row],[CustomerID]],customers!A:A,customers!B:B)</f>
        <v>Spécialités du monde</v>
      </c>
      <c r="P797" s="6" t="str">
        <f>_xlfn.XLOOKUP(Table1[[#This Row],[shipperID]],Table6[shipperID],Table6[companyName])</f>
        <v>United Package</v>
      </c>
      <c r="Q797">
        <f>YEAR(Table1[[#This Row],[OrderDate]])</f>
        <v>2015</v>
      </c>
      <c r="R797">
        <f>MONTH(Table1[[#This Row],[OrderDate]])</f>
        <v>4</v>
      </c>
      <c r="S797" t="str">
        <f>"Q"&amp;ROUNDUP(Table1[[#This Row],[month]]/3,0)</f>
        <v>Q2</v>
      </c>
      <c r="T797" t="str">
        <f>CONCATENATE(Table1[[#This Row],[year]],"-",Table1[[#This Row],[Quarter]])</f>
        <v>2015-Q2</v>
      </c>
      <c r="U797" s="6" t="str">
        <f>IF(H796="","Pending",IF(Table1[[#This Row],[Days to ship]]&lt;Table1[[#This Row],[RequiredDate]],"On Time","Late"))</f>
        <v>On Time</v>
      </c>
      <c r="V797">
        <f>_xlfn.XLOOKUP(Table1[[#This Row],[orderID]],Table3[orderID],Table3[unitPrice])</f>
        <v>21</v>
      </c>
    </row>
    <row r="798" spans="1:22" x14ac:dyDescent="0.45">
      <c r="A798" s="3">
        <v>11044</v>
      </c>
      <c r="B798" s="6" t="s">
        <v>183</v>
      </c>
      <c r="C798" s="3">
        <v>4</v>
      </c>
      <c r="D798" s="6" t="str">
        <f>_xlfn.XLOOKUP(Table1[[#This Row],[EmployeeID]],Table4[employeeID],Table4[employeeName])</f>
        <v>Margaret Peacock</v>
      </c>
      <c r="E798" s="1">
        <v>42117</v>
      </c>
      <c r="F798" s="1">
        <v>42145</v>
      </c>
      <c r="G798" s="1">
        <v>42125</v>
      </c>
      <c r="H798" s="3">
        <f>IF(Table1[[#This Row],[ShippedDate]]="","",IF(Table1[[#This Row],[OrderDate]]="","",Table1[[#This Row],[ShippedDate]]-Table1[[#This Row],[OrderDate]]))</f>
        <v>8</v>
      </c>
      <c r="I798" s="3">
        <v>1</v>
      </c>
      <c r="J798" s="2">
        <v>8.7200000000000006</v>
      </c>
      <c r="K798" s="2">
        <f>SUMIF(order_details!A:A,Table1[[#This Row],[orderID]],order_details!F:F)</f>
        <v>591.59999999999991</v>
      </c>
      <c r="L798" s="9">
        <f>_xlfn.XLOOKUP(Table1[[#This Row],[orderID]],Table3[orderID],Table3[discount])</f>
        <v>0</v>
      </c>
      <c r="M798" s="2">
        <f>SUM(Table1[[#This Row],[Sales]],Table1[[#This Row],[freight]])</f>
        <v>600.31999999999994</v>
      </c>
      <c r="N798" s="3">
        <f>_xlfn.XLOOKUP(Table1[[#This Row],[orderID]],Table3[orderID],Table3[quantity])</f>
        <v>12</v>
      </c>
      <c r="O798" s="6" t="str">
        <f>_xlfn.XLOOKUP(Table1[[#This Row],[CustomerID]],customers!A:A,customers!B:B)</f>
        <v>Wolski  Zajazd</v>
      </c>
      <c r="P798" s="6" t="str">
        <f>_xlfn.XLOOKUP(Table1[[#This Row],[shipperID]],Table6[shipperID],Table6[companyName])</f>
        <v>Speedy Express</v>
      </c>
      <c r="Q798">
        <f>YEAR(Table1[[#This Row],[OrderDate]])</f>
        <v>2015</v>
      </c>
      <c r="R798">
        <f>MONTH(Table1[[#This Row],[OrderDate]])</f>
        <v>4</v>
      </c>
      <c r="S798" t="str">
        <f>"Q"&amp;ROUNDUP(Table1[[#This Row],[month]]/3,0)</f>
        <v>Q2</v>
      </c>
      <c r="T798" t="str">
        <f>CONCATENATE(Table1[[#This Row],[year]],"-",Table1[[#This Row],[Quarter]])</f>
        <v>2015-Q2</v>
      </c>
      <c r="U798" s="6" t="str">
        <f>IF(H797="","Pending",IF(Table1[[#This Row],[Days to ship]]&lt;Table1[[#This Row],[RequiredDate]],"On Time","Late"))</f>
        <v>On Time</v>
      </c>
      <c r="V798">
        <f>_xlfn.XLOOKUP(Table1[[#This Row],[orderID]],Table3[orderID],Table3[unitPrice])</f>
        <v>49.3</v>
      </c>
    </row>
    <row r="799" spans="1:22" x14ac:dyDescent="0.45">
      <c r="A799" s="3">
        <v>11045</v>
      </c>
      <c r="B799" s="6" t="s">
        <v>181</v>
      </c>
      <c r="C799" s="3">
        <v>6</v>
      </c>
      <c r="D799" s="6" t="str">
        <f>_xlfn.XLOOKUP(Table1[[#This Row],[EmployeeID]],Table4[employeeID],Table4[employeeName])</f>
        <v>Michael Suyama</v>
      </c>
      <c r="E799" s="1">
        <v>42117</v>
      </c>
      <c r="F799" s="1">
        <v>42145</v>
      </c>
      <c r="H799" s="3" t="str">
        <f>IF(Table1[[#This Row],[ShippedDate]]="","",IF(Table1[[#This Row],[OrderDate]]="","",Table1[[#This Row],[ShippedDate]]-Table1[[#This Row],[OrderDate]]))</f>
        <v/>
      </c>
      <c r="I799" s="3">
        <v>2</v>
      </c>
      <c r="J799" s="2">
        <v>70.58</v>
      </c>
      <c r="K799" s="2">
        <f>SUMIF(order_details!A:A,Table1[[#This Row],[orderID]],order_details!F:F)</f>
        <v>1309.5</v>
      </c>
      <c r="L799" s="9">
        <f>_xlfn.XLOOKUP(Table1[[#This Row],[orderID]],Table3[orderID],Table3[discount])</f>
        <v>0</v>
      </c>
      <c r="M799" s="2">
        <f>SUM(Table1[[#This Row],[Sales]],Table1[[#This Row],[freight]])</f>
        <v>1380.08</v>
      </c>
      <c r="N799" s="3">
        <f>_xlfn.XLOOKUP(Table1[[#This Row],[orderID]],Table3[orderID],Table3[quantity])</f>
        <v>15</v>
      </c>
      <c r="O799" s="6" t="str">
        <f>_xlfn.XLOOKUP(Table1[[#This Row],[CustomerID]],customers!A:A,customers!B:B)</f>
        <v>Bottom-Dollar Markets</v>
      </c>
      <c r="P799" s="6" t="str">
        <f>_xlfn.XLOOKUP(Table1[[#This Row],[shipperID]],Table6[shipperID],Table6[companyName])</f>
        <v>United Package</v>
      </c>
      <c r="Q799">
        <f>YEAR(Table1[[#This Row],[OrderDate]])</f>
        <v>2015</v>
      </c>
      <c r="R799">
        <f>MONTH(Table1[[#This Row],[OrderDate]])</f>
        <v>4</v>
      </c>
      <c r="S799" t="str">
        <f>"Q"&amp;ROUNDUP(Table1[[#This Row],[month]]/3,0)</f>
        <v>Q2</v>
      </c>
      <c r="T799" t="str">
        <f>CONCATENATE(Table1[[#This Row],[year]],"-",Table1[[#This Row],[Quarter]])</f>
        <v>2015-Q2</v>
      </c>
      <c r="U799" s="6" t="str">
        <f>IF(H798="","Pending",IF(Table1[[#This Row],[Days to ship]]&lt;Table1[[#This Row],[RequiredDate]],"On Time","Late"))</f>
        <v>Late</v>
      </c>
      <c r="V799">
        <f>_xlfn.XLOOKUP(Table1[[#This Row],[orderID]],Table3[orderID],Table3[unitPrice])</f>
        <v>2.5</v>
      </c>
    </row>
    <row r="800" spans="1:22" x14ac:dyDescent="0.45">
      <c r="A800" s="3">
        <v>11046</v>
      </c>
      <c r="B800" s="6" t="s">
        <v>182</v>
      </c>
      <c r="C800" s="3">
        <v>8</v>
      </c>
      <c r="D800" s="6" t="str">
        <f>_xlfn.XLOOKUP(Table1[[#This Row],[EmployeeID]],Table4[employeeID],Table4[employeeName])</f>
        <v>Laura Callahan</v>
      </c>
      <c r="E800" s="1">
        <v>42117</v>
      </c>
      <c r="F800" s="1">
        <v>42145</v>
      </c>
      <c r="G800" s="1">
        <v>42118</v>
      </c>
      <c r="H800" s="3">
        <f>IF(Table1[[#This Row],[ShippedDate]]="","",IF(Table1[[#This Row],[OrderDate]]="","",Table1[[#This Row],[ShippedDate]]-Table1[[#This Row],[OrderDate]]))</f>
        <v>1</v>
      </c>
      <c r="I800" s="3">
        <v>2</v>
      </c>
      <c r="J800" s="2">
        <v>71.64</v>
      </c>
      <c r="K800" s="2">
        <f>SUMIF(order_details!A:A,Table1[[#This Row],[orderID]],order_details!F:F)</f>
        <v>1485.8</v>
      </c>
      <c r="L800" s="9">
        <f>_xlfn.XLOOKUP(Table1[[#This Row],[orderID]],Table3[orderID],Table3[discount])</f>
        <v>0.05</v>
      </c>
      <c r="M800" s="2">
        <f>SUM(Table1[[#This Row],[Sales]],Table1[[#This Row],[freight]])</f>
        <v>1557.44</v>
      </c>
      <c r="N800" s="3">
        <f>_xlfn.XLOOKUP(Table1[[#This Row],[orderID]],Table3[orderID],Table3[quantity])</f>
        <v>20</v>
      </c>
      <c r="O800" s="6" t="str">
        <f>_xlfn.XLOOKUP(Table1[[#This Row],[CustomerID]],customers!A:A,customers!B:B)</f>
        <v>Die Wandernde Kuh</v>
      </c>
      <c r="P800" s="6" t="str">
        <f>_xlfn.XLOOKUP(Table1[[#This Row],[shipperID]],Table6[shipperID],Table6[companyName])</f>
        <v>United Package</v>
      </c>
      <c r="Q800">
        <f>YEAR(Table1[[#This Row],[OrderDate]])</f>
        <v>2015</v>
      </c>
      <c r="R800">
        <f>MONTH(Table1[[#This Row],[OrderDate]])</f>
        <v>4</v>
      </c>
      <c r="S800" t="str">
        <f>"Q"&amp;ROUNDUP(Table1[[#This Row],[month]]/3,0)</f>
        <v>Q2</v>
      </c>
      <c r="T800" t="str">
        <f>CONCATENATE(Table1[[#This Row],[year]],"-",Table1[[#This Row],[Quarter]])</f>
        <v>2015-Q2</v>
      </c>
      <c r="U800" s="6" t="str">
        <f>IF(H799="","Pending",IF(Table1[[#This Row],[Days to ship]]&lt;Table1[[#This Row],[RequiredDate]],"On Time","Late"))</f>
        <v>Pending</v>
      </c>
      <c r="V800">
        <f>_xlfn.XLOOKUP(Table1[[#This Row],[orderID]],Table3[orderID],Table3[unitPrice])</f>
        <v>38</v>
      </c>
    </row>
    <row r="801" spans="1:22" x14ac:dyDescent="0.45">
      <c r="A801" s="3">
        <v>11047</v>
      </c>
      <c r="B801" s="6" t="s">
        <v>173</v>
      </c>
      <c r="C801" s="3">
        <v>7</v>
      </c>
      <c r="D801" s="6" t="str">
        <f>_xlfn.XLOOKUP(Table1[[#This Row],[EmployeeID]],Table4[employeeID],Table4[employeeName])</f>
        <v>Robert King</v>
      </c>
      <c r="E801" s="1">
        <v>42118</v>
      </c>
      <c r="F801" s="1">
        <v>42146</v>
      </c>
      <c r="G801" s="1">
        <v>42125</v>
      </c>
      <c r="H801" s="3">
        <f>IF(Table1[[#This Row],[ShippedDate]]="","",IF(Table1[[#This Row],[OrderDate]]="","",Table1[[#This Row],[ShippedDate]]-Table1[[#This Row],[OrderDate]]))</f>
        <v>7</v>
      </c>
      <c r="I801" s="3">
        <v>3</v>
      </c>
      <c r="J801" s="2">
        <v>46.62</v>
      </c>
      <c r="K801" s="2">
        <f>SUMIF(order_details!A:A,Table1[[#This Row],[orderID]],order_details!F:F)</f>
        <v>817.875</v>
      </c>
      <c r="L801" s="9">
        <f>_xlfn.XLOOKUP(Table1[[#This Row],[orderID]],Table3[orderID],Table3[discount])</f>
        <v>0.25</v>
      </c>
      <c r="M801" s="2">
        <f>SUM(Table1[[#This Row],[Sales]],Table1[[#This Row],[freight]])</f>
        <v>864.495</v>
      </c>
      <c r="N801" s="3">
        <f>_xlfn.XLOOKUP(Table1[[#This Row],[orderID]],Table3[orderID],Table3[quantity])</f>
        <v>25</v>
      </c>
      <c r="O801" s="6" t="str">
        <f>_xlfn.XLOOKUP(Table1[[#This Row],[CustomerID]],customers!A:A,customers!B:B)</f>
        <v>Eastern Connection</v>
      </c>
      <c r="P801" s="6" t="str">
        <f>_xlfn.XLOOKUP(Table1[[#This Row],[shipperID]],Table6[shipperID],Table6[companyName])</f>
        <v>Federal Shipping</v>
      </c>
      <c r="Q801">
        <f>YEAR(Table1[[#This Row],[OrderDate]])</f>
        <v>2015</v>
      </c>
      <c r="R801">
        <f>MONTH(Table1[[#This Row],[OrderDate]])</f>
        <v>4</v>
      </c>
      <c r="S801" t="str">
        <f>"Q"&amp;ROUNDUP(Table1[[#This Row],[month]]/3,0)</f>
        <v>Q2</v>
      </c>
      <c r="T801" t="str">
        <f>CONCATENATE(Table1[[#This Row],[year]],"-",Table1[[#This Row],[Quarter]])</f>
        <v>2015-Q2</v>
      </c>
      <c r="U801" s="6" t="str">
        <f>IF(H800="","Pending",IF(Table1[[#This Row],[Days to ship]]&lt;Table1[[#This Row],[RequiredDate]],"On Time","Late"))</f>
        <v>On Time</v>
      </c>
      <c r="V801">
        <f>_xlfn.XLOOKUP(Table1[[#This Row],[orderID]],Table3[orderID],Table3[unitPrice])</f>
        <v>18</v>
      </c>
    </row>
    <row r="802" spans="1:22" x14ac:dyDescent="0.45">
      <c r="A802" s="3">
        <v>11048</v>
      </c>
      <c r="B802" s="6" t="s">
        <v>181</v>
      </c>
      <c r="C802" s="3">
        <v>7</v>
      </c>
      <c r="D802" s="6" t="str">
        <f>_xlfn.XLOOKUP(Table1[[#This Row],[EmployeeID]],Table4[employeeID],Table4[employeeName])</f>
        <v>Robert King</v>
      </c>
      <c r="E802" s="1">
        <v>42118</v>
      </c>
      <c r="F802" s="1">
        <v>42146</v>
      </c>
      <c r="G802" s="1">
        <v>42124</v>
      </c>
      <c r="H802" s="3">
        <f>IF(Table1[[#This Row],[ShippedDate]]="","",IF(Table1[[#This Row],[OrderDate]]="","",Table1[[#This Row],[ShippedDate]]-Table1[[#This Row],[OrderDate]]))</f>
        <v>6</v>
      </c>
      <c r="I802" s="3">
        <v>3</v>
      </c>
      <c r="J802" s="2">
        <v>24.12</v>
      </c>
      <c r="K802" s="2">
        <f>SUMIF(order_details!A:A,Table1[[#This Row],[orderID]],order_details!F:F)</f>
        <v>525</v>
      </c>
      <c r="L802" s="9">
        <f>_xlfn.XLOOKUP(Table1[[#This Row],[orderID]],Table3[orderID],Table3[discount])</f>
        <v>0</v>
      </c>
      <c r="M802" s="2">
        <f>SUM(Table1[[#This Row],[Sales]],Table1[[#This Row],[freight]])</f>
        <v>549.12</v>
      </c>
      <c r="N802" s="3">
        <f>_xlfn.XLOOKUP(Table1[[#This Row],[orderID]],Table3[orderID],Table3[quantity])</f>
        <v>42</v>
      </c>
      <c r="O802" s="6" t="str">
        <f>_xlfn.XLOOKUP(Table1[[#This Row],[CustomerID]],customers!A:A,customers!B:B)</f>
        <v>Bottom-Dollar Markets</v>
      </c>
      <c r="P802" s="6" t="str">
        <f>_xlfn.XLOOKUP(Table1[[#This Row],[shipperID]],Table6[shipperID],Table6[companyName])</f>
        <v>Federal Shipping</v>
      </c>
      <c r="Q802">
        <f>YEAR(Table1[[#This Row],[OrderDate]])</f>
        <v>2015</v>
      </c>
      <c r="R802">
        <f>MONTH(Table1[[#This Row],[OrderDate]])</f>
        <v>4</v>
      </c>
      <c r="S802" t="str">
        <f>"Q"&amp;ROUNDUP(Table1[[#This Row],[month]]/3,0)</f>
        <v>Q2</v>
      </c>
      <c r="T802" t="str">
        <f>CONCATENATE(Table1[[#This Row],[year]],"-",Table1[[#This Row],[Quarter]])</f>
        <v>2015-Q2</v>
      </c>
      <c r="U802" s="6" t="str">
        <f>IF(H801="","Pending",IF(Table1[[#This Row],[Days to ship]]&lt;Table1[[#This Row],[RequiredDate]],"On Time","Late"))</f>
        <v>On Time</v>
      </c>
      <c r="V802">
        <f>_xlfn.XLOOKUP(Table1[[#This Row],[orderID]],Table3[orderID],Table3[unitPrice])</f>
        <v>12.5</v>
      </c>
    </row>
    <row r="803" spans="1:22" x14ac:dyDescent="0.45">
      <c r="A803" s="3">
        <v>11049</v>
      </c>
      <c r="B803" s="6" t="s">
        <v>180</v>
      </c>
      <c r="C803" s="3">
        <v>3</v>
      </c>
      <c r="D803" s="6" t="str">
        <f>_xlfn.XLOOKUP(Table1[[#This Row],[EmployeeID]],Table4[employeeID],Table4[employeeName])</f>
        <v>Janet Leverling</v>
      </c>
      <c r="E803" s="1">
        <v>42118</v>
      </c>
      <c r="F803" s="1">
        <v>42146</v>
      </c>
      <c r="G803" s="1">
        <v>42128</v>
      </c>
      <c r="H803" s="3">
        <f>IF(Table1[[#This Row],[ShippedDate]]="","",IF(Table1[[#This Row],[OrderDate]]="","",Table1[[#This Row],[ShippedDate]]-Table1[[#This Row],[OrderDate]]))</f>
        <v>10</v>
      </c>
      <c r="I803" s="3">
        <v>1</v>
      </c>
      <c r="J803" s="2">
        <v>8.34</v>
      </c>
      <c r="K803" s="2">
        <f>SUMIF(order_details!A:A,Table1[[#This Row],[orderID]],order_details!F:F)</f>
        <v>273.60000000000002</v>
      </c>
      <c r="L803" s="9">
        <f>_xlfn.XLOOKUP(Table1[[#This Row],[orderID]],Table3[orderID],Table3[discount])</f>
        <v>0.2</v>
      </c>
      <c r="M803" s="2">
        <f>SUM(Table1[[#This Row],[Sales]],Table1[[#This Row],[freight]])</f>
        <v>281.94</v>
      </c>
      <c r="N803" s="3">
        <f>_xlfn.XLOOKUP(Table1[[#This Row],[orderID]],Table3[orderID],Table3[quantity])</f>
        <v>10</v>
      </c>
      <c r="O803" s="6" t="str">
        <f>_xlfn.XLOOKUP(Table1[[#This Row],[CustomerID]],customers!A:A,customers!B:B)</f>
        <v>Gourmet Lanchonetes</v>
      </c>
      <c r="P803" s="6" t="str">
        <f>_xlfn.XLOOKUP(Table1[[#This Row],[shipperID]],Table6[shipperID],Table6[companyName])</f>
        <v>Speedy Express</v>
      </c>
      <c r="Q803">
        <f>YEAR(Table1[[#This Row],[OrderDate]])</f>
        <v>2015</v>
      </c>
      <c r="R803">
        <f>MONTH(Table1[[#This Row],[OrderDate]])</f>
        <v>4</v>
      </c>
      <c r="S803" t="str">
        <f>"Q"&amp;ROUNDUP(Table1[[#This Row],[month]]/3,0)</f>
        <v>Q2</v>
      </c>
      <c r="T803" t="str">
        <f>CONCATENATE(Table1[[#This Row],[year]],"-",Table1[[#This Row],[Quarter]])</f>
        <v>2015-Q2</v>
      </c>
      <c r="U803" s="6" t="str">
        <f>IF(H802="","Pending",IF(Table1[[#This Row],[Days to ship]]&lt;Table1[[#This Row],[RequiredDate]],"On Time","Late"))</f>
        <v>On Time</v>
      </c>
      <c r="V803">
        <f>_xlfn.XLOOKUP(Table1[[#This Row],[orderID]],Table3[orderID],Table3[unitPrice])</f>
        <v>19</v>
      </c>
    </row>
    <row r="804" spans="1:22" x14ac:dyDescent="0.45">
      <c r="A804" s="3">
        <v>11050</v>
      </c>
      <c r="B804" s="6" t="s">
        <v>179</v>
      </c>
      <c r="C804" s="3">
        <v>8</v>
      </c>
      <c r="D804" s="6" t="str">
        <f>_xlfn.XLOOKUP(Table1[[#This Row],[EmployeeID]],Table4[employeeID],Table4[employeeName])</f>
        <v>Laura Callahan</v>
      </c>
      <c r="E804" s="1">
        <v>42121</v>
      </c>
      <c r="F804" s="1">
        <v>42149</v>
      </c>
      <c r="G804" s="1">
        <v>42129</v>
      </c>
      <c r="H804" s="3">
        <f>IF(Table1[[#This Row],[ShippedDate]]="","",IF(Table1[[#This Row],[OrderDate]]="","",Table1[[#This Row],[ShippedDate]]-Table1[[#This Row],[OrderDate]]))</f>
        <v>8</v>
      </c>
      <c r="I804" s="3">
        <v>2</v>
      </c>
      <c r="J804" s="2">
        <v>59.41</v>
      </c>
      <c r="K804" s="2">
        <f>SUMIF(order_details!A:A,Table1[[#This Row],[orderID]],order_details!F:F)</f>
        <v>810</v>
      </c>
      <c r="L804" s="9">
        <f>_xlfn.XLOOKUP(Table1[[#This Row],[orderID]],Table3[orderID],Table3[discount])</f>
        <v>0.1</v>
      </c>
      <c r="M804" s="2">
        <f>SUM(Table1[[#This Row],[Sales]],Table1[[#This Row],[freight]])</f>
        <v>869.41</v>
      </c>
      <c r="N804" s="3">
        <f>_xlfn.XLOOKUP(Table1[[#This Row],[orderID]],Table3[orderID],Table3[quantity])</f>
        <v>50</v>
      </c>
      <c r="O804" s="6" t="str">
        <f>_xlfn.XLOOKUP(Table1[[#This Row],[CustomerID]],customers!A:A,customers!B:B)</f>
        <v>Folk och fä HB</v>
      </c>
      <c r="P804" s="6" t="str">
        <f>_xlfn.XLOOKUP(Table1[[#This Row],[shipperID]],Table6[shipperID],Table6[companyName])</f>
        <v>United Package</v>
      </c>
      <c r="Q804">
        <f>YEAR(Table1[[#This Row],[OrderDate]])</f>
        <v>2015</v>
      </c>
      <c r="R804">
        <f>MONTH(Table1[[#This Row],[OrderDate]])</f>
        <v>4</v>
      </c>
      <c r="S804" t="str">
        <f>"Q"&amp;ROUNDUP(Table1[[#This Row],[month]]/3,0)</f>
        <v>Q2</v>
      </c>
      <c r="T804" t="str">
        <f>CONCATENATE(Table1[[#This Row],[year]],"-",Table1[[#This Row],[Quarter]])</f>
        <v>2015-Q2</v>
      </c>
      <c r="U804" s="6" t="str">
        <f>IF(H803="","Pending",IF(Table1[[#This Row],[Days to ship]]&lt;Table1[[#This Row],[RequiredDate]],"On Time","Late"))</f>
        <v>On Time</v>
      </c>
      <c r="V804">
        <f>_xlfn.XLOOKUP(Table1[[#This Row],[orderID]],Table3[orderID],Table3[unitPrice])</f>
        <v>18</v>
      </c>
    </row>
    <row r="805" spans="1:22" x14ac:dyDescent="0.45">
      <c r="A805" s="3">
        <v>11051</v>
      </c>
      <c r="B805" s="6" t="s">
        <v>178</v>
      </c>
      <c r="C805" s="3">
        <v>7</v>
      </c>
      <c r="D805" s="6" t="str">
        <f>_xlfn.XLOOKUP(Table1[[#This Row],[EmployeeID]],Table4[employeeID],Table4[employeeName])</f>
        <v>Robert King</v>
      </c>
      <c r="E805" s="1">
        <v>42121</v>
      </c>
      <c r="F805" s="1">
        <v>42149</v>
      </c>
      <c r="H805" s="3" t="str">
        <f>IF(Table1[[#This Row],[ShippedDate]]="","",IF(Table1[[#This Row],[OrderDate]]="","",Table1[[#This Row],[ShippedDate]]-Table1[[#This Row],[OrderDate]]))</f>
        <v/>
      </c>
      <c r="I805" s="3">
        <v>3</v>
      </c>
      <c r="J805" s="2">
        <v>2.79</v>
      </c>
      <c r="K805" s="2">
        <f>SUMIF(order_details!A:A,Table1[[#This Row],[orderID]],order_details!F:F)</f>
        <v>36</v>
      </c>
      <c r="L805" s="9">
        <f>_xlfn.XLOOKUP(Table1[[#This Row],[orderID]],Table3[orderID],Table3[discount])</f>
        <v>0.2</v>
      </c>
      <c r="M805" s="2">
        <f>SUM(Table1[[#This Row],[Sales]],Table1[[#This Row],[freight]])</f>
        <v>38.79</v>
      </c>
      <c r="N805" s="3">
        <f>_xlfn.XLOOKUP(Table1[[#This Row],[orderID]],Table3[orderID],Table3[quantity])</f>
        <v>10</v>
      </c>
      <c r="O805" s="6" t="str">
        <f>_xlfn.XLOOKUP(Table1[[#This Row],[CustomerID]],customers!A:A,customers!B:B)</f>
        <v>La maison d'Asie</v>
      </c>
      <c r="P805" s="6" t="str">
        <f>_xlfn.XLOOKUP(Table1[[#This Row],[shipperID]],Table6[shipperID],Table6[companyName])</f>
        <v>Federal Shipping</v>
      </c>
      <c r="Q805">
        <f>YEAR(Table1[[#This Row],[OrderDate]])</f>
        <v>2015</v>
      </c>
      <c r="R805">
        <f>MONTH(Table1[[#This Row],[OrderDate]])</f>
        <v>4</v>
      </c>
      <c r="S805" t="str">
        <f>"Q"&amp;ROUNDUP(Table1[[#This Row],[month]]/3,0)</f>
        <v>Q2</v>
      </c>
      <c r="T805" t="str">
        <f>CONCATENATE(Table1[[#This Row],[year]],"-",Table1[[#This Row],[Quarter]])</f>
        <v>2015-Q2</v>
      </c>
      <c r="U805" s="6" t="str">
        <f>IF(H804="","Pending",IF(Table1[[#This Row],[Days to ship]]&lt;Table1[[#This Row],[RequiredDate]],"On Time","Late"))</f>
        <v>Late</v>
      </c>
      <c r="V805">
        <f>_xlfn.XLOOKUP(Table1[[#This Row],[orderID]],Table3[orderID],Table3[unitPrice])</f>
        <v>4.5</v>
      </c>
    </row>
    <row r="806" spans="1:22" x14ac:dyDescent="0.45">
      <c r="A806" s="3">
        <v>11052</v>
      </c>
      <c r="B806" s="6" t="s">
        <v>177</v>
      </c>
      <c r="C806" s="3">
        <v>3</v>
      </c>
      <c r="D806" s="6" t="str">
        <f>_xlfn.XLOOKUP(Table1[[#This Row],[EmployeeID]],Table4[employeeID],Table4[employeeName])</f>
        <v>Janet Leverling</v>
      </c>
      <c r="E806" s="1">
        <v>42121</v>
      </c>
      <c r="F806" s="1">
        <v>42149</v>
      </c>
      <c r="G806" s="1">
        <v>42125</v>
      </c>
      <c r="H806" s="3">
        <f>IF(Table1[[#This Row],[ShippedDate]]="","",IF(Table1[[#This Row],[OrderDate]]="","",Table1[[#This Row],[ShippedDate]]-Table1[[#This Row],[OrderDate]]))</f>
        <v>4</v>
      </c>
      <c r="I806" s="3">
        <v>1</v>
      </c>
      <c r="J806" s="2">
        <v>67.260000000000005</v>
      </c>
      <c r="K806" s="2">
        <f>SUMIF(order_details!A:A,Table1[[#This Row],[orderID]],order_details!F:F)</f>
        <v>1332</v>
      </c>
      <c r="L806" s="9">
        <f>_xlfn.XLOOKUP(Table1[[#This Row],[orderID]],Table3[orderID],Table3[discount])</f>
        <v>0.2</v>
      </c>
      <c r="M806" s="2">
        <f>SUM(Table1[[#This Row],[Sales]],Table1[[#This Row],[freight]])</f>
        <v>1399.26</v>
      </c>
      <c r="N806" s="3">
        <f>_xlfn.XLOOKUP(Table1[[#This Row],[orderID]],Table3[orderID],Table3[quantity])</f>
        <v>30</v>
      </c>
      <c r="O806" s="6" t="str">
        <f>_xlfn.XLOOKUP(Table1[[#This Row],[CustomerID]],customers!A:A,customers!B:B)</f>
        <v>Hanari Carnes</v>
      </c>
      <c r="P806" s="6" t="str">
        <f>_xlfn.XLOOKUP(Table1[[#This Row],[shipperID]],Table6[shipperID],Table6[companyName])</f>
        <v>Speedy Express</v>
      </c>
      <c r="Q806">
        <f>YEAR(Table1[[#This Row],[OrderDate]])</f>
        <v>2015</v>
      </c>
      <c r="R806">
        <f>MONTH(Table1[[#This Row],[OrderDate]])</f>
        <v>4</v>
      </c>
      <c r="S806" t="str">
        <f>"Q"&amp;ROUNDUP(Table1[[#This Row],[month]]/3,0)</f>
        <v>Q2</v>
      </c>
      <c r="T806" t="str">
        <f>CONCATENATE(Table1[[#This Row],[year]],"-",Table1[[#This Row],[Quarter]])</f>
        <v>2015-Q2</v>
      </c>
      <c r="U806" s="6" t="str">
        <f>IF(H805="","Pending",IF(Table1[[#This Row],[Days to ship]]&lt;Table1[[#This Row],[RequiredDate]],"On Time","Late"))</f>
        <v>Pending</v>
      </c>
      <c r="V806">
        <f>_xlfn.XLOOKUP(Table1[[#This Row],[orderID]],Table3[orderID],Table3[unitPrice])</f>
        <v>46</v>
      </c>
    </row>
    <row r="807" spans="1:22" x14ac:dyDescent="0.45">
      <c r="A807" s="3">
        <v>11053</v>
      </c>
      <c r="B807" s="6" t="s">
        <v>176</v>
      </c>
      <c r="C807" s="3">
        <v>2</v>
      </c>
      <c r="D807" s="6" t="str">
        <f>_xlfn.XLOOKUP(Table1[[#This Row],[EmployeeID]],Table4[employeeID],Table4[employeeName])</f>
        <v>Andrew Fuller</v>
      </c>
      <c r="E807" s="1">
        <v>42121</v>
      </c>
      <c r="F807" s="1">
        <v>42149</v>
      </c>
      <c r="G807" s="1">
        <v>42123</v>
      </c>
      <c r="H807" s="3">
        <f>IF(Table1[[#This Row],[ShippedDate]]="","",IF(Table1[[#This Row],[OrderDate]]="","",Table1[[#This Row],[ShippedDate]]-Table1[[#This Row],[OrderDate]]))</f>
        <v>2</v>
      </c>
      <c r="I807" s="3">
        <v>2</v>
      </c>
      <c r="J807" s="2">
        <v>53.05</v>
      </c>
      <c r="K807" s="2">
        <f>SUMIF(order_details!A:A,Table1[[#This Row],[orderID]],order_details!F:F)</f>
        <v>3055</v>
      </c>
      <c r="L807" s="9">
        <f>_xlfn.XLOOKUP(Table1[[#This Row],[orderID]],Table3[orderID],Table3[discount])</f>
        <v>0.2</v>
      </c>
      <c r="M807" s="2">
        <f>SUM(Table1[[#This Row],[Sales]],Table1[[#This Row],[freight]])</f>
        <v>3108.05</v>
      </c>
      <c r="N807" s="3">
        <f>_xlfn.XLOOKUP(Table1[[#This Row],[orderID]],Table3[orderID],Table3[quantity])</f>
        <v>35</v>
      </c>
      <c r="O807" s="6" t="str">
        <f>_xlfn.XLOOKUP(Table1[[#This Row],[CustomerID]],customers!A:A,customers!B:B)</f>
        <v>Piccolo und mehr</v>
      </c>
      <c r="P807" s="6" t="str">
        <f>_xlfn.XLOOKUP(Table1[[#This Row],[shipperID]],Table6[shipperID],Table6[companyName])</f>
        <v>United Package</v>
      </c>
      <c r="Q807">
        <f>YEAR(Table1[[#This Row],[OrderDate]])</f>
        <v>2015</v>
      </c>
      <c r="R807">
        <f>MONTH(Table1[[#This Row],[OrderDate]])</f>
        <v>4</v>
      </c>
      <c r="S807" t="str">
        <f>"Q"&amp;ROUNDUP(Table1[[#This Row],[month]]/3,0)</f>
        <v>Q2</v>
      </c>
      <c r="T807" t="str">
        <f>CONCATENATE(Table1[[#This Row],[year]],"-",Table1[[#This Row],[Quarter]])</f>
        <v>2015-Q2</v>
      </c>
      <c r="U807" s="6" t="str">
        <f>IF(H806="","Pending",IF(Table1[[#This Row],[Days to ship]]&lt;Table1[[#This Row],[RequiredDate]],"On Time","Late"))</f>
        <v>On Time</v>
      </c>
      <c r="V807">
        <f>_xlfn.XLOOKUP(Table1[[#This Row],[orderID]],Table3[orderID],Table3[unitPrice])</f>
        <v>62.5</v>
      </c>
    </row>
    <row r="808" spans="1:22" x14ac:dyDescent="0.45">
      <c r="A808" s="3">
        <v>11054</v>
      </c>
      <c r="B808" s="6" t="s">
        <v>175</v>
      </c>
      <c r="C808" s="3">
        <v>8</v>
      </c>
      <c r="D808" s="6" t="str">
        <f>_xlfn.XLOOKUP(Table1[[#This Row],[EmployeeID]],Table4[employeeID],Table4[employeeName])</f>
        <v>Laura Callahan</v>
      </c>
      <c r="E808" s="1">
        <v>42122</v>
      </c>
      <c r="F808" s="1">
        <v>42150</v>
      </c>
      <c r="H808" s="3" t="str">
        <f>IF(Table1[[#This Row],[ShippedDate]]="","",IF(Table1[[#This Row],[OrderDate]]="","",Table1[[#This Row],[ShippedDate]]-Table1[[#This Row],[OrderDate]]))</f>
        <v/>
      </c>
      <c r="I808" s="3">
        <v>1</v>
      </c>
      <c r="J808" s="2">
        <v>0.33</v>
      </c>
      <c r="K808" s="2">
        <f>SUMIF(order_details!A:A,Table1[[#This Row],[orderID]],order_details!F:F)</f>
        <v>305</v>
      </c>
      <c r="L808" s="9">
        <f>_xlfn.XLOOKUP(Table1[[#This Row],[orderID]],Table3[orderID],Table3[discount])</f>
        <v>0</v>
      </c>
      <c r="M808" s="2">
        <f>SUM(Table1[[#This Row],[Sales]],Table1[[#This Row],[freight]])</f>
        <v>305.33</v>
      </c>
      <c r="N808" s="3">
        <f>_xlfn.XLOOKUP(Table1[[#This Row],[orderID]],Table3[orderID],Table3[quantity])</f>
        <v>10</v>
      </c>
      <c r="O808" s="6" t="str">
        <f>_xlfn.XLOOKUP(Table1[[#This Row],[CustomerID]],customers!A:A,customers!B:B)</f>
        <v>Cactus Comidas para llevar</v>
      </c>
      <c r="P808" s="6" t="str">
        <f>_xlfn.XLOOKUP(Table1[[#This Row],[shipperID]],Table6[shipperID],Table6[companyName])</f>
        <v>Speedy Express</v>
      </c>
      <c r="Q808">
        <f>YEAR(Table1[[#This Row],[OrderDate]])</f>
        <v>2015</v>
      </c>
      <c r="R808">
        <f>MONTH(Table1[[#This Row],[OrderDate]])</f>
        <v>4</v>
      </c>
      <c r="S808" t="str">
        <f>"Q"&amp;ROUNDUP(Table1[[#This Row],[month]]/3,0)</f>
        <v>Q2</v>
      </c>
      <c r="T808" t="str">
        <f>CONCATENATE(Table1[[#This Row],[year]],"-",Table1[[#This Row],[Quarter]])</f>
        <v>2015-Q2</v>
      </c>
      <c r="U808" s="6" t="str">
        <f>IF(H807="","Pending",IF(Table1[[#This Row],[Days to ship]]&lt;Table1[[#This Row],[RequiredDate]],"On Time","Late"))</f>
        <v>Late</v>
      </c>
      <c r="V808">
        <f>_xlfn.XLOOKUP(Table1[[#This Row],[orderID]],Table3[orderID],Table3[unitPrice])</f>
        <v>2.5</v>
      </c>
    </row>
    <row r="809" spans="1:22" x14ac:dyDescent="0.45">
      <c r="A809" s="3">
        <v>11055</v>
      </c>
      <c r="B809" s="6" t="s">
        <v>174</v>
      </c>
      <c r="C809" s="3">
        <v>7</v>
      </c>
      <c r="D809" s="6" t="str">
        <f>_xlfn.XLOOKUP(Table1[[#This Row],[EmployeeID]],Table4[employeeID],Table4[employeeName])</f>
        <v>Robert King</v>
      </c>
      <c r="E809" s="1">
        <v>42122</v>
      </c>
      <c r="F809" s="1">
        <v>42150</v>
      </c>
      <c r="G809" s="1">
        <v>42129</v>
      </c>
      <c r="H809" s="3">
        <f>IF(Table1[[#This Row],[ShippedDate]]="","",IF(Table1[[#This Row],[OrderDate]]="","",Table1[[#This Row],[ShippedDate]]-Table1[[#This Row],[OrderDate]]))</f>
        <v>7</v>
      </c>
      <c r="I809" s="3">
        <v>2</v>
      </c>
      <c r="J809" s="2">
        <v>120.92</v>
      </c>
      <c r="K809" s="2">
        <f>SUMIF(order_details!A:A,Table1[[#This Row],[orderID]],order_details!F:F)</f>
        <v>1727.5</v>
      </c>
      <c r="L809" s="9">
        <f>_xlfn.XLOOKUP(Table1[[#This Row],[orderID]],Table3[orderID],Table3[discount])</f>
        <v>0</v>
      </c>
      <c r="M809" s="2">
        <f>SUM(Table1[[#This Row],[Sales]],Table1[[#This Row],[freight]])</f>
        <v>1848.42</v>
      </c>
      <c r="N809" s="3">
        <f>_xlfn.XLOOKUP(Table1[[#This Row],[orderID]],Table3[orderID],Table3[quantity])</f>
        <v>15</v>
      </c>
      <c r="O809" s="6" t="str">
        <f>_xlfn.XLOOKUP(Table1[[#This Row],[CustomerID]],customers!A:A,customers!B:B)</f>
        <v>HILARION-Abastos</v>
      </c>
      <c r="P809" s="6" t="str">
        <f>_xlfn.XLOOKUP(Table1[[#This Row],[shipperID]],Table6[shipperID],Table6[companyName])</f>
        <v>United Package</v>
      </c>
      <c r="Q809">
        <f>YEAR(Table1[[#This Row],[OrderDate]])</f>
        <v>2015</v>
      </c>
      <c r="R809">
        <f>MONTH(Table1[[#This Row],[OrderDate]])</f>
        <v>4</v>
      </c>
      <c r="S809" t="str">
        <f>"Q"&amp;ROUNDUP(Table1[[#This Row],[month]]/3,0)</f>
        <v>Q2</v>
      </c>
      <c r="T809" t="str">
        <f>CONCATENATE(Table1[[#This Row],[year]],"-",Table1[[#This Row],[Quarter]])</f>
        <v>2015-Q2</v>
      </c>
      <c r="U809" s="6" t="str">
        <f>IF(H808="","Pending",IF(Table1[[#This Row],[Days to ship]]&lt;Table1[[#This Row],[RequiredDate]],"On Time","Late"))</f>
        <v>Pending</v>
      </c>
      <c r="V809">
        <f>_xlfn.XLOOKUP(Table1[[#This Row],[orderID]],Table3[orderID],Table3[unitPrice])</f>
        <v>4.5</v>
      </c>
    </row>
    <row r="810" spans="1:22" x14ac:dyDescent="0.45">
      <c r="A810" s="3">
        <v>11056</v>
      </c>
      <c r="B810" s="6" t="s">
        <v>173</v>
      </c>
      <c r="C810" s="3">
        <v>8</v>
      </c>
      <c r="D810" s="6" t="str">
        <f>_xlfn.XLOOKUP(Table1[[#This Row],[EmployeeID]],Table4[employeeID],Table4[employeeName])</f>
        <v>Laura Callahan</v>
      </c>
      <c r="E810" s="1">
        <v>42122</v>
      </c>
      <c r="F810" s="1">
        <v>42136</v>
      </c>
      <c r="G810" s="1">
        <v>42125</v>
      </c>
      <c r="H810" s="3">
        <f>IF(Table1[[#This Row],[ShippedDate]]="","",IF(Table1[[#This Row],[OrderDate]]="","",Table1[[#This Row],[ShippedDate]]-Table1[[#This Row],[OrderDate]]))</f>
        <v>3</v>
      </c>
      <c r="I810" s="3">
        <v>2</v>
      </c>
      <c r="J810" s="2">
        <v>278.95999999999998</v>
      </c>
      <c r="K810" s="2">
        <f>SUMIF(order_details!A:A,Table1[[#This Row],[orderID]],order_details!F:F)</f>
        <v>3740</v>
      </c>
      <c r="L810" s="9">
        <f>_xlfn.XLOOKUP(Table1[[#This Row],[orderID]],Table3[orderID],Table3[discount])</f>
        <v>0</v>
      </c>
      <c r="M810" s="2">
        <f>SUM(Table1[[#This Row],[Sales]],Table1[[#This Row],[freight]])</f>
        <v>4018.96</v>
      </c>
      <c r="N810" s="3">
        <f>_xlfn.XLOOKUP(Table1[[#This Row],[orderID]],Table3[orderID],Table3[quantity])</f>
        <v>40</v>
      </c>
      <c r="O810" s="6" t="str">
        <f>_xlfn.XLOOKUP(Table1[[#This Row],[CustomerID]],customers!A:A,customers!B:B)</f>
        <v>Eastern Connection</v>
      </c>
      <c r="P810" s="6" t="str">
        <f>_xlfn.XLOOKUP(Table1[[#This Row],[shipperID]],Table6[shipperID],Table6[companyName])</f>
        <v>United Package</v>
      </c>
      <c r="Q810">
        <f>YEAR(Table1[[#This Row],[OrderDate]])</f>
        <v>2015</v>
      </c>
      <c r="R810">
        <f>MONTH(Table1[[#This Row],[OrderDate]])</f>
        <v>4</v>
      </c>
      <c r="S810" t="str">
        <f>"Q"&amp;ROUNDUP(Table1[[#This Row],[month]]/3,0)</f>
        <v>Q2</v>
      </c>
      <c r="T810" t="str">
        <f>CONCATENATE(Table1[[#This Row],[year]],"-",Table1[[#This Row],[Quarter]])</f>
        <v>2015-Q2</v>
      </c>
      <c r="U810" s="6" t="str">
        <f>IF(H809="","Pending",IF(Table1[[#This Row],[Days to ship]]&lt;Table1[[#This Row],[RequiredDate]],"On Time","Late"))</f>
        <v>On Time</v>
      </c>
      <c r="V810">
        <f>_xlfn.XLOOKUP(Table1[[#This Row],[orderID]],Table3[orderID],Table3[unitPrice])</f>
        <v>30</v>
      </c>
    </row>
    <row r="811" spans="1:22" x14ac:dyDescent="0.45">
      <c r="A811" s="3">
        <v>11057</v>
      </c>
      <c r="B811" s="6" t="s">
        <v>172</v>
      </c>
      <c r="C811" s="3">
        <v>3</v>
      </c>
      <c r="D811" s="6" t="str">
        <f>_xlfn.XLOOKUP(Table1[[#This Row],[EmployeeID]],Table4[employeeID],Table4[employeeName])</f>
        <v>Janet Leverling</v>
      </c>
      <c r="E811" s="1">
        <v>42123</v>
      </c>
      <c r="F811" s="1">
        <v>42151</v>
      </c>
      <c r="G811" s="1">
        <v>42125</v>
      </c>
      <c r="H811" s="3">
        <f>IF(Table1[[#This Row],[ShippedDate]]="","",IF(Table1[[#This Row],[OrderDate]]="","",Table1[[#This Row],[ShippedDate]]-Table1[[#This Row],[OrderDate]]))</f>
        <v>2</v>
      </c>
      <c r="I811" s="3">
        <v>3</v>
      </c>
      <c r="J811" s="2">
        <v>4.13</v>
      </c>
      <c r="K811" s="2">
        <f>SUMIF(order_details!A:A,Table1[[#This Row],[orderID]],order_details!F:F)</f>
        <v>45</v>
      </c>
      <c r="L811" s="9">
        <f>_xlfn.XLOOKUP(Table1[[#This Row],[orderID]],Table3[orderID],Table3[discount])</f>
        <v>0</v>
      </c>
      <c r="M811" s="2">
        <f>SUM(Table1[[#This Row],[Sales]],Table1[[#This Row],[freight]])</f>
        <v>49.13</v>
      </c>
      <c r="N811" s="3">
        <f>_xlfn.XLOOKUP(Table1[[#This Row],[orderID]],Table3[orderID],Table3[quantity])</f>
        <v>3</v>
      </c>
      <c r="O811" s="6" t="str">
        <f>_xlfn.XLOOKUP(Table1[[#This Row],[CustomerID]],customers!A:A,customers!B:B)</f>
        <v>North/South</v>
      </c>
      <c r="P811" s="6" t="str">
        <f>_xlfn.XLOOKUP(Table1[[#This Row],[shipperID]],Table6[shipperID],Table6[companyName])</f>
        <v>Federal Shipping</v>
      </c>
      <c r="Q811">
        <f>YEAR(Table1[[#This Row],[OrderDate]])</f>
        <v>2015</v>
      </c>
      <c r="R811">
        <f>MONTH(Table1[[#This Row],[OrderDate]])</f>
        <v>4</v>
      </c>
      <c r="S811" t="str">
        <f>"Q"&amp;ROUNDUP(Table1[[#This Row],[month]]/3,0)</f>
        <v>Q2</v>
      </c>
      <c r="T811" t="str">
        <f>CONCATENATE(Table1[[#This Row],[year]],"-",Table1[[#This Row],[Quarter]])</f>
        <v>2015-Q2</v>
      </c>
      <c r="U811" s="6" t="str">
        <f>IF(H810="","Pending",IF(Table1[[#This Row],[Days to ship]]&lt;Table1[[#This Row],[RequiredDate]],"On Time","Late"))</f>
        <v>On Time</v>
      </c>
      <c r="V811">
        <f>_xlfn.XLOOKUP(Table1[[#This Row],[orderID]],Table3[orderID],Table3[unitPrice])</f>
        <v>15</v>
      </c>
    </row>
    <row r="812" spans="1:22" x14ac:dyDescent="0.45">
      <c r="A812" s="3">
        <v>11058</v>
      </c>
      <c r="B812" s="6" t="s">
        <v>171</v>
      </c>
      <c r="C812" s="3">
        <v>9</v>
      </c>
      <c r="D812" s="6" t="str">
        <f>_xlfn.XLOOKUP(Table1[[#This Row],[EmployeeID]],Table4[employeeID],Table4[employeeName])</f>
        <v>Anne Dodsworth</v>
      </c>
      <c r="E812" s="1">
        <v>42123</v>
      </c>
      <c r="F812" s="1">
        <v>42151</v>
      </c>
      <c r="H812" s="3" t="str">
        <f>IF(Table1[[#This Row],[ShippedDate]]="","",IF(Table1[[#This Row],[OrderDate]]="","",Table1[[#This Row],[ShippedDate]]-Table1[[#This Row],[OrderDate]]))</f>
        <v/>
      </c>
      <c r="I812" s="3">
        <v>3</v>
      </c>
      <c r="J812" s="2">
        <v>31.14</v>
      </c>
      <c r="K812" s="2">
        <f>SUMIF(order_details!A:A,Table1[[#This Row],[orderID]],order_details!F:F)</f>
        <v>858</v>
      </c>
      <c r="L812" s="9">
        <f>_xlfn.XLOOKUP(Table1[[#This Row],[orderID]],Table3[orderID],Table3[discount])</f>
        <v>0</v>
      </c>
      <c r="M812" s="2">
        <f>SUM(Table1[[#This Row],[Sales]],Table1[[#This Row],[freight]])</f>
        <v>889.14</v>
      </c>
      <c r="N812" s="3">
        <f>_xlfn.XLOOKUP(Table1[[#This Row],[orderID]],Table3[orderID],Table3[quantity])</f>
        <v>3</v>
      </c>
      <c r="O812" s="6" t="str">
        <f>_xlfn.XLOOKUP(Table1[[#This Row],[CustomerID]],customers!A:A,customers!B:B)</f>
        <v>Blauer See Delikatessen</v>
      </c>
      <c r="P812" s="6" t="str">
        <f>_xlfn.XLOOKUP(Table1[[#This Row],[shipperID]],Table6[shipperID],Table6[companyName])</f>
        <v>Federal Shipping</v>
      </c>
      <c r="Q812">
        <f>YEAR(Table1[[#This Row],[OrderDate]])</f>
        <v>2015</v>
      </c>
      <c r="R812">
        <f>MONTH(Table1[[#This Row],[OrderDate]])</f>
        <v>4</v>
      </c>
      <c r="S812" t="str">
        <f>"Q"&amp;ROUNDUP(Table1[[#This Row],[month]]/3,0)</f>
        <v>Q2</v>
      </c>
      <c r="T812" t="str">
        <f>CONCATENATE(Table1[[#This Row],[year]],"-",Table1[[#This Row],[Quarter]])</f>
        <v>2015-Q2</v>
      </c>
      <c r="U812" s="6" t="str">
        <f>IF(H811="","Pending",IF(Table1[[#This Row],[Days to ship]]&lt;Table1[[#This Row],[RequiredDate]],"On Time","Late"))</f>
        <v>Late</v>
      </c>
      <c r="V812">
        <f>_xlfn.XLOOKUP(Table1[[#This Row],[orderID]],Table3[orderID],Table3[unitPrice])</f>
        <v>10</v>
      </c>
    </row>
    <row r="813" spans="1:22" x14ac:dyDescent="0.45">
      <c r="A813" s="3">
        <v>11059</v>
      </c>
      <c r="B813" s="6" t="s">
        <v>170</v>
      </c>
      <c r="C813" s="3">
        <v>2</v>
      </c>
      <c r="D813" s="6" t="str">
        <f>_xlfn.XLOOKUP(Table1[[#This Row],[EmployeeID]],Table4[employeeID],Table4[employeeName])</f>
        <v>Andrew Fuller</v>
      </c>
      <c r="E813" s="1">
        <v>42123</v>
      </c>
      <c r="F813" s="1">
        <v>42165</v>
      </c>
      <c r="H813" s="3" t="str">
        <f>IF(Table1[[#This Row],[ShippedDate]]="","",IF(Table1[[#This Row],[OrderDate]]="","",Table1[[#This Row],[ShippedDate]]-Table1[[#This Row],[OrderDate]]))</f>
        <v/>
      </c>
      <c r="I813" s="3">
        <v>2</v>
      </c>
      <c r="J813" s="2">
        <v>85.8</v>
      </c>
      <c r="K813" s="2">
        <f>SUMIF(order_details!A:A,Table1[[#This Row],[orderID]],order_details!F:F)</f>
        <v>1838</v>
      </c>
      <c r="L813" s="9">
        <f>_xlfn.XLOOKUP(Table1[[#This Row],[orderID]],Table3[orderID],Table3[discount])</f>
        <v>0</v>
      </c>
      <c r="M813" s="2">
        <f>SUM(Table1[[#This Row],[Sales]],Table1[[#This Row],[freight]])</f>
        <v>1923.8</v>
      </c>
      <c r="N813" s="3">
        <f>_xlfn.XLOOKUP(Table1[[#This Row],[orderID]],Table3[orderID],Table3[quantity])</f>
        <v>30</v>
      </c>
      <c r="O813" s="6" t="str">
        <f>_xlfn.XLOOKUP(Table1[[#This Row],[CustomerID]],customers!A:A,customers!B:B)</f>
        <v>Ricardo Adocicados</v>
      </c>
      <c r="P813" s="6" t="str">
        <f>_xlfn.XLOOKUP(Table1[[#This Row],[shipperID]],Table6[shipperID],Table6[companyName])</f>
        <v>United Package</v>
      </c>
      <c r="Q813">
        <f>YEAR(Table1[[#This Row],[OrderDate]])</f>
        <v>2015</v>
      </c>
      <c r="R813">
        <f>MONTH(Table1[[#This Row],[OrderDate]])</f>
        <v>4</v>
      </c>
      <c r="S813" t="str">
        <f>"Q"&amp;ROUNDUP(Table1[[#This Row],[month]]/3,0)</f>
        <v>Q2</v>
      </c>
      <c r="T813" t="str">
        <f>CONCATENATE(Table1[[#This Row],[year]],"-",Table1[[#This Row],[Quarter]])</f>
        <v>2015-Q2</v>
      </c>
      <c r="U813" s="6" t="str">
        <f>IF(H812="","Pending",IF(Table1[[#This Row],[Days to ship]]&lt;Table1[[#This Row],[RequiredDate]],"On Time","Late"))</f>
        <v>Pending</v>
      </c>
      <c r="V813">
        <f>_xlfn.XLOOKUP(Table1[[#This Row],[orderID]],Table3[orderID],Table3[unitPrice])</f>
        <v>6</v>
      </c>
    </row>
    <row r="814" spans="1:22" x14ac:dyDescent="0.45">
      <c r="A814" s="3">
        <v>11060</v>
      </c>
      <c r="B814" s="6" t="s">
        <v>169</v>
      </c>
      <c r="C814" s="3">
        <v>2</v>
      </c>
      <c r="D814" s="6" t="str">
        <f>_xlfn.XLOOKUP(Table1[[#This Row],[EmployeeID]],Table4[employeeID],Table4[employeeName])</f>
        <v>Andrew Fuller</v>
      </c>
      <c r="E814" s="1">
        <v>42124</v>
      </c>
      <c r="F814" s="1">
        <v>42152</v>
      </c>
      <c r="G814" s="1">
        <v>42128</v>
      </c>
      <c r="H814" s="3">
        <f>IF(Table1[[#This Row],[ShippedDate]]="","",IF(Table1[[#This Row],[OrderDate]]="","",Table1[[#This Row],[ShippedDate]]-Table1[[#This Row],[OrderDate]]))</f>
        <v>4</v>
      </c>
      <c r="I814" s="3">
        <v>2</v>
      </c>
      <c r="J814" s="2">
        <v>10.98</v>
      </c>
      <c r="K814" s="2">
        <f>SUMIF(order_details!A:A,Table1[[#This Row],[orderID]],order_details!F:F)</f>
        <v>266</v>
      </c>
      <c r="L814" s="9">
        <f>_xlfn.XLOOKUP(Table1[[#This Row],[orderID]],Table3[orderID],Table3[discount])</f>
        <v>0</v>
      </c>
      <c r="M814" s="2">
        <f>SUM(Table1[[#This Row],[Sales]],Table1[[#This Row],[freight]])</f>
        <v>276.98</v>
      </c>
      <c r="N814" s="3">
        <f>_xlfn.XLOOKUP(Table1[[#This Row],[orderID]],Table3[orderID],Table3[quantity])</f>
        <v>4</v>
      </c>
      <c r="O814" s="6" t="str">
        <f>_xlfn.XLOOKUP(Table1[[#This Row],[CustomerID]],customers!A:A,customers!B:B)</f>
        <v>Franchi S.p.A.</v>
      </c>
      <c r="P814" s="6" t="str">
        <f>_xlfn.XLOOKUP(Table1[[#This Row],[shipperID]],Table6[shipperID],Table6[companyName])</f>
        <v>United Package</v>
      </c>
      <c r="Q814">
        <f>YEAR(Table1[[#This Row],[OrderDate]])</f>
        <v>2015</v>
      </c>
      <c r="R814">
        <f>MONTH(Table1[[#This Row],[OrderDate]])</f>
        <v>4</v>
      </c>
      <c r="S814" t="str">
        <f>"Q"&amp;ROUNDUP(Table1[[#This Row],[month]]/3,0)</f>
        <v>Q2</v>
      </c>
      <c r="T814" t="str">
        <f>CONCATENATE(Table1[[#This Row],[year]],"-",Table1[[#This Row],[Quarter]])</f>
        <v>2015-Q2</v>
      </c>
      <c r="U814" s="6" t="str">
        <f>IF(H813="","Pending",IF(Table1[[#This Row],[Days to ship]]&lt;Table1[[#This Row],[RequiredDate]],"On Time","Late"))</f>
        <v>Pending</v>
      </c>
      <c r="V814">
        <f>_xlfn.XLOOKUP(Table1[[#This Row],[orderID]],Table3[orderID],Table3[unitPrice])</f>
        <v>34</v>
      </c>
    </row>
    <row r="815" spans="1:22" x14ac:dyDescent="0.45">
      <c r="A815" s="3">
        <v>11061</v>
      </c>
      <c r="B815" s="6" t="s">
        <v>168</v>
      </c>
      <c r="C815" s="3">
        <v>4</v>
      </c>
      <c r="D815" s="6" t="str">
        <f>_xlfn.XLOOKUP(Table1[[#This Row],[EmployeeID]],Table4[employeeID],Table4[employeeName])</f>
        <v>Margaret Peacock</v>
      </c>
      <c r="E815" s="1">
        <v>42124</v>
      </c>
      <c r="F815" s="1">
        <v>42166</v>
      </c>
      <c r="H815" s="3" t="str">
        <f>IF(Table1[[#This Row],[ShippedDate]]="","",IF(Table1[[#This Row],[OrderDate]]="","",Table1[[#This Row],[ShippedDate]]-Table1[[#This Row],[OrderDate]]))</f>
        <v/>
      </c>
      <c r="I815" s="3">
        <v>3</v>
      </c>
      <c r="J815" s="2">
        <v>14.01</v>
      </c>
      <c r="K815" s="2">
        <f>SUMIF(order_details!A:A,Table1[[#This Row],[orderID]],order_details!F:F)</f>
        <v>510</v>
      </c>
      <c r="L815" s="9">
        <f>_xlfn.XLOOKUP(Table1[[#This Row],[orderID]],Table3[orderID],Table3[discount])</f>
        <v>0</v>
      </c>
      <c r="M815" s="2">
        <f>SUM(Table1[[#This Row],[Sales]],Table1[[#This Row],[freight]])</f>
        <v>524.01</v>
      </c>
      <c r="N815" s="3">
        <f>_xlfn.XLOOKUP(Table1[[#This Row],[orderID]],Table3[orderID],Table3[quantity])</f>
        <v>15</v>
      </c>
      <c r="O815" s="6" t="str">
        <f>_xlfn.XLOOKUP(Table1[[#This Row],[CustomerID]],customers!A:A,customers!B:B)</f>
        <v>Great Lakes Food Market</v>
      </c>
      <c r="P815" s="6" t="str">
        <f>_xlfn.XLOOKUP(Table1[[#This Row],[shipperID]],Table6[shipperID],Table6[companyName])</f>
        <v>Federal Shipping</v>
      </c>
      <c r="Q815">
        <f>YEAR(Table1[[#This Row],[OrderDate]])</f>
        <v>2015</v>
      </c>
      <c r="R815">
        <f>MONTH(Table1[[#This Row],[OrderDate]])</f>
        <v>4</v>
      </c>
      <c r="S815" t="str">
        <f>"Q"&amp;ROUNDUP(Table1[[#This Row],[month]]/3,0)</f>
        <v>Q2</v>
      </c>
      <c r="T815" t="str">
        <f>CONCATENATE(Table1[[#This Row],[year]],"-",Table1[[#This Row],[Quarter]])</f>
        <v>2015-Q2</v>
      </c>
      <c r="U815" s="6" t="str">
        <f>IF(H814="","Pending",IF(Table1[[#This Row],[Days to ship]]&lt;Table1[[#This Row],[RequiredDate]],"On Time","Late"))</f>
        <v>Late</v>
      </c>
      <c r="V815">
        <f>_xlfn.XLOOKUP(Table1[[#This Row],[orderID]],Table3[orderID],Table3[unitPrice])</f>
        <v>34</v>
      </c>
    </row>
    <row r="816" spans="1:22" x14ac:dyDescent="0.45">
      <c r="A816" s="3">
        <v>11062</v>
      </c>
      <c r="B816" s="6" t="s">
        <v>167</v>
      </c>
      <c r="C816" s="3">
        <v>4</v>
      </c>
      <c r="D816" s="6" t="str">
        <f>_xlfn.XLOOKUP(Table1[[#This Row],[EmployeeID]],Table4[employeeID],Table4[employeeName])</f>
        <v>Margaret Peacock</v>
      </c>
      <c r="E816" s="1">
        <v>42124</v>
      </c>
      <c r="F816" s="1">
        <v>42152</v>
      </c>
      <c r="H816" s="3" t="str">
        <f>IF(Table1[[#This Row],[ShippedDate]]="","",IF(Table1[[#This Row],[OrderDate]]="","",Table1[[#This Row],[ShippedDate]]-Table1[[#This Row],[OrderDate]]))</f>
        <v/>
      </c>
      <c r="I816" s="3">
        <v>2</v>
      </c>
      <c r="J816" s="2">
        <v>29.93</v>
      </c>
      <c r="K816" s="2">
        <f>SUMIF(order_details!A:A,Table1[[#This Row],[orderID]],order_details!F:F)</f>
        <v>406.40000000000003</v>
      </c>
      <c r="L816" s="9">
        <f>_xlfn.XLOOKUP(Table1[[#This Row],[orderID]],Table3[orderID],Table3[discount])</f>
        <v>0.2</v>
      </c>
      <c r="M816" s="2">
        <f>SUM(Table1[[#This Row],[Sales]],Table1[[#This Row],[freight]])</f>
        <v>436.33000000000004</v>
      </c>
      <c r="N816" s="3">
        <f>_xlfn.XLOOKUP(Table1[[#This Row],[orderID]],Table3[orderID],Table3[quantity])</f>
        <v>10</v>
      </c>
      <c r="O816" s="6" t="str">
        <f>_xlfn.XLOOKUP(Table1[[#This Row],[CustomerID]],customers!A:A,customers!B:B)</f>
        <v>Reggiani Caseifici</v>
      </c>
      <c r="P816" s="6" t="str">
        <f>_xlfn.XLOOKUP(Table1[[#This Row],[shipperID]],Table6[shipperID],Table6[companyName])</f>
        <v>United Package</v>
      </c>
      <c r="Q816">
        <f>YEAR(Table1[[#This Row],[OrderDate]])</f>
        <v>2015</v>
      </c>
      <c r="R816">
        <f>MONTH(Table1[[#This Row],[OrderDate]])</f>
        <v>4</v>
      </c>
      <c r="S816" t="str">
        <f>"Q"&amp;ROUNDUP(Table1[[#This Row],[month]]/3,0)</f>
        <v>Q2</v>
      </c>
      <c r="T816" t="str">
        <f>CONCATENATE(Table1[[#This Row],[year]],"-",Table1[[#This Row],[Quarter]])</f>
        <v>2015-Q2</v>
      </c>
      <c r="U816" s="6" t="str">
        <f>IF(H815="","Pending",IF(Table1[[#This Row],[Days to ship]]&lt;Table1[[#This Row],[RequiredDate]],"On Time","Late"))</f>
        <v>Pending</v>
      </c>
      <c r="V816">
        <f>_xlfn.XLOOKUP(Table1[[#This Row],[orderID]],Table3[orderID],Table3[unitPrice])</f>
        <v>32.799999999999997</v>
      </c>
    </row>
    <row r="817" spans="1:22" x14ac:dyDescent="0.45">
      <c r="A817" s="3">
        <v>11063</v>
      </c>
      <c r="B817" s="6" t="s">
        <v>166</v>
      </c>
      <c r="C817" s="3">
        <v>3</v>
      </c>
      <c r="D817" s="6" t="str">
        <f>_xlfn.XLOOKUP(Table1[[#This Row],[EmployeeID]],Table4[employeeID],Table4[employeeName])</f>
        <v>Janet Leverling</v>
      </c>
      <c r="E817" s="1">
        <v>42124</v>
      </c>
      <c r="F817" s="1">
        <v>42152</v>
      </c>
      <c r="G817" s="1">
        <v>42130</v>
      </c>
      <c r="H817" s="3">
        <f>IF(Table1[[#This Row],[ShippedDate]]="","",IF(Table1[[#This Row],[OrderDate]]="","",Table1[[#This Row],[ShippedDate]]-Table1[[#This Row],[OrderDate]]))</f>
        <v>6</v>
      </c>
      <c r="I817" s="3">
        <v>2</v>
      </c>
      <c r="J817" s="2">
        <v>81.73</v>
      </c>
      <c r="K817" s="2">
        <f>SUMIF(order_details!A:A,Table1[[#This Row],[orderID]],order_details!F:F)</f>
        <v>1342.95</v>
      </c>
      <c r="L817" s="9">
        <f>_xlfn.XLOOKUP(Table1[[#This Row],[orderID]],Table3[orderID],Table3[discount])</f>
        <v>0</v>
      </c>
      <c r="M817" s="2">
        <f>SUM(Table1[[#This Row],[Sales]],Table1[[#This Row],[freight]])</f>
        <v>1424.68</v>
      </c>
      <c r="N817" s="3">
        <f>_xlfn.XLOOKUP(Table1[[#This Row],[orderID]],Table3[orderID],Table3[quantity])</f>
        <v>30</v>
      </c>
      <c r="O817" s="6" t="str">
        <f>_xlfn.XLOOKUP(Table1[[#This Row],[CustomerID]],customers!A:A,customers!B:B)</f>
        <v>Hungry Owl All-Night Grocers</v>
      </c>
      <c r="P817" s="6" t="str">
        <f>_xlfn.XLOOKUP(Table1[[#This Row],[shipperID]],Table6[shipperID],Table6[companyName])</f>
        <v>United Package</v>
      </c>
      <c r="Q817">
        <f>YEAR(Table1[[#This Row],[OrderDate]])</f>
        <v>2015</v>
      </c>
      <c r="R817">
        <f>MONTH(Table1[[#This Row],[OrderDate]])</f>
        <v>4</v>
      </c>
      <c r="S817" t="str">
        <f>"Q"&amp;ROUNDUP(Table1[[#This Row],[month]]/3,0)</f>
        <v>Q2</v>
      </c>
      <c r="T817" t="str">
        <f>CONCATENATE(Table1[[#This Row],[year]],"-",Table1[[#This Row],[Quarter]])</f>
        <v>2015-Q2</v>
      </c>
      <c r="U817" s="6" t="str">
        <f>IF(H816="","Pending",IF(Table1[[#This Row],[Days to ship]]&lt;Table1[[#This Row],[RequiredDate]],"On Time","Late"))</f>
        <v>Pending</v>
      </c>
      <c r="V817">
        <f>_xlfn.XLOOKUP(Table1[[#This Row],[orderID]],Table3[orderID],Table3[unitPrice])</f>
        <v>14</v>
      </c>
    </row>
    <row r="818" spans="1:22" x14ac:dyDescent="0.45">
      <c r="A818" s="3">
        <v>11064</v>
      </c>
      <c r="B818" s="6" t="s">
        <v>165</v>
      </c>
      <c r="C818" s="3">
        <v>1</v>
      </c>
      <c r="D818" s="6" t="str">
        <f>_xlfn.XLOOKUP(Table1[[#This Row],[EmployeeID]],Table4[employeeID],Table4[employeeName])</f>
        <v>Nancy Davolio</v>
      </c>
      <c r="E818" s="1">
        <v>42125</v>
      </c>
      <c r="F818" s="1">
        <v>42153</v>
      </c>
      <c r="G818" s="1">
        <v>42128</v>
      </c>
      <c r="H818" s="3">
        <f>IF(Table1[[#This Row],[ShippedDate]]="","",IF(Table1[[#This Row],[OrderDate]]="","",Table1[[#This Row],[ShippedDate]]-Table1[[#This Row],[OrderDate]]))</f>
        <v>3</v>
      </c>
      <c r="I818" s="3">
        <v>1</v>
      </c>
      <c r="J818" s="2">
        <v>30.09</v>
      </c>
      <c r="K818" s="2">
        <f>SUMIF(order_details!A:A,Table1[[#This Row],[orderID]],order_details!F:F)</f>
        <v>4330.4000000000005</v>
      </c>
      <c r="L818" s="9">
        <f>_xlfn.XLOOKUP(Table1[[#This Row],[orderID]],Table3[orderID],Table3[discount])</f>
        <v>0.1</v>
      </c>
      <c r="M818" s="2">
        <f>SUM(Table1[[#This Row],[Sales]],Table1[[#This Row],[freight]])</f>
        <v>4360.4900000000007</v>
      </c>
      <c r="N818" s="3">
        <f>_xlfn.XLOOKUP(Table1[[#This Row],[orderID]],Table3[orderID],Table3[quantity])</f>
        <v>77</v>
      </c>
      <c r="O818" s="6" t="str">
        <f>_xlfn.XLOOKUP(Table1[[#This Row],[CustomerID]],customers!A:A,customers!B:B)</f>
        <v>Save-a-lot Markets</v>
      </c>
      <c r="P818" s="6" t="str">
        <f>_xlfn.XLOOKUP(Table1[[#This Row],[shipperID]],Table6[shipperID],Table6[companyName])</f>
        <v>Speedy Express</v>
      </c>
      <c r="Q818">
        <f>YEAR(Table1[[#This Row],[OrderDate]])</f>
        <v>2015</v>
      </c>
      <c r="R818">
        <f>MONTH(Table1[[#This Row],[OrderDate]])</f>
        <v>5</v>
      </c>
      <c r="S818" t="str">
        <f>"Q"&amp;ROUNDUP(Table1[[#This Row],[month]]/3,0)</f>
        <v>Q2</v>
      </c>
      <c r="T818" t="str">
        <f>CONCATENATE(Table1[[#This Row],[year]],"-",Table1[[#This Row],[Quarter]])</f>
        <v>2015-Q2</v>
      </c>
      <c r="U818" s="6" t="str">
        <f>IF(H817="","Pending",IF(Table1[[#This Row],[Days to ship]]&lt;Table1[[#This Row],[RequiredDate]],"On Time","Late"))</f>
        <v>On Time</v>
      </c>
      <c r="V818">
        <f>_xlfn.XLOOKUP(Table1[[#This Row],[orderID]],Table3[orderID],Table3[unitPrice])</f>
        <v>39</v>
      </c>
    </row>
    <row r="819" spans="1:22" x14ac:dyDescent="0.45">
      <c r="A819" s="3">
        <v>11065</v>
      </c>
      <c r="B819" s="6" t="s">
        <v>159</v>
      </c>
      <c r="C819" s="3">
        <v>8</v>
      </c>
      <c r="D819" s="6" t="str">
        <f>_xlfn.XLOOKUP(Table1[[#This Row],[EmployeeID]],Table4[employeeID],Table4[employeeName])</f>
        <v>Laura Callahan</v>
      </c>
      <c r="E819" s="1">
        <v>42125</v>
      </c>
      <c r="F819" s="1">
        <v>42153</v>
      </c>
      <c r="H819" s="3" t="str">
        <f>IF(Table1[[#This Row],[ShippedDate]]="","",IF(Table1[[#This Row],[OrderDate]]="","",Table1[[#This Row],[ShippedDate]]-Table1[[#This Row],[OrderDate]]))</f>
        <v/>
      </c>
      <c r="I819" s="3">
        <v>1</v>
      </c>
      <c r="J819" s="2">
        <v>12.91</v>
      </c>
      <c r="K819" s="2">
        <f>SUMIF(order_details!A:A,Table1[[#This Row],[orderID]],order_details!F:F)</f>
        <v>189.42000000000002</v>
      </c>
      <c r="L819" s="9">
        <f>_xlfn.XLOOKUP(Table1[[#This Row],[orderID]],Table3[orderID],Table3[discount])</f>
        <v>0.25</v>
      </c>
      <c r="M819" s="2">
        <f>SUM(Table1[[#This Row],[Sales]],Table1[[#This Row],[freight]])</f>
        <v>202.33</v>
      </c>
      <c r="N819" s="3">
        <f>_xlfn.XLOOKUP(Table1[[#This Row],[orderID]],Table3[orderID],Table3[quantity])</f>
        <v>4</v>
      </c>
      <c r="O819" s="6" t="str">
        <f>_xlfn.XLOOKUP(Table1[[#This Row],[CustomerID]],customers!A:A,customers!B:B)</f>
        <v>LILA-Supermercado</v>
      </c>
      <c r="P819" s="6" t="str">
        <f>_xlfn.XLOOKUP(Table1[[#This Row],[shipperID]],Table6[shipperID],Table6[companyName])</f>
        <v>Speedy Express</v>
      </c>
      <c r="Q819">
        <f>YEAR(Table1[[#This Row],[OrderDate]])</f>
        <v>2015</v>
      </c>
      <c r="R819">
        <f>MONTH(Table1[[#This Row],[OrderDate]])</f>
        <v>5</v>
      </c>
      <c r="S819" t="str">
        <f>"Q"&amp;ROUNDUP(Table1[[#This Row],[month]]/3,0)</f>
        <v>Q2</v>
      </c>
      <c r="T819" t="str">
        <f>CONCATENATE(Table1[[#This Row],[year]],"-",Table1[[#This Row],[Quarter]])</f>
        <v>2015-Q2</v>
      </c>
      <c r="U819" s="6" t="str">
        <f>IF(H818="","Pending",IF(Table1[[#This Row],[Days to ship]]&lt;Table1[[#This Row],[RequiredDate]],"On Time","Late"))</f>
        <v>Late</v>
      </c>
      <c r="V819">
        <f>_xlfn.XLOOKUP(Table1[[#This Row],[orderID]],Table3[orderID],Table3[unitPrice])</f>
        <v>25.89</v>
      </c>
    </row>
    <row r="820" spans="1:22" x14ac:dyDescent="0.45">
      <c r="A820" s="3">
        <v>11066</v>
      </c>
      <c r="B820" s="6" t="s">
        <v>164</v>
      </c>
      <c r="C820" s="3">
        <v>7</v>
      </c>
      <c r="D820" s="6" t="str">
        <f>_xlfn.XLOOKUP(Table1[[#This Row],[EmployeeID]],Table4[employeeID],Table4[employeeName])</f>
        <v>Robert King</v>
      </c>
      <c r="E820" s="1">
        <v>42125</v>
      </c>
      <c r="F820" s="1">
        <v>42153</v>
      </c>
      <c r="G820" s="1">
        <v>42128</v>
      </c>
      <c r="H820" s="3">
        <f>IF(Table1[[#This Row],[ShippedDate]]="","",IF(Table1[[#This Row],[OrderDate]]="","",Table1[[#This Row],[ShippedDate]]-Table1[[#This Row],[OrderDate]]))</f>
        <v>3</v>
      </c>
      <c r="I820" s="3">
        <v>2</v>
      </c>
      <c r="J820" s="2">
        <v>44.72</v>
      </c>
      <c r="K820" s="2">
        <f>SUMIF(order_details!A:A,Table1[[#This Row],[orderID]],order_details!F:F)</f>
        <v>928.75</v>
      </c>
      <c r="L820" s="9">
        <f>_xlfn.XLOOKUP(Table1[[#This Row],[orderID]],Table3[orderID],Table3[discount])</f>
        <v>0</v>
      </c>
      <c r="M820" s="2">
        <f>SUM(Table1[[#This Row],[Sales]],Table1[[#This Row],[freight]])</f>
        <v>973.47</v>
      </c>
      <c r="N820" s="3">
        <f>_xlfn.XLOOKUP(Table1[[#This Row],[orderID]],Table3[orderID],Table3[quantity])</f>
        <v>3</v>
      </c>
      <c r="O820" s="6" t="str">
        <f>_xlfn.XLOOKUP(Table1[[#This Row],[CustomerID]],customers!A:A,customers!B:B)</f>
        <v>White Clover Markets</v>
      </c>
      <c r="P820" s="6" t="str">
        <f>_xlfn.XLOOKUP(Table1[[#This Row],[shipperID]],Table6[shipperID],Table6[companyName])</f>
        <v>United Package</v>
      </c>
      <c r="Q820">
        <f>YEAR(Table1[[#This Row],[OrderDate]])</f>
        <v>2015</v>
      </c>
      <c r="R820">
        <f>MONTH(Table1[[#This Row],[OrderDate]])</f>
        <v>5</v>
      </c>
      <c r="S820" t="str">
        <f>"Q"&amp;ROUNDUP(Table1[[#This Row],[month]]/3,0)</f>
        <v>Q2</v>
      </c>
      <c r="T820" t="str">
        <f>CONCATENATE(Table1[[#This Row],[year]],"-",Table1[[#This Row],[Quarter]])</f>
        <v>2015-Q2</v>
      </c>
      <c r="U820" s="6" t="str">
        <f>IF(H819="","Pending",IF(Table1[[#This Row],[Days to ship]]&lt;Table1[[#This Row],[RequiredDate]],"On Time","Late"))</f>
        <v>Pending</v>
      </c>
      <c r="V820">
        <f>_xlfn.XLOOKUP(Table1[[#This Row],[orderID]],Table3[orderID],Table3[unitPrice])</f>
        <v>17.45</v>
      </c>
    </row>
    <row r="821" spans="1:22" x14ac:dyDescent="0.45">
      <c r="A821" s="3">
        <v>11067</v>
      </c>
      <c r="B821" s="6" t="s">
        <v>163</v>
      </c>
      <c r="C821" s="3">
        <v>1</v>
      </c>
      <c r="D821" s="6" t="str">
        <f>_xlfn.XLOOKUP(Table1[[#This Row],[EmployeeID]],Table4[employeeID],Table4[employeeName])</f>
        <v>Nancy Davolio</v>
      </c>
      <c r="E821" s="1">
        <v>42128</v>
      </c>
      <c r="F821" s="1">
        <v>42142</v>
      </c>
      <c r="G821" s="1">
        <v>42130</v>
      </c>
      <c r="H821" s="3">
        <f>IF(Table1[[#This Row],[ShippedDate]]="","",IF(Table1[[#This Row],[OrderDate]]="","",Table1[[#This Row],[ShippedDate]]-Table1[[#This Row],[OrderDate]]))</f>
        <v>2</v>
      </c>
      <c r="I821" s="3">
        <v>2</v>
      </c>
      <c r="J821" s="2">
        <v>7.98</v>
      </c>
      <c r="K821" s="2">
        <f>SUMIF(order_details!A:A,Table1[[#This Row],[orderID]],order_details!F:F)</f>
        <v>86.850000000000009</v>
      </c>
      <c r="L821" s="9">
        <f>_xlfn.XLOOKUP(Table1[[#This Row],[orderID]],Table3[orderID],Table3[discount])</f>
        <v>0</v>
      </c>
      <c r="M821" s="2">
        <f>SUM(Table1[[#This Row],[Sales]],Table1[[#This Row],[freight]])</f>
        <v>94.830000000000013</v>
      </c>
      <c r="N821" s="3">
        <f>_xlfn.XLOOKUP(Table1[[#This Row],[orderID]],Table3[orderID],Table3[quantity])</f>
        <v>9</v>
      </c>
      <c r="O821" s="6" t="str">
        <f>_xlfn.XLOOKUP(Table1[[#This Row],[CustomerID]],customers!A:A,customers!B:B)</f>
        <v>Drachenblut Delikatessen</v>
      </c>
      <c r="P821" s="6" t="str">
        <f>_xlfn.XLOOKUP(Table1[[#This Row],[shipperID]],Table6[shipperID],Table6[companyName])</f>
        <v>United Package</v>
      </c>
      <c r="Q821">
        <f>YEAR(Table1[[#This Row],[OrderDate]])</f>
        <v>2015</v>
      </c>
      <c r="R821">
        <f>MONTH(Table1[[#This Row],[OrderDate]])</f>
        <v>5</v>
      </c>
      <c r="S821" t="str">
        <f>"Q"&amp;ROUNDUP(Table1[[#This Row],[month]]/3,0)</f>
        <v>Q2</v>
      </c>
      <c r="T821" t="str">
        <f>CONCATENATE(Table1[[#This Row],[year]],"-",Table1[[#This Row],[Quarter]])</f>
        <v>2015-Q2</v>
      </c>
      <c r="U821" s="6" t="str">
        <f>IF(H820="","Pending",IF(Table1[[#This Row],[Days to ship]]&lt;Table1[[#This Row],[RequiredDate]],"On Time","Late"))</f>
        <v>On Time</v>
      </c>
      <c r="V821">
        <f>_xlfn.XLOOKUP(Table1[[#This Row],[orderID]],Table3[orderID],Table3[unitPrice])</f>
        <v>9.65</v>
      </c>
    </row>
    <row r="822" spans="1:22" x14ac:dyDescent="0.45">
      <c r="A822" s="3">
        <v>11068</v>
      </c>
      <c r="B822" s="6" t="s">
        <v>162</v>
      </c>
      <c r="C822" s="3">
        <v>8</v>
      </c>
      <c r="D822" s="6" t="str">
        <f>_xlfn.XLOOKUP(Table1[[#This Row],[EmployeeID]],Table4[employeeID],Table4[employeeName])</f>
        <v>Laura Callahan</v>
      </c>
      <c r="E822" s="1">
        <v>42128</v>
      </c>
      <c r="F822" s="1">
        <v>42156</v>
      </c>
      <c r="H822" s="3" t="str">
        <f>IF(Table1[[#This Row],[ShippedDate]]="","",IF(Table1[[#This Row],[OrderDate]]="","",Table1[[#This Row],[ShippedDate]]-Table1[[#This Row],[OrderDate]]))</f>
        <v/>
      </c>
      <c r="I822" s="3">
        <v>2</v>
      </c>
      <c r="J822" s="2">
        <v>81.75</v>
      </c>
      <c r="K822" s="2">
        <f>SUMIF(order_details!A:A,Table1[[#This Row],[orderID]],order_details!F:F)</f>
        <v>2027.08</v>
      </c>
      <c r="L822" s="9">
        <f>_xlfn.XLOOKUP(Table1[[#This Row],[orderID]],Table3[orderID],Table3[discount])</f>
        <v>0.15</v>
      </c>
      <c r="M822" s="2">
        <f>SUM(Table1[[#This Row],[Sales]],Table1[[#This Row],[freight]])</f>
        <v>2108.83</v>
      </c>
      <c r="N822" s="3">
        <f>_xlfn.XLOOKUP(Table1[[#This Row],[orderID]],Table3[orderID],Table3[quantity])</f>
        <v>8</v>
      </c>
      <c r="O822" s="6" t="str">
        <f>_xlfn.XLOOKUP(Table1[[#This Row],[CustomerID]],customers!A:A,customers!B:B)</f>
        <v>Queen Cozinha</v>
      </c>
      <c r="P822" s="6" t="str">
        <f>_xlfn.XLOOKUP(Table1[[#This Row],[shipperID]],Table6[shipperID],Table6[companyName])</f>
        <v>United Package</v>
      </c>
      <c r="Q822">
        <f>YEAR(Table1[[#This Row],[OrderDate]])</f>
        <v>2015</v>
      </c>
      <c r="R822">
        <f>MONTH(Table1[[#This Row],[OrderDate]])</f>
        <v>5</v>
      </c>
      <c r="S822" t="str">
        <f>"Q"&amp;ROUNDUP(Table1[[#This Row],[month]]/3,0)</f>
        <v>Q2</v>
      </c>
      <c r="T822" t="str">
        <f>CONCATENATE(Table1[[#This Row],[year]],"-",Table1[[#This Row],[Quarter]])</f>
        <v>2015-Q2</v>
      </c>
      <c r="U822" s="6" t="str">
        <f>IF(H821="","Pending",IF(Table1[[#This Row],[Days to ship]]&lt;Table1[[#This Row],[RequiredDate]],"On Time","Late"))</f>
        <v>Late</v>
      </c>
      <c r="V822">
        <f>_xlfn.XLOOKUP(Table1[[#This Row],[orderID]],Table3[orderID],Table3[unitPrice])</f>
        <v>45.6</v>
      </c>
    </row>
    <row r="823" spans="1:22" x14ac:dyDescent="0.45">
      <c r="A823" s="3">
        <v>11069</v>
      </c>
      <c r="B823" s="6" t="s">
        <v>161</v>
      </c>
      <c r="C823" s="3">
        <v>1</v>
      </c>
      <c r="D823" s="6" t="str">
        <f>_xlfn.XLOOKUP(Table1[[#This Row],[EmployeeID]],Table4[employeeID],Table4[employeeName])</f>
        <v>Nancy Davolio</v>
      </c>
      <c r="E823" s="1">
        <v>42128</v>
      </c>
      <c r="F823" s="1">
        <v>42156</v>
      </c>
      <c r="G823" s="1">
        <v>42130</v>
      </c>
      <c r="H823" s="3">
        <f>IF(Table1[[#This Row],[ShippedDate]]="","",IF(Table1[[#This Row],[OrderDate]]="","",Table1[[#This Row],[ShippedDate]]-Table1[[#This Row],[OrderDate]]))</f>
        <v>2</v>
      </c>
      <c r="I823" s="3">
        <v>2</v>
      </c>
      <c r="J823" s="2">
        <v>15.67</v>
      </c>
      <c r="K823" s="2">
        <f>SUMIF(order_details!A:A,Table1[[#This Row],[orderID]],order_details!F:F)</f>
        <v>360</v>
      </c>
      <c r="L823" s="9">
        <f>_xlfn.XLOOKUP(Table1[[#This Row],[orderID]],Table3[orderID],Table3[discount])</f>
        <v>0</v>
      </c>
      <c r="M823" s="2">
        <f>SUM(Table1[[#This Row],[Sales]],Table1[[#This Row],[freight]])</f>
        <v>375.67</v>
      </c>
      <c r="N823" s="3">
        <f>_xlfn.XLOOKUP(Table1[[#This Row],[orderID]],Table3[orderID],Table3[quantity])</f>
        <v>20</v>
      </c>
      <c r="O823" s="6" t="str">
        <f>_xlfn.XLOOKUP(Table1[[#This Row],[CustomerID]],customers!A:A,customers!B:B)</f>
        <v>Tortuga Restaurante</v>
      </c>
      <c r="P823" s="6" t="str">
        <f>_xlfn.XLOOKUP(Table1[[#This Row],[shipperID]],Table6[shipperID],Table6[companyName])</f>
        <v>United Package</v>
      </c>
      <c r="Q823">
        <f>YEAR(Table1[[#This Row],[OrderDate]])</f>
        <v>2015</v>
      </c>
      <c r="R823">
        <f>MONTH(Table1[[#This Row],[OrderDate]])</f>
        <v>5</v>
      </c>
      <c r="S823" t="str">
        <f>"Q"&amp;ROUNDUP(Table1[[#This Row],[month]]/3,0)</f>
        <v>Q2</v>
      </c>
      <c r="T823" t="str">
        <f>CONCATENATE(Table1[[#This Row],[year]],"-",Table1[[#This Row],[Quarter]])</f>
        <v>2015-Q2</v>
      </c>
      <c r="U823" s="6" t="str">
        <f>IF(H822="","Pending",IF(Table1[[#This Row],[Days to ship]]&lt;Table1[[#This Row],[RequiredDate]],"On Time","Late"))</f>
        <v>Pending</v>
      </c>
      <c r="V823">
        <f>_xlfn.XLOOKUP(Table1[[#This Row],[orderID]],Table3[orderID],Table3[unitPrice])</f>
        <v>18</v>
      </c>
    </row>
    <row r="824" spans="1:22" x14ac:dyDescent="0.45">
      <c r="A824" s="3">
        <v>11070</v>
      </c>
      <c r="B824" s="6" t="s">
        <v>160</v>
      </c>
      <c r="C824" s="3">
        <v>2</v>
      </c>
      <c r="D824" s="6" t="str">
        <f>_xlfn.XLOOKUP(Table1[[#This Row],[EmployeeID]],Table4[employeeID],Table4[employeeName])</f>
        <v>Andrew Fuller</v>
      </c>
      <c r="E824" s="1">
        <v>42129</v>
      </c>
      <c r="F824" s="1">
        <v>42157</v>
      </c>
      <c r="H824" s="3" t="str">
        <f>IF(Table1[[#This Row],[ShippedDate]]="","",IF(Table1[[#This Row],[OrderDate]]="","",Table1[[#This Row],[ShippedDate]]-Table1[[#This Row],[OrderDate]]))</f>
        <v/>
      </c>
      <c r="I824" s="3">
        <v>1</v>
      </c>
      <c r="J824" s="2">
        <v>136</v>
      </c>
      <c r="K824" s="2">
        <f>SUMIF(order_details!A:A,Table1[[#This Row],[orderID]],order_details!F:F)</f>
        <v>1629.9749999999999</v>
      </c>
      <c r="L824" s="9">
        <f>_xlfn.XLOOKUP(Table1[[#This Row],[orderID]],Table3[orderID],Table3[discount])</f>
        <v>0.15</v>
      </c>
      <c r="M824" s="2">
        <f>SUM(Table1[[#This Row],[Sales]],Table1[[#This Row],[freight]])</f>
        <v>1765.9749999999999</v>
      </c>
      <c r="N824" s="3">
        <f>_xlfn.XLOOKUP(Table1[[#This Row],[orderID]],Table3[orderID],Table3[quantity])</f>
        <v>40</v>
      </c>
      <c r="O824" s="6" t="str">
        <f>_xlfn.XLOOKUP(Table1[[#This Row],[CustomerID]],customers!A:A,customers!B:B)</f>
        <v>Lehmanns Marktstand</v>
      </c>
      <c r="P824" s="6" t="str">
        <f>_xlfn.XLOOKUP(Table1[[#This Row],[shipperID]],Table6[shipperID],Table6[companyName])</f>
        <v>Speedy Express</v>
      </c>
      <c r="Q824">
        <f>YEAR(Table1[[#This Row],[OrderDate]])</f>
        <v>2015</v>
      </c>
      <c r="R824">
        <f>MONTH(Table1[[#This Row],[OrderDate]])</f>
        <v>5</v>
      </c>
      <c r="S824" t="str">
        <f>"Q"&amp;ROUNDUP(Table1[[#This Row],[month]]/3,0)</f>
        <v>Q2</v>
      </c>
      <c r="T824" t="str">
        <f>CONCATENATE(Table1[[#This Row],[year]],"-",Table1[[#This Row],[Quarter]])</f>
        <v>2015-Q2</v>
      </c>
      <c r="U824" s="6" t="str">
        <f>IF(H823="","Pending",IF(Table1[[#This Row],[Days to ship]]&lt;Table1[[#This Row],[RequiredDate]],"On Time","Late"))</f>
        <v>Late</v>
      </c>
      <c r="V824">
        <f>_xlfn.XLOOKUP(Table1[[#This Row],[orderID]],Table3[orderID],Table3[unitPrice])</f>
        <v>18</v>
      </c>
    </row>
    <row r="825" spans="1:22" x14ac:dyDescent="0.45">
      <c r="A825" s="3">
        <v>11071</v>
      </c>
      <c r="B825" s="6" t="s">
        <v>159</v>
      </c>
      <c r="C825" s="3">
        <v>1</v>
      </c>
      <c r="D825" s="6" t="str">
        <f>_xlfn.XLOOKUP(Table1[[#This Row],[EmployeeID]],Table4[employeeID],Table4[employeeName])</f>
        <v>Nancy Davolio</v>
      </c>
      <c r="E825" s="1">
        <v>42129</v>
      </c>
      <c r="F825" s="1">
        <v>42157</v>
      </c>
      <c r="H825" s="3" t="str">
        <f>IF(Table1[[#This Row],[ShippedDate]]="","",IF(Table1[[#This Row],[OrderDate]]="","",Table1[[#This Row],[ShippedDate]]-Table1[[#This Row],[OrderDate]]))</f>
        <v/>
      </c>
      <c r="I825" s="3">
        <v>1</v>
      </c>
      <c r="J825" s="2">
        <v>0.93</v>
      </c>
      <c r="K825" s="2">
        <f>SUMIF(order_details!A:A,Table1[[#This Row],[orderID]],order_details!F:F)</f>
        <v>484.5</v>
      </c>
      <c r="L825" s="9">
        <f>_xlfn.XLOOKUP(Table1[[#This Row],[orderID]],Table3[orderID],Table3[discount])</f>
        <v>0.05</v>
      </c>
      <c r="M825" s="2">
        <f>SUM(Table1[[#This Row],[Sales]],Table1[[#This Row],[freight]])</f>
        <v>485.43</v>
      </c>
      <c r="N825" s="3">
        <f>_xlfn.XLOOKUP(Table1[[#This Row],[orderID]],Table3[orderID],Table3[quantity])</f>
        <v>15</v>
      </c>
      <c r="O825" s="6" t="str">
        <f>_xlfn.XLOOKUP(Table1[[#This Row],[CustomerID]],customers!A:A,customers!B:B)</f>
        <v>LILA-Supermercado</v>
      </c>
      <c r="P825" s="6" t="str">
        <f>_xlfn.XLOOKUP(Table1[[#This Row],[shipperID]],Table6[shipperID],Table6[companyName])</f>
        <v>Speedy Express</v>
      </c>
      <c r="Q825">
        <f>YEAR(Table1[[#This Row],[OrderDate]])</f>
        <v>2015</v>
      </c>
      <c r="R825">
        <f>MONTH(Table1[[#This Row],[OrderDate]])</f>
        <v>5</v>
      </c>
      <c r="S825" t="str">
        <f>"Q"&amp;ROUNDUP(Table1[[#This Row],[month]]/3,0)</f>
        <v>Q2</v>
      </c>
      <c r="T825" t="str">
        <f>CONCATENATE(Table1[[#This Row],[year]],"-",Table1[[#This Row],[Quarter]])</f>
        <v>2015-Q2</v>
      </c>
      <c r="U825" s="6" t="str">
        <f>IF(H824="","Pending",IF(Table1[[#This Row],[Days to ship]]&lt;Table1[[#This Row],[RequiredDate]],"On Time","Late"))</f>
        <v>Pending</v>
      </c>
      <c r="V825">
        <f>_xlfn.XLOOKUP(Table1[[#This Row],[orderID]],Table3[orderID],Table3[unitPrice])</f>
        <v>30</v>
      </c>
    </row>
    <row r="826" spans="1:22" x14ac:dyDescent="0.45">
      <c r="A826" s="3">
        <v>11072</v>
      </c>
      <c r="B826" s="6" t="s">
        <v>158</v>
      </c>
      <c r="C826" s="3">
        <v>4</v>
      </c>
      <c r="D826" s="6" t="str">
        <f>_xlfn.XLOOKUP(Table1[[#This Row],[EmployeeID]],Table4[employeeID],Table4[employeeName])</f>
        <v>Margaret Peacock</v>
      </c>
      <c r="E826" s="1">
        <v>42129</v>
      </c>
      <c r="F826" s="1">
        <v>42157</v>
      </c>
      <c r="H826" s="3" t="str">
        <f>IF(Table1[[#This Row],[ShippedDate]]="","",IF(Table1[[#This Row],[OrderDate]]="","",Table1[[#This Row],[ShippedDate]]-Table1[[#This Row],[OrderDate]]))</f>
        <v/>
      </c>
      <c r="I826" s="3">
        <v>2</v>
      </c>
      <c r="J826" s="2">
        <v>258.64</v>
      </c>
      <c r="K826" s="2">
        <f>SUMIF(order_details!A:A,Table1[[#This Row],[orderID]],order_details!F:F)</f>
        <v>5218</v>
      </c>
      <c r="L826" s="9">
        <f>_xlfn.XLOOKUP(Table1[[#This Row],[orderID]],Table3[orderID],Table3[discount])</f>
        <v>0</v>
      </c>
      <c r="M826" s="2">
        <f>SUM(Table1[[#This Row],[Sales]],Table1[[#This Row],[freight]])</f>
        <v>5476.64</v>
      </c>
      <c r="N826" s="3">
        <f>_xlfn.XLOOKUP(Table1[[#This Row],[orderID]],Table3[orderID],Table3[quantity])</f>
        <v>8</v>
      </c>
      <c r="O826" s="6" t="str">
        <f>_xlfn.XLOOKUP(Table1[[#This Row],[CustomerID]],customers!A:A,customers!B:B)</f>
        <v>Ernst Handel</v>
      </c>
      <c r="P826" s="6" t="str">
        <f>_xlfn.XLOOKUP(Table1[[#This Row],[shipperID]],Table6[shipperID],Table6[companyName])</f>
        <v>United Package</v>
      </c>
      <c r="Q826">
        <f>YEAR(Table1[[#This Row],[OrderDate]])</f>
        <v>2015</v>
      </c>
      <c r="R826">
        <f>MONTH(Table1[[#This Row],[OrderDate]])</f>
        <v>5</v>
      </c>
      <c r="S826" t="str">
        <f>"Q"&amp;ROUNDUP(Table1[[#This Row],[month]]/3,0)</f>
        <v>Q2</v>
      </c>
      <c r="T826" t="str">
        <f>CONCATENATE(Table1[[#This Row],[year]],"-",Table1[[#This Row],[Quarter]])</f>
        <v>2015-Q2</v>
      </c>
      <c r="U826" s="6" t="str">
        <f>IF(H825="","Pending",IF(Table1[[#This Row],[Days to ship]]&lt;Table1[[#This Row],[RequiredDate]],"On Time","Late"))</f>
        <v>Pending</v>
      </c>
      <c r="V826">
        <f>_xlfn.XLOOKUP(Table1[[#This Row],[orderID]],Table3[orderID],Table3[unitPrice])</f>
        <v>19</v>
      </c>
    </row>
    <row r="827" spans="1:22" x14ac:dyDescent="0.45">
      <c r="A827" s="3">
        <v>11073</v>
      </c>
      <c r="B827" s="6" t="s">
        <v>157</v>
      </c>
      <c r="C827" s="3">
        <v>2</v>
      </c>
      <c r="D827" s="6" t="str">
        <f>_xlfn.XLOOKUP(Table1[[#This Row],[EmployeeID]],Table4[employeeID],Table4[employeeName])</f>
        <v>Andrew Fuller</v>
      </c>
      <c r="E827" s="1">
        <v>42129</v>
      </c>
      <c r="F827" s="1">
        <v>42157</v>
      </c>
      <c r="H827" s="3" t="str">
        <f>IF(Table1[[#This Row],[ShippedDate]]="","",IF(Table1[[#This Row],[OrderDate]]="","",Table1[[#This Row],[ShippedDate]]-Table1[[#This Row],[OrderDate]]))</f>
        <v/>
      </c>
      <c r="I827" s="3">
        <v>2</v>
      </c>
      <c r="J827" s="2">
        <v>24.95</v>
      </c>
      <c r="K827" s="2">
        <f>SUMIF(order_details!A:A,Table1[[#This Row],[orderID]],order_details!F:F)</f>
        <v>300</v>
      </c>
      <c r="L827" s="9">
        <f>_xlfn.XLOOKUP(Table1[[#This Row],[orderID]],Table3[orderID],Table3[discount])</f>
        <v>0</v>
      </c>
      <c r="M827" s="2">
        <f>SUM(Table1[[#This Row],[Sales]],Table1[[#This Row],[freight]])</f>
        <v>324.95</v>
      </c>
      <c r="N827" s="3">
        <f>_xlfn.XLOOKUP(Table1[[#This Row],[orderID]],Table3[orderID],Table3[quantity])</f>
        <v>10</v>
      </c>
      <c r="O827" s="6" t="str">
        <f>_xlfn.XLOOKUP(Table1[[#This Row],[CustomerID]],customers!A:A,customers!B:B)</f>
        <v>Pericles Comidas clásicas</v>
      </c>
      <c r="P827" s="6" t="str">
        <f>_xlfn.XLOOKUP(Table1[[#This Row],[shipperID]],Table6[shipperID],Table6[companyName])</f>
        <v>United Package</v>
      </c>
      <c r="Q827">
        <f>YEAR(Table1[[#This Row],[OrderDate]])</f>
        <v>2015</v>
      </c>
      <c r="R827">
        <f>MONTH(Table1[[#This Row],[OrderDate]])</f>
        <v>5</v>
      </c>
      <c r="S827" t="str">
        <f>"Q"&amp;ROUNDUP(Table1[[#This Row],[month]]/3,0)</f>
        <v>Q2</v>
      </c>
      <c r="T827" t="str">
        <f>CONCATENATE(Table1[[#This Row],[year]],"-",Table1[[#This Row],[Quarter]])</f>
        <v>2015-Q2</v>
      </c>
      <c r="U827" s="6" t="str">
        <f>IF(H826="","Pending",IF(Table1[[#This Row],[Days to ship]]&lt;Table1[[#This Row],[RequiredDate]],"On Time","Late"))</f>
        <v>Pending</v>
      </c>
      <c r="V827">
        <f>_xlfn.XLOOKUP(Table1[[#This Row],[orderID]],Table3[orderID],Table3[unitPrice])</f>
        <v>21</v>
      </c>
    </row>
    <row r="828" spans="1:22" x14ac:dyDescent="0.45">
      <c r="A828" s="3">
        <v>11074</v>
      </c>
      <c r="B828" s="6" t="s">
        <v>156</v>
      </c>
      <c r="C828" s="3">
        <v>7</v>
      </c>
      <c r="D828" s="6" t="str">
        <f>_xlfn.XLOOKUP(Table1[[#This Row],[EmployeeID]],Table4[employeeID],Table4[employeeName])</f>
        <v>Robert King</v>
      </c>
      <c r="E828" s="1">
        <v>42130</v>
      </c>
      <c r="F828" s="1">
        <v>42158</v>
      </c>
      <c r="H828" s="3" t="str">
        <f>IF(Table1[[#This Row],[ShippedDate]]="","",IF(Table1[[#This Row],[OrderDate]]="","",Table1[[#This Row],[ShippedDate]]-Table1[[#This Row],[OrderDate]]))</f>
        <v/>
      </c>
      <c r="I828" s="3">
        <v>2</v>
      </c>
      <c r="J828" s="2">
        <v>18.440000000000001</v>
      </c>
      <c r="K828" s="2">
        <f>SUMIF(order_details!A:A,Table1[[#This Row],[orderID]],order_details!F:F)</f>
        <v>232.08499999999998</v>
      </c>
      <c r="L828" s="9">
        <f>_xlfn.XLOOKUP(Table1[[#This Row],[orderID]],Table3[orderID],Table3[discount])</f>
        <v>0.05</v>
      </c>
      <c r="M828" s="2">
        <f>SUM(Table1[[#This Row],[Sales]],Table1[[#This Row],[freight]])</f>
        <v>250.52499999999998</v>
      </c>
      <c r="N828" s="3">
        <f>_xlfn.XLOOKUP(Table1[[#This Row],[orderID]],Table3[orderID],Table3[quantity])</f>
        <v>14</v>
      </c>
      <c r="O828" s="6" t="str">
        <f>_xlfn.XLOOKUP(Table1[[#This Row],[CustomerID]],customers!A:A,customers!B:B)</f>
        <v>Simons bistro</v>
      </c>
      <c r="P828" s="6" t="str">
        <f>_xlfn.XLOOKUP(Table1[[#This Row],[shipperID]],Table6[shipperID],Table6[companyName])</f>
        <v>United Package</v>
      </c>
      <c r="Q828">
        <f>YEAR(Table1[[#This Row],[OrderDate]])</f>
        <v>2015</v>
      </c>
      <c r="R828">
        <f>MONTH(Table1[[#This Row],[OrderDate]])</f>
        <v>5</v>
      </c>
      <c r="S828" t="str">
        <f>"Q"&amp;ROUNDUP(Table1[[#This Row],[month]]/3,0)</f>
        <v>Q2</v>
      </c>
      <c r="T828" t="str">
        <f>CONCATENATE(Table1[[#This Row],[year]],"-",Table1[[#This Row],[Quarter]])</f>
        <v>2015-Q2</v>
      </c>
      <c r="U828" s="6" t="str">
        <f>IF(H827="","Pending",IF(Table1[[#This Row],[Days to ship]]&lt;Table1[[#This Row],[RequiredDate]],"On Time","Late"))</f>
        <v>Pending</v>
      </c>
      <c r="V828">
        <f>_xlfn.XLOOKUP(Table1[[#This Row],[orderID]],Table3[orderID],Table3[unitPrice])</f>
        <v>17.45</v>
      </c>
    </row>
    <row r="829" spans="1:22" x14ac:dyDescent="0.45">
      <c r="A829" s="3">
        <v>11075</v>
      </c>
      <c r="B829" s="6" t="s">
        <v>155</v>
      </c>
      <c r="C829" s="3">
        <v>8</v>
      </c>
      <c r="D829" s="6" t="str">
        <f>_xlfn.XLOOKUP(Table1[[#This Row],[EmployeeID]],Table4[employeeID],Table4[employeeName])</f>
        <v>Laura Callahan</v>
      </c>
      <c r="E829" s="1">
        <v>42130</v>
      </c>
      <c r="F829" s="1">
        <v>42158</v>
      </c>
      <c r="H829" s="3" t="str">
        <f>IF(Table1[[#This Row],[ShippedDate]]="","",IF(Table1[[#This Row],[OrderDate]]="","",Table1[[#This Row],[ShippedDate]]-Table1[[#This Row],[OrderDate]]))</f>
        <v/>
      </c>
      <c r="I829" s="3">
        <v>2</v>
      </c>
      <c r="J829" s="2">
        <v>6.19</v>
      </c>
      <c r="K829" s="2">
        <f>SUMIF(order_details!A:A,Table1[[#This Row],[orderID]],order_details!F:F)</f>
        <v>498.1</v>
      </c>
      <c r="L829" s="9">
        <f>_xlfn.XLOOKUP(Table1[[#This Row],[orderID]],Table3[orderID],Table3[discount])</f>
        <v>0.15</v>
      </c>
      <c r="M829" s="2">
        <f>SUM(Table1[[#This Row],[Sales]],Table1[[#This Row],[freight]])</f>
        <v>504.29</v>
      </c>
      <c r="N829" s="3">
        <f>_xlfn.XLOOKUP(Table1[[#This Row],[orderID]],Table3[orderID],Table3[quantity])</f>
        <v>10</v>
      </c>
      <c r="O829" s="6" t="str">
        <f>_xlfn.XLOOKUP(Table1[[#This Row],[CustomerID]],customers!A:A,customers!B:B)</f>
        <v>Richter Supermarkt</v>
      </c>
      <c r="P829" s="6" t="str">
        <f>_xlfn.XLOOKUP(Table1[[#This Row],[shipperID]],Table6[shipperID],Table6[companyName])</f>
        <v>United Package</v>
      </c>
      <c r="Q829">
        <f>YEAR(Table1[[#This Row],[OrderDate]])</f>
        <v>2015</v>
      </c>
      <c r="R829">
        <f>MONTH(Table1[[#This Row],[OrderDate]])</f>
        <v>5</v>
      </c>
      <c r="S829" t="str">
        <f>"Q"&amp;ROUNDUP(Table1[[#This Row],[month]]/3,0)</f>
        <v>Q2</v>
      </c>
      <c r="T829" t="str">
        <f>CONCATENATE(Table1[[#This Row],[year]],"-",Table1[[#This Row],[Quarter]])</f>
        <v>2015-Q2</v>
      </c>
      <c r="U829" s="6" t="str">
        <f>IF(H828="","Pending",IF(Table1[[#This Row],[Days to ship]]&lt;Table1[[#This Row],[RequiredDate]],"On Time","Late"))</f>
        <v>Pending</v>
      </c>
      <c r="V829">
        <f>_xlfn.XLOOKUP(Table1[[#This Row],[orderID]],Table3[orderID],Table3[unitPrice])</f>
        <v>19</v>
      </c>
    </row>
    <row r="830" spans="1:22" x14ac:dyDescent="0.45">
      <c r="A830" s="3">
        <v>11076</v>
      </c>
      <c r="B830" s="6" t="s">
        <v>154</v>
      </c>
      <c r="C830" s="3">
        <v>4</v>
      </c>
      <c r="D830" s="6" t="str">
        <f>_xlfn.XLOOKUP(Table1[[#This Row],[EmployeeID]],Table4[employeeID],Table4[employeeName])</f>
        <v>Margaret Peacock</v>
      </c>
      <c r="E830" s="1">
        <v>42130</v>
      </c>
      <c r="F830" s="1">
        <v>42158</v>
      </c>
      <c r="H830" s="3" t="str">
        <f>IF(Table1[[#This Row],[ShippedDate]]="","",IF(Table1[[#This Row],[OrderDate]]="","",Table1[[#This Row],[ShippedDate]]-Table1[[#This Row],[OrderDate]]))</f>
        <v/>
      </c>
      <c r="I830" s="3">
        <v>2</v>
      </c>
      <c r="J830" s="2">
        <v>38.28</v>
      </c>
      <c r="K830" s="2">
        <f>SUMIF(order_details!A:A,Table1[[#This Row],[orderID]],order_details!F:F)</f>
        <v>792.75</v>
      </c>
      <c r="L830" s="9">
        <f>_xlfn.XLOOKUP(Table1[[#This Row],[orderID]],Table3[orderID],Table3[discount])</f>
        <v>0.25</v>
      </c>
      <c r="M830" s="2">
        <f>SUM(Table1[[#This Row],[Sales]],Table1[[#This Row],[freight]])</f>
        <v>831.03</v>
      </c>
      <c r="N830" s="3">
        <f>_xlfn.XLOOKUP(Table1[[#This Row],[orderID]],Table3[orderID],Table3[quantity])</f>
        <v>20</v>
      </c>
      <c r="O830" s="6" t="str">
        <f>_xlfn.XLOOKUP(Table1[[#This Row],[CustomerID]],customers!A:A,customers!B:B)</f>
        <v>Bon app'</v>
      </c>
      <c r="P830" s="6" t="str">
        <f>_xlfn.XLOOKUP(Table1[[#This Row],[shipperID]],Table6[shipperID],Table6[companyName])</f>
        <v>United Package</v>
      </c>
      <c r="Q830">
        <f>YEAR(Table1[[#This Row],[OrderDate]])</f>
        <v>2015</v>
      </c>
      <c r="R830">
        <f>MONTH(Table1[[#This Row],[OrderDate]])</f>
        <v>5</v>
      </c>
      <c r="S830" t="str">
        <f>"Q"&amp;ROUNDUP(Table1[[#This Row],[month]]/3,0)</f>
        <v>Q2</v>
      </c>
      <c r="T830" t="str">
        <f>CONCATENATE(Table1[[#This Row],[year]],"-",Table1[[#This Row],[Quarter]])</f>
        <v>2015-Q2</v>
      </c>
      <c r="U830" s="6" t="str">
        <f>IF(H829="","Pending",IF(Table1[[#This Row],[Days to ship]]&lt;Table1[[#This Row],[RequiredDate]],"On Time","Late"))</f>
        <v>Pending</v>
      </c>
      <c r="V830">
        <f>_xlfn.XLOOKUP(Table1[[#This Row],[orderID]],Table3[orderID],Table3[unitPrice])</f>
        <v>25</v>
      </c>
    </row>
    <row r="831" spans="1:22" x14ac:dyDescent="0.45">
      <c r="A831" s="3">
        <v>11077</v>
      </c>
      <c r="B831" s="6" t="s">
        <v>153</v>
      </c>
      <c r="C831" s="3">
        <v>1</v>
      </c>
      <c r="D831" s="6" t="str">
        <f>_xlfn.XLOOKUP(Table1[[#This Row],[EmployeeID]],Table4[employeeID],Table4[employeeName])</f>
        <v>Nancy Davolio</v>
      </c>
      <c r="E831" s="1">
        <v>42130</v>
      </c>
      <c r="F831" s="1">
        <v>42158</v>
      </c>
      <c r="H831" s="3" t="str">
        <f>IF(Table1[[#This Row],[ShippedDate]]="","",IF(Table1[[#This Row],[OrderDate]]="","",Table1[[#This Row],[ShippedDate]]-Table1[[#This Row],[OrderDate]]))</f>
        <v/>
      </c>
      <c r="I831" s="3">
        <v>2</v>
      </c>
      <c r="J831" s="2">
        <v>8.5299999999999994</v>
      </c>
      <c r="K831" s="2">
        <f>SUMIF(order_details!A:A,Table1[[#This Row],[orderID]],order_details!F:F)</f>
        <v>1255.7205000000001</v>
      </c>
      <c r="L831" s="9">
        <f>_xlfn.XLOOKUP(Table1[[#This Row],[orderID]],Table3[orderID],Table3[discount])</f>
        <v>0.2</v>
      </c>
      <c r="M831" s="2">
        <f>SUM(Table1[[#This Row],[Sales]],Table1[[#This Row],[freight]])</f>
        <v>1264.2505000000001</v>
      </c>
      <c r="N831" s="3">
        <f>_xlfn.XLOOKUP(Table1[[#This Row],[orderID]],Table3[orderID],Table3[quantity])</f>
        <v>24</v>
      </c>
      <c r="O831" s="6" t="str">
        <f>_xlfn.XLOOKUP(Table1[[#This Row],[CustomerID]],customers!A:A,customers!B:B)</f>
        <v>Rattlesnake Canyon Grocery</v>
      </c>
      <c r="P831" s="6" t="str">
        <f>_xlfn.XLOOKUP(Table1[[#This Row],[shipperID]],Table6[shipperID],Table6[companyName])</f>
        <v>United Package</v>
      </c>
      <c r="Q831">
        <f>YEAR(Table1[[#This Row],[OrderDate]])</f>
        <v>2015</v>
      </c>
      <c r="R831">
        <f>MONTH(Table1[[#This Row],[OrderDate]])</f>
        <v>5</v>
      </c>
      <c r="S831" t="str">
        <f>"Q"&amp;ROUNDUP(Table1[[#This Row],[month]]/3,0)</f>
        <v>Q2</v>
      </c>
      <c r="T831" t="str">
        <f>CONCATENATE(Table1[[#This Row],[year]],"-",Table1[[#This Row],[Quarter]])</f>
        <v>2015-Q2</v>
      </c>
      <c r="U831" s="6" t="str">
        <f>IF(H830="","Pending",IF(Table1[[#This Row],[Days to ship]]&lt;Table1[[#This Row],[RequiredDate]],"On Time","Late"))</f>
        <v>Pending</v>
      </c>
      <c r="V831">
        <f>_xlfn.XLOOKUP(Table1[[#This Row],[orderID]],Table3[orderID],Table3[unitPrice])</f>
        <v>19</v>
      </c>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BBAFE-7EF2-4BEC-AFAB-FC1C8BA3DC3A}">
  <dimension ref="A1:H78"/>
  <sheetViews>
    <sheetView workbookViewId="0">
      <selection activeCell="B19" sqref="B19"/>
    </sheetView>
  </sheetViews>
  <sheetFormatPr defaultColWidth="21.1328125" defaultRowHeight="14.25" x14ac:dyDescent="0.45"/>
  <cols>
    <col min="1" max="1" width="21.1328125" style="3"/>
    <col min="2" max="2" width="21.1328125" style="6"/>
    <col min="4" max="5" width="21.1328125" style="3"/>
    <col min="6" max="6" width="21.1328125" style="6"/>
    <col min="7" max="7" width="21.1328125" style="3"/>
    <col min="8" max="8" width="21.1328125" style="5"/>
  </cols>
  <sheetData>
    <row r="1" spans="1:8" x14ac:dyDescent="0.45">
      <c r="A1" s="3" t="s">
        <v>0</v>
      </c>
      <c r="B1" s="6" t="s">
        <v>1</v>
      </c>
      <c r="C1" t="s">
        <v>2</v>
      </c>
      <c r="D1" s="3" t="s">
        <v>3</v>
      </c>
      <c r="E1" s="3" t="s">
        <v>4</v>
      </c>
      <c r="F1" s="6" t="s">
        <v>583</v>
      </c>
      <c r="G1" s="3" t="s">
        <v>5</v>
      </c>
      <c r="H1" s="5" t="s">
        <v>580</v>
      </c>
    </row>
    <row r="2" spans="1:8" x14ac:dyDescent="0.45">
      <c r="A2" s="3">
        <v>1</v>
      </c>
      <c r="B2" s="6" t="s">
        <v>6</v>
      </c>
      <c r="C2" t="s">
        <v>7</v>
      </c>
      <c r="D2" s="3">
        <v>18</v>
      </c>
      <c r="E2" s="3">
        <v>0</v>
      </c>
      <c r="F2" s="6" t="str">
        <f>IF(Table2[[#This Row],[discontinued]]=0,"Available"," Not Available")</f>
        <v>Available</v>
      </c>
      <c r="G2" s="3">
        <v>1</v>
      </c>
      <c r="H2" s="5">
        <f>SUMIF(order_details!B:B,Table2[[#This Row],[productID]],order_details!F:F)</f>
        <v>12788.1</v>
      </c>
    </row>
    <row r="3" spans="1:8" x14ac:dyDescent="0.45">
      <c r="A3" s="3">
        <v>2</v>
      </c>
      <c r="B3" s="6" t="s">
        <v>8</v>
      </c>
      <c r="C3" t="s">
        <v>9</v>
      </c>
      <c r="D3" s="3">
        <v>19</v>
      </c>
      <c r="E3" s="3">
        <v>0</v>
      </c>
      <c r="F3" s="6" t="str">
        <f>IF(Table2[[#This Row],[discontinued]]=0,"Available"," Not Available")</f>
        <v>Available</v>
      </c>
      <c r="G3" s="3">
        <v>1</v>
      </c>
      <c r="H3" s="5">
        <f>SUMIF(order_details!B:B,Table2[[#This Row],[productID]],order_details!F:F)</f>
        <v>16355.96</v>
      </c>
    </row>
    <row r="4" spans="1:8" x14ac:dyDescent="0.45">
      <c r="A4" s="3">
        <v>3</v>
      </c>
      <c r="B4" s="6" t="s">
        <v>10</v>
      </c>
      <c r="C4" t="s">
        <v>11</v>
      </c>
      <c r="D4" s="3">
        <v>10</v>
      </c>
      <c r="E4" s="3">
        <v>0</v>
      </c>
      <c r="F4" s="6" t="str">
        <f>IF(Table2[[#This Row],[discontinued]]=0,"Available"," Not Available")</f>
        <v>Available</v>
      </c>
      <c r="G4" s="3">
        <v>2</v>
      </c>
      <c r="H4" s="5">
        <f>SUMIF(order_details!B:B,Table2[[#This Row],[productID]],order_details!F:F)</f>
        <v>3044</v>
      </c>
    </row>
    <row r="5" spans="1:8" x14ac:dyDescent="0.45">
      <c r="A5" s="3">
        <v>4</v>
      </c>
      <c r="B5" s="6" t="s">
        <v>12</v>
      </c>
      <c r="C5" t="s">
        <v>13</v>
      </c>
      <c r="D5" s="3">
        <v>22</v>
      </c>
      <c r="E5" s="3">
        <v>0</v>
      </c>
      <c r="F5" s="6" t="str">
        <f>IF(Table2[[#This Row],[discontinued]]=0,"Available"," Not Available")</f>
        <v>Available</v>
      </c>
      <c r="G5" s="3">
        <v>2</v>
      </c>
      <c r="H5" s="5">
        <f>SUMIF(order_details!B:B,Table2[[#This Row],[productID]],order_details!F:F)</f>
        <v>8567.9000000000015</v>
      </c>
    </row>
    <row r="6" spans="1:8" x14ac:dyDescent="0.45">
      <c r="A6" s="3">
        <v>5</v>
      </c>
      <c r="B6" s="6" t="s">
        <v>14</v>
      </c>
      <c r="C6" t="s">
        <v>15</v>
      </c>
      <c r="D6" s="3">
        <v>21.35</v>
      </c>
      <c r="E6" s="3">
        <v>1</v>
      </c>
      <c r="F6" s="6" t="str">
        <f>IF(Table2[[#This Row],[discontinued]]=0,"Available"," Not Available")</f>
        <v xml:space="preserve"> Not Available</v>
      </c>
      <c r="G6" s="3">
        <v>2</v>
      </c>
      <c r="H6" s="5">
        <f>SUMIF(order_details!B:B,Table2[[#This Row],[productID]],order_details!F:F)</f>
        <v>5347.2000000000007</v>
      </c>
    </row>
    <row r="7" spans="1:8" x14ac:dyDescent="0.45">
      <c r="A7" s="3">
        <v>6</v>
      </c>
      <c r="B7" s="6" t="s">
        <v>16</v>
      </c>
      <c r="C7" t="s">
        <v>17</v>
      </c>
      <c r="D7" s="3">
        <v>25</v>
      </c>
      <c r="E7" s="3">
        <v>0</v>
      </c>
      <c r="F7" s="6" t="str">
        <f>IF(Table2[[#This Row],[discontinued]]=0,"Available"," Not Available")</f>
        <v>Available</v>
      </c>
      <c r="G7" s="3">
        <v>2</v>
      </c>
      <c r="H7" s="5">
        <f>SUMIF(order_details!B:B,Table2[[#This Row],[productID]],order_details!F:F)</f>
        <v>7137</v>
      </c>
    </row>
    <row r="8" spans="1:8" x14ac:dyDescent="0.45">
      <c r="A8" s="3">
        <v>7</v>
      </c>
      <c r="B8" s="6" t="s">
        <v>18</v>
      </c>
      <c r="C8" t="s">
        <v>19</v>
      </c>
      <c r="D8" s="3">
        <v>30</v>
      </c>
      <c r="E8" s="3">
        <v>0</v>
      </c>
      <c r="F8" s="6" t="str">
        <f>IF(Table2[[#This Row],[discontinued]]=0,"Available"," Not Available")</f>
        <v>Available</v>
      </c>
      <c r="G8" s="3">
        <v>7</v>
      </c>
      <c r="H8" s="5">
        <f>SUMIF(order_details!B:B,Table2[[#This Row],[productID]],order_details!F:F)</f>
        <v>22044.3</v>
      </c>
    </row>
    <row r="9" spans="1:8" x14ac:dyDescent="0.45">
      <c r="A9" s="3">
        <v>8</v>
      </c>
      <c r="B9" s="6" t="s">
        <v>20</v>
      </c>
      <c r="C9" t="s">
        <v>21</v>
      </c>
      <c r="D9" s="3">
        <v>40</v>
      </c>
      <c r="E9" s="3">
        <v>0</v>
      </c>
      <c r="F9" s="6" t="str">
        <f>IF(Table2[[#This Row],[discontinued]]=0,"Available"," Not Available")</f>
        <v>Available</v>
      </c>
      <c r="G9" s="3">
        <v>2</v>
      </c>
      <c r="H9" s="5">
        <f>SUMIF(order_details!B:B,Table2[[#This Row],[productID]],order_details!F:F)</f>
        <v>12772</v>
      </c>
    </row>
    <row r="10" spans="1:8" x14ac:dyDescent="0.45">
      <c r="A10" s="3">
        <v>9</v>
      </c>
      <c r="B10" s="6" t="s">
        <v>22</v>
      </c>
      <c r="C10" t="s">
        <v>23</v>
      </c>
      <c r="D10" s="3">
        <v>97</v>
      </c>
      <c r="E10" s="3">
        <v>1</v>
      </c>
      <c r="F10" s="6" t="str">
        <f>IF(Table2[[#This Row],[discontinued]]=0,"Available"," Not Available")</f>
        <v xml:space="preserve"> Not Available</v>
      </c>
      <c r="G10" s="3">
        <v>6</v>
      </c>
      <c r="H10" s="5">
        <f>SUMIF(order_details!B:B,Table2[[#This Row],[productID]],order_details!F:F)</f>
        <v>7226.5</v>
      </c>
    </row>
    <row r="11" spans="1:8" x14ac:dyDescent="0.45">
      <c r="A11" s="3">
        <v>10</v>
      </c>
      <c r="B11" s="6" t="s">
        <v>24</v>
      </c>
      <c r="C11" t="s">
        <v>25</v>
      </c>
      <c r="D11" s="3">
        <v>31</v>
      </c>
      <c r="E11" s="3">
        <v>0</v>
      </c>
      <c r="F11" s="6" t="str">
        <f>IF(Table2[[#This Row],[discontinued]]=0,"Available"," Not Available")</f>
        <v>Available</v>
      </c>
      <c r="G11" s="3">
        <v>8</v>
      </c>
      <c r="H11" s="5">
        <f>SUMIF(order_details!B:B,Table2[[#This Row],[productID]],order_details!F:F)</f>
        <v>20867.340000000004</v>
      </c>
    </row>
    <row r="12" spans="1:8" x14ac:dyDescent="0.45">
      <c r="A12" s="3">
        <v>11</v>
      </c>
      <c r="B12" s="6" t="s">
        <v>26</v>
      </c>
      <c r="C12" t="s">
        <v>27</v>
      </c>
      <c r="D12" s="3">
        <v>21</v>
      </c>
      <c r="E12" s="3">
        <v>0</v>
      </c>
      <c r="F12" s="6" t="str">
        <f>IF(Table2[[#This Row],[discontinued]]=0,"Available"," Not Available")</f>
        <v>Available</v>
      </c>
      <c r="G12" s="3">
        <v>4</v>
      </c>
      <c r="H12" s="5">
        <f>SUMIF(order_details!B:B,Table2[[#This Row],[productID]],order_details!F:F)</f>
        <v>12901.77</v>
      </c>
    </row>
    <row r="13" spans="1:8" x14ac:dyDescent="0.45">
      <c r="A13" s="3">
        <v>12</v>
      </c>
      <c r="B13" s="6" t="s">
        <v>28</v>
      </c>
      <c r="C13" t="s">
        <v>29</v>
      </c>
      <c r="D13" s="3">
        <v>38</v>
      </c>
      <c r="E13" s="3">
        <v>0</v>
      </c>
      <c r="F13" s="6" t="str">
        <f>IF(Table2[[#This Row],[discontinued]]=0,"Available"," Not Available")</f>
        <v>Available</v>
      </c>
      <c r="G13" s="3">
        <v>4</v>
      </c>
      <c r="H13" s="5">
        <f>SUMIF(order_details!B:B,Table2[[#This Row],[productID]],order_details!F:F)</f>
        <v>12257.660000000002</v>
      </c>
    </row>
    <row r="14" spans="1:8" x14ac:dyDescent="0.45">
      <c r="A14" s="3">
        <v>13</v>
      </c>
      <c r="B14" s="6" t="s">
        <v>30</v>
      </c>
      <c r="C14" t="s">
        <v>31</v>
      </c>
      <c r="D14" s="3">
        <v>6</v>
      </c>
      <c r="E14" s="3">
        <v>0</v>
      </c>
      <c r="F14" s="6" t="str">
        <f>IF(Table2[[#This Row],[discontinued]]=0,"Available"," Not Available")</f>
        <v>Available</v>
      </c>
      <c r="G14" s="3">
        <v>8</v>
      </c>
      <c r="H14" s="5">
        <f>SUMIF(order_details!B:B,Table2[[#This Row],[productID]],order_details!F:F)</f>
        <v>4960.4400000000005</v>
      </c>
    </row>
    <row r="15" spans="1:8" x14ac:dyDescent="0.45">
      <c r="A15" s="3">
        <v>14</v>
      </c>
      <c r="B15" s="6" t="s">
        <v>32</v>
      </c>
      <c r="C15" t="s">
        <v>33</v>
      </c>
      <c r="D15" s="3">
        <v>23.25</v>
      </c>
      <c r="E15" s="3">
        <v>0</v>
      </c>
      <c r="F15" s="6" t="str">
        <f>IF(Table2[[#This Row],[discontinued]]=0,"Available"," Not Available")</f>
        <v>Available</v>
      </c>
      <c r="G15" s="3">
        <v>7</v>
      </c>
      <c r="H15" s="5">
        <f>SUMIF(order_details!B:B,Table2[[#This Row],[productID]],order_details!F:F)</f>
        <v>7991.4899999999989</v>
      </c>
    </row>
    <row r="16" spans="1:8" x14ac:dyDescent="0.45">
      <c r="A16" s="3">
        <v>15</v>
      </c>
      <c r="B16" s="6" t="s">
        <v>34</v>
      </c>
      <c r="C16" t="s">
        <v>35</v>
      </c>
      <c r="D16" s="3">
        <v>15.5</v>
      </c>
      <c r="E16" s="3">
        <v>0</v>
      </c>
      <c r="F16" s="6" t="str">
        <f>IF(Table2[[#This Row],[discontinued]]=0,"Available"," Not Available")</f>
        <v>Available</v>
      </c>
      <c r="G16" s="3">
        <v>2</v>
      </c>
      <c r="H16" s="5">
        <f>SUMIF(order_details!B:B,Table2[[#This Row],[productID]],order_details!F:F)</f>
        <v>1784.825</v>
      </c>
    </row>
    <row r="17" spans="1:8" x14ac:dyDescent="0.45">
      <c r="A17" s="3">
        <v>16</v>
      </c>
      <c r="B17" s="6" t="s">
        <v>36</v>
      </c>
      <c r="C17" t="s">
        <v>37</v>
      </c>
      <c r="D17" s="3">
        <v>17.45</v>
      </c>
      <c r="E17" s="3">
        <v>0</v>
      </c>
      <c r="F17" s="6" t="str">
        <f>IF(Table2[[#This Row],[discontinued]]=0,"Available"," Not Available")</f>
        <v>Available</v>
      </c>
      <c r="G17" s="3">
        <v>3</v>
      </c>
      <c r="H17" s="5">
        <f>SUMIF(order_details!B:B,Table2[[#This Row],[productID]],order_details!F:F)</f>
        <v>17215.775499999996</v>
      </c>
    </row>
    <row r="18" spans="1:8" x14ac:dyDescent="0.45">
      <c r="A18" s="3">
        <v>17</v>
      </c>
      <c r="B18" s="6" t="s">
        <v>38</v>
      </c>
      <c r="C18" t="s">
        <v>39</v>
      </c>
      <c r="D18" s="3">
        <v>39</v>
      </c>
      <c r="E18" s="3">
        <v>1</v>
      </c>
      <c r="F18" s="6" t="str">
        <f>IF(Table2[[#This Row],[discontinued]]=0,"Available"," Not Available")</f>
        <v xml:space="preserve"> Not Available</v>
      </c>
      <c r="G18" s="3">
        <v>6</v>
      </c>
      <c r="H18" s="5">
        <f>SUMIF(order_details!B:B,Table2[[#This Row],[productID]],order_details!F:F)</f>
        <v>32698.379999999997</v>
      </c>
    </row>
    <row r="19" spans="1:8" x14ac:dyDescent="0.45">
      <c r="A19" s="3">
        <v>18</v>
      </c>
      <c r="B19" s="6" t="s">
        <v>40</v>
      </c>
      <c r="C19" t="s">
        <v>41</v>
      </c>
      <c r="D19" s="3">
        <v>62.5</v>
      </c>
      <c r="E19" s="3">
        <v>0</v>
      </c>
      <c r="F19" s="6" t="str">
        <f>IF(Table2[[#This Row],[discontinued]]=0,"Available"," Not Available")</f>
        <v>Available</v>
      </c>
      <c r="G19" s="3">
        <v>8</v>
      </c>
      <c r="H19" s="5">
        <f>SUMIF(order_details!B:B,Table2[[#This Row],[productID]],order_details!F:F)</f>
        <v>29171.875</v>
      </c>
    </row>
    <row r="20" spans="1:8" x14ac:dyDescent="0.45">
      <c r="A20" s="3">
        <v>19</v>
      </c>
      <c r="B20" s="6" t="s">
        <v>42</v>
      </c>
      <c r="C20" t="s">
        <v>43</v>
      </c>
      <c r="D20" s="3">
        <v>9.1999999999999993</v>
      </c>
      <c r="E20" s="3">
        <v>0</v>
      </c>
      <c r="F20" s="6" t="str">
        <f>IF(Table2[[#This Row],[discontinued]]=0,"Available"," Not Available")</f>
        <v>Available</v>
      </c>
      <c r="G20" s="3">
        <v>3</v>
      </c>
      <c r="H20" s="5">
        <f>SUMIF(order_details!B:B,Table2[[#This Row],[productID]],order_details!F:F)</f>
        <v>5862.6199999999981</v>
      </c>
    </row>
    <row r="21" spans="1:8" x14ac:dyDescent="0.45">
      <c r="A21" s="3">
        <v>20</v>
      </c>
      <c r="B21" s="6" t="s">
        <v>44</v>
      </c>
      <c r="C21" t="s">
        <v>45</v>
      </c>
      <c r="D21" s="3">
        <v>81</v>
      </c>
      <c r="E21" s="3">
        <v>0</v>
      </c>
      <c r="F21" s="6" t="str">
        <f>IF(Table2[[#This Row],[discontinued]]=0,"Available"," Not Available")</f>
        <v>Available</v>
      </c>
      <c r="G21" s="3">
        <v>3</v>
      </c>
      <c r="H21" s="5">
        <f>SUMIF(order_details!B:B,Table2[[#This Row],[productID]],order_details!F:F)</f>
        <v>22563.359999999997</v>
      </c>
    </row>
    <row r="22" spans="1:8" x14ac:dyDescent="0.45">
      <c r="A22" s="3">
        <v>21</v>
      </c>
      <c r="B22" s="6" t="s">
        <v>46</v>
      </c>
      <c r="C22" t="s">
        <v>47</v>
      </c>
      <c r="D22" s="3">
        <v>10</v>
      </c>
      <c r="E22" s="3">
        <v>0</v>
      </c>
      <c r="F22" s="6" t="str">
        <f>IF(Table2[[#This Row],[discontinued]]=0,"Available"," Not Available")</f>
        <v>Available</v>
      </c>
      <c r="G22" s="3">
        <v>3</v>
      </c>
      <c r="H22" s="5">
        <f>SUMIF(order_details!B:B,Table2[[#This Row],[productID]],order_details!F:F)</f>
        <v>9104</v>
      </c>
    </row>
    <row r="23" spans="1:8" x14ac:dyDescent="0.45">
      <c r="A23" s="3">
        <v>22</v>
      </c>
      <c r="B23" s="6" t="s">
        <v>48</v>
      </c>
      <c r="C23" t="s">
        <v>49</v>
      </c>
      <c r="D23" s="3">
        <v>21</v>
      </c>
      <c r="E23" s="3">
        <v>0</v>
      </c>
      <c r="F23" s="6" t="str">
        <f>IF(Table2[[#This Row],[discontinued]]=0,"Available"," Not Available")</f>
        <v>Available</v>
      </c>
      <c r="G23" s="3">
        <v>5</v>
      </c>
      <c r="H23" s="5">
        <f>SUMIF(order_details!B:B,Table2[[#This Row],[productID]],order_details!F:F)</f>
        <v>7122.3600000000006</v>
      </c>
    </row>
    <row r="24" spans="1:8" x14ac:dyDescent="0.45">
      <c r="A24" s="3">
        <v>23</v>
      </c>
      <c r="B24" s="6" t="s">
        <v>50</v>
      </c>
      <c r="C24" t="s">
        <v>51</v>
      </c>
      <c r="D24" s="3">
        <v>9</v>
      </c>
      <c r="E24" s="3">
        <v>0</v>
      </c>
      <c r="F24" s="6" t="str">
        <f>IF(Table2[[#This Row],[discontinued]]=0,"Available"," Not Available")</f>
        <v>Available</v>
      </c>
      <c r="G24" s="3">
        <v>5</v>
      </c>
      <c r="H24" s="5">
        <f>SUMIF(order_details!B:B,Table2[[#This Row],[productID]],order_details!F:F)</f>
        <v>4601.7</v>
      </c>
    </row>
    <row r="25" spans="1:8" x14ac:dyDescent="0.45">
      <c r="A25" s="3">
        <v>24</v>
      </c>
      <c r="B25" s="6" t="s">
        <v>52</v>
      </c>
      <c r="C25" t="s">
        <v>53</v>
      </c>
      <c r="D25" s="3">
        <v>4.5</v>
      </c>
      <c r="E25" s="3">
        <v>1</v>
      </c>
      <c r="F25" s="6" t="str">
        <f>IF(Table2[[#This Row],[discontinued]]=0,"Available"," Not Available")</f>
        <v xml:space="preserve"> Not Available</v>
      </c>
      <c r="G25" s="3">
        <v>1</v>
      </c>
      <c r="H25" s="5">
        <f>SUMIF(order_details!B:B,Table2[[#This Row],[productID]],order_details!F:F)</f>
        <v>4504.3649999999998</v>
      </c>
    </row>
    <row r="26" spans="1:8" x14ac:dyDescent="0.45">
      <c r="A26" s="3">
        <v>25</v>
      </c>
      <c r="B26" s="6" t="s">
        <v>54</v>
      </c>
      <c r="C26" t="s">
        <v>55</v>
      </c>
      <c r="D26" s="3">
        <v>14</v>
      </c>
      <c r="E26" s="3">
        <v>0</v>
      </c>
      <c r="F26" s="6" t="str">
        <f>IF(Table2[[#This Row],[discontinued]]=0,"Available"," Not Available")</f>
        <v>Available</v>
      </c>
      <c r="G26" s="3">
        <v>3</v>
      </c>
      <c r="H26" s="5">
        <f>SUMIF(order_details!B:B,Table2[[#This Row],[productID]],order_details!F:F)</f>
        <v>3704.3999999999996</v>
      </c>
    </row>
    <row r="27" spans="1:8" x14ac:dyDescent="0.45">
      <c r="A27" s="3">
        <v>26</v>
      </c>
      <c r="B27" s="6" t="s">
        <v>56</v>
      </c>
      <c r="C27" t="s">
        <v>57</v>
      </c>
      <c r="D27" s="3">
        <v>31.23</v>
      </c>
      <c r="E27" s="3">
        <v>0</v>
      </c>
      <c r="F27" s="6" t="str">
        <f>IF(Table2[[#This Row],[discontinued]]=0,"Available"," Not Available")</f>
        <v>Available</v>
      </c>
      <c r="G27" s="3">
        <v>3</v>
      </c>
      <c r="H27" s="5">
        <f>SUMIF(order_details!B:B,Table2[[#This Row],[productID]],order_details!F:F)</f>
        <v>19849.144500000002</v>
      </c>
    </row>
    <row r="28" spans="1:8" x14ac:dyDescent="0.45">
      <c r="A28" s="3">
        <v>27</v>
      </c>
      <c r="B28" s="6" t="s">
        <v>58</v>
      </c>
      <c r="C28" t="s">
        <v>59</v>
      </c>
      <c r="D28" s="3">
        <v>43.9</v>
      </c>
      <c r="E28" s="3">
        <v>0</v>
      </c>
      <c r="F28" s="6" t="str">
        <f>IF(Table2[[#This Row],[discontinued]]=0,"Available"," Not Available")</f>
        <v>Available</v>
      </c>
      <c r="G28" s="3">
        <v>3</v>
      </c>
      <c r="H28" s="5">
        <f>SUMIF(order_details!B:B,Table2[[#This Row],[productID]],order_details!F:F)</f>
        <v>15099.875</v>
      </c>
    </row>
    <row r="29" spans="1:8" x14ac:dyDescent="0.45">
      <c r="A29" s="3">
        <v>28</v>
      </c>
      <c r="B29" s="6" t="s">
        <v>60</v>
      </c>
      <c r="C29" t="s">
        <v>61</v>
      </c>
      <c r="D29" s="3">
        <v>45.6</v>
      </c>
      <c r="E29" s="3">
        <v>1</v>
      </c>
      <c r="F29" s="6" t="str">
        <f>IF(Table2[[#This Row],[discontinued]]=0,"Available"," Not Available")</f>
        <v xml:space="preserve"> Not Available</v>
      </c>
      <c r="G29" s="3">
        <v>7</v>
      </c>
      <c r="H29" s="5">
        <f>SUMIF(order_details!B:B,Table2[[#This Row],[productID]],order_details!F:F)</f>
        <v>25696.640000000007</v>
      </c>
    </row>
    <row r="30" spans="1:8" x14ac:dyDescent="0.45">
      <c r="A30" s="3">
        <v>29</v>
      </c>
      <c r="B30" s="6" t="s">
        <v>62</v>
      </c>
      <c r="C30" t="s">
        <v>63</v>
      </c>
      <c r="D30" s="3">
        <v>123.79</v>
      </c>
      <c r="E30" s="3">
        <v>1</v>
      </c>
      <c r="F30" s="6" t="str">
        <f>IF(Table2[[#This Row],[discontinued]]=0,"Available"," Not Available")</f>
        <v xml:space="preserve"> Not Available</v>
      </c>
      <c r="G30" s="3">
        <v>6</v>
      </c>
      <c r="H30" s="5">
        <f>SUMIF(order_details!B:B,Table2[[#This Row],[productID]],order_details!F:F)</f>
        <v>80368.672000000006</v>
      </c>
    </row>
    <row r="31" spans="1:8" x14ac:dyDescent="0.45">
      <c r="A31" s="3">
        <v>30</v>
      </c>
      <c r="B31" s="6" t="s">
        <v>64</v>
      </c>
      <c r="C31" t="s">
        <v>65</v>
      </c>
      <c r="D31" s="3">
        <v>25.89</v>
      </c>
      <c r="E31" s="3">
        <v>0</v>
      </c>
      <c r="F31" s="6" t="str">
        <f>IF(Table2[[#This Row],[discontinued]]=0,"Available"," Not Available")</f>
        <v>Available</v>
      </c>
      <c r="G31" s="3">
        <v>8</v>
      </c>
      <c r="H31" s="5">
        <f>SUMIF(order_details!B:B,Table2[[#This Row],[productID]],order_details!F:F)</f>
        <v>13424.197500000002</v>
      </c>
    </row>
    <row r="32" spans="1:8" x14ac:dyDescent="0.45">
      <c r="A32" s="3">
        <v>31</v>
      </c>
      <c r="B32" s="6" t="s">
        <v>66</v>
      </c>
      <c r="C32" t="s">
        <v>67</v>
      </c>
      <c r="D32" s="3">
        <v>12.5</v>
      </c>
      <c r="E32" s="3">
        <v>0</v>
      </c>
      <c r="F32" s="6" t="str">
        <f>IF(Table2[[#This Row],[discontinued]]=0,"Available"," Not Available")</f>
        <v>Available</v>
      </c>
      <c r="G32" s="3">
        <v>4</v>
      </c>
      <c r="H32" s="5">
        <f>SUMIF(order_details!B:B,Table2[[#This Row],[productID]],order_details!F:F)</f>
        <v>14920.875</v>
      </c>
    </row>
    <row r="33" spans="1:8" x14ac:dyDescent="0.45">
      <c r="A33" s="3">
        <v>32</v>
      </c>
      <c r="B33" s="6" t="s">
        <v>68</v>
      </c>
      <c r="C33" t="s">
        <v>69</v>
      </c>
      <c r="D33" s="3">
        <v>32</v>
      </c>
      <c r="E33" s="3">
        <v>0</v>
      </c>
      <c r="F33" s="6" t="str">
        <f>IF(Table2[[#This Row],[discontinued]]=0,"Available"," Not Available")</f>
        <v>Available</v>
      </c>
      <c r="G33" s="3">
        <v>4</v>
      </c>
      <c r="H33" s="5">
        <f>SUMIF(order_details!B:B,Table2[[#This Row],[productID]],order_details!F:F)</f>
        <v>8404.16</v>
      </c>
    </row>
    <row r="34" spans="1:8" x14ac:dyDescent="0.45">
      <c r="A34" s="3">
        <v>33</v>
      </c>
      <c r="B34" s="6" t="s">
        <v>70</v>
      </c>
      <c r="C34" t="s">
        <v>71</v>
      </c>
      <c r="D34" s="3">
        <v>2.5</v>
      </c>
      <c r="E34" s="3">
        <v>0</v>
      </c>
      <c r="F34" s="6" t="str">
        <f>IF(Table2[[#This Row],[discontinued]]=0,"Available"," Not Available")</f>
        <v>Available</v>
      </c>
      <c r="G34" s="3">
        <v>4</v>
      </c>
      <c r="H34" s="5">
        <f>SUMIF(order_details!B:B,Table2[[#This Row],[productID]],order_details!F:F)</f>
        <v>1648.125</v>
      </c>
    </row>
    <row r="35" spans="1:8" x14ac:dyDescent="0.45">
      <c r="A35" s="3">
        <v>34</v>
      </c>
      <c r="B35" s="6" t="s">
        <v>72</v>
      </c>
      <c r="C35" t="s">
        <v>9</v>
      </c>
      <c r="D35" s="3">
        <v>14</v>
      </c>
      <c r="E35" s="3">
        <v>0</v>
      </c>
      <c r="F35" s="6" t="str">
        <f>IF(Table2[[#This Row],[discontinued]]=0,"Available"," Not Available")</f>
        <v>Available</v>
      </c>
      <c r="G35" s="3">
        <v>1</v>
      </c>
      <c r="H35" s="5">
        <f>SUMIF(order_details!B:B,Table2[[#This Row],[productID]],order_details!F:F)</f>
        <v>6350.4</v>
      </c>
    </row>
    <row r="36" spans="1:8" x14ac:dyDescent="0.45">
      <c r="A36" s="3">
        <v>35</v>
      </c>
      <c r="B36" s="6" t="s">
        <v>73</v>
      </c>
      <c r="C36" t="s">
        <v>9</v>
      </c>
      <c r="D36" s="3">
        <v>18</v>
      </c>
      <c r="E36" s="3">
        <v>0</v>
      </c>
      <c r="F36" s="6" t="str">
        <f>IF(Table2[[#This Row],[discontinued]]=0,"Available"," Not Available")</f>
        <v>Available</v>
      </c>
      <c r="G36" s="3">
        <v>1</v>
      </c>
      <c r="H36" s="5">
        <f>SUMIF(order_details!B:B,Table2[[#This Row],[productID]],order_details!F:F)</f>
        <v>13643.999999999998</v>
      </c>
    </row>
    <row r="37" spans="1:8" x14ac:dyDescent="0.45">
      <c r="A37" s="3">
        <v>36</v>
      </c>
      <c r="B37" s="6" t="s">
        <v>74</v>
      </c>
      <c r="C37" t="s">
        <v>75</v>
      </c>
      <c r="D37" s="3">
        <v>19</v>
      </c>
      <c r="E37" s="3">
        <v>0</v>
      </c>
      <c r="F37" s="6" t="str">
        <f>IF(Table2[[#This Row],[discontinued]]=0,"Available"," Not Available")</f>
        <v>Available</v>
      </c>
      <c r="G37" s="3">
        <v>8</v>
      </c>
      <c r="H37" s="5">
        <f>SUMIF(order_details!B:B,Table2[[#This Row],[productID]],order_details!F:F)</f>
        <v>13458.460000000001</v>
      </c>
    </row>
    <row r="38" spans="1:8" x14ac:dyDescent="0.45">
      <c r="A38" s="3">
        <v>37</v>
      </c>
      <c r="B38" s="6" t="s">
        <v>76</v>
      </c>
      <c r="C38" t="s">
        <v>77</v>
      </c>
      <c r="D38" s="3">
        <v>26</v>
      </c>
      <c r="E38" s="3">
        <v>0</v>
      </c>
      <c r="F38" s="6" t="str">
        <f>IF(Table2[[#This Row],[discontinued]]=0,"Available"," Not Available")</f>
        <v>Available</v>
      </c>
      <c r="G38" s="3">
        <v>8</v>
      </c>
      <c r="H38" s="5">
        <f>SUMIF(order_details!B:B,Table2[[#This Row],[productID]],order_details!F:F)</f>
        <v>2688.3999999999996</v>
      </c>
    </row>
    <row r="39" spans="1:8" x14ac:dyDescent="0.45">
      <c r="A39" s="3">
        <v>38</v>
      </c>
      <c r="B39" s="6" t="s">
        <v>78</v>
      </c>
      <c r="C39" t="s">
        <v>79</v>
      </c>
      <c r="D39" s="3">
        <v>263.5</v>
      </c>
      <c r="E39" s="3">
        <v>0</v>
      </c>
      <c r="F39" s="6" t="str">
        <f>IF(Table2[[#This Row],[discontinued]]=0,"Available"," Not Available")</f>
        <v>Available</v>
      </c>
      <c r="G39" s="3">
        <v>1</v>
      </c>
      <c r="H39" s="5">
        <f>SUMIF(order_details!B:B,Table2[[#This Row],[productID]],order_details!F:F)</f>
        <v>141396.73499999999</v>
      </c>
    </row>
    <row r="40" spans="1:8" x14ac:dyDescent="0.45">
      <c r="A40" s="3">
        <v>39</v>
      </c>
      <c r="B40" s="6" t="s">
        <v>80</v>
      </c>
      <c r="C40" t="s">
        <v>81</v>
      </c>
      <c r="D40" s="3">
        <v>18</v>
      </c>
      <c r="E40" s="3">
        <v>0</v>
      </c>
      <c r="F40" s="6" t="str">
        <f>IF(Table2[[#This Row],[discontinued]]=0,"Available"," Not Available")</f>
        <v>Available</v>
      </c>
      <c r="G40" s="3">
        <v>1</v>
      </c>
      <c r="H40" s="5">
        <f>SUMIF(order_details!B:B,Table2[[#This Row],[productID]],order_details!F:F)</f>
        <v>12294.54</v>
      </c>
    </row>
    <row r="41" spans="1:8" x14ac:dyDescent="0.45">
      <c r="A41" s="3">
        <v>40</v>
      </c>
      <c r="B41" s="6" t="s">
        <v>82</v>
      </c>
      <c r="C41" t="s">
        <v>83</v>
      </c>
      <c r="D41" s="3">
        <v>18.399999999999999</v>
      </c>
      <c r="E41" s="3">
        <v>0</v>
      </c>
      <c r="F41" s="6" t="str">
        <f>IF(Table2[[#This Row],[discontinued]]=0,"Available"," Not Available")</f>
        <v>Available</v>
      </c>
      <c r="G41" s="3">
        <v>8</v>
      </c>
      <c r="H41" s="5">
        <f>SUMIF(order_details!B:B,Table2[[#This Row],[productID]],order_details!F:F)</f>
        <v>17910.63</v>
      </c>
    </row>
    <row r="42" spans="1:8" x14ac:dyDescent="0.45">
      <c r="A42" s="3">
        <v>41</v>
      </c>
      <c r="B42" s="6" t="s">
        <v>84</v>
      </c>
      <c r="C42" t="s">
        <v>85</v>
      </c>
      <c r="D42" s="3">
        <v>9.65</v>
      </c>
      <c r="E42" s="3">
        <v>0</v>
      </c>
      <c r="F42" s="6" t="str">
        <f>IF(Table2[[#This Row],[discontinued]]=0,"Available"," Not Available")</f>
        <v>Available</v>
      </c>
      <c r="G42" s="3">
        <v>8</v>
      </c>
      <c r="H42" s="5">
        <f>SUMIF(order_details!B:B,Table2[[#This Row],[productID]],order_details!F:F)</f>
        <v>8680.3450000000048</v>
      </c>
    </row>
    <row r="43" spans="1:8" x14ac:dyDescent="0.45">
      <c r="A43" s="3">
        <v>42</v>
      </c>
      <c r="B43" s="6" t="s">
        <v>86</v>
      </c>
      <c r="C43" t="s">
        <v>87</v>
      </c>
      <c r="D43" s="3">
        <v>14</v>
      </c>
      <c r="E43" s="3">
        <v>1</v>
      </c>
      <c r="F43" s="6" t="str">
        <f>IF(Table2[[#This Row],[discontinued]]=0,"Available"," Not Available")</f>
        <v xml:space="preserve"> Not Available</v>
      </c>
      <c r="G43" s="3">
        <v>5</v>
      </c>
      <c r="H43" s="5">
        <f>SUMIF(order_details!B:B,Table2[[#This Row],[productID]],order_details!F:F)</f>
        <v>8575</v>
      </c>
    </row>
    <row r="44" spans="1:8" x14ac:dyDescent="0.45">
      <c r="A44" s="3">
        <v>43</v>
      </c>
      <c r="B44" s="6" t="s">
        <v>88</v>
      </c>
      <c r="C44" t="s">
        <v>89</v>
      </c>
      <c r="D44" s="3">
        <v>46</v>
      </c>
      <c r="E44" s="3">
        <v>0</v>
      </c>
      <c r="F44" s="6" t="str">
        <f>IF(Table2[[#This Row],[discontinued]]=0,"Available"," Not Available")</f>
        <v>Available</v>
      </c>
      <c r="G44" s="3">
        <v>1</v>
      </c>
      <c r="H44" s="5">
        <f>SUMIF(order_details!B:B,Table2[[#This Row],[productID]],order_details!F:F)</f>
        <v>23526.699999999997</v>
      </c>
    </row>
    <row r="45" spans="1:8" x14ac:dyDescent="0.45">
      <c r="A45" s="3">
        <v>44</v>
      </c>
      <c r="B45" s="6" t="s">
        <v>90</v>
      </c>
      <c r="C45" t="s">
        <v>91</v>
      </c>
      <c r="D45" s="3">
        <v>19.45</v>
      </c>
      <c r="E45" s="3">
        <v>0</v>
      </c>
      <c r="F45" s="6" t="str">
        <f>IF(Table2[[#This Row],[discontinued]]=0,"Available"," Not Available")</f>
        <v>Available</v>
      </c>
      <c r="G45" s="3">
        <v>2</v>
      </c>
      <c r="H45" s="5">
        <f>SUMIF(order_details!B:B,Table2[[#This Row],[productID]],order_details!F:F)</f>
        <v>9915.9450000000015</v>
      </c>
    </row>
    <row r="46" spans="1:8" x14ac:dyDescent="0.45">
      <c r="A46" s="3">
        <v>45</v>
      </c>
      <c r="B46" s="6" t="s">
        <v>92</v>
      </c>
      <c r="C46" t="s">
        <v>93</v>
      </c>
      <c r="D46" s="3">
        <v>9.5</v>
      </c>
      <c r="E46" s="3">
        <v>0</v>
      </c>
      <c r="F46" s="6" t="str">
        <f>IF(Table2[[#This Row],[discontinued]]=0,"Available"," Not Available")</f>
        <v>Available</v>
      </c>
      <c r="G46" s="3">
        <v>8</v>
      </c>
      <c r="H46" s="5">
        <f>SUMIF(order_details!B:B,Table2[[#This Row],[productID]],order_details!F:F)</f>
        <v>4338.1750000000002</v>
      </c>
    </row>
    <row r="47" spans="1:8" x14ac:dyDescent="0.45">
      <c r="A47" s="3">
        <v>46</v>
      </c>
      <c r="B47" s="6" t="s">
        <v>94</v>
      </c>
      <c r="C47" t="s">
        <v>95</v>
      </c>
      <c r="D47" s="3">
        <v>12</v>
      </c>
      <c r="E47" s="3">
        <v>0</v>
      </c>
      <c r="F47" s="6" t="str">
        <f>IF(Table2[[#This Row],[discontinued]]=0,"Available"," Not Available")</f>
        <v>Available</v>
      </c>
      <c r="G47" s="3">
        <v>8</v>
      </c>
      <c r="H47" s="5">
        <f>SUMIF(order_details!B:B,Table2[[#This Row],[productID]],order_details!F:F)</f>
        <v>5882.9999999999991</v>
      </c>
    </row>
    <row r="48" spans="1:8" x14ac:dyDescent="0.45">
      <c r="A48" s="3">
        <v>47</v>
      </c>
      <c r="B48" s="6" t="s">
        <v>96</v>
      </c>
      <c r="C48" t="s">
        <v>97</v>
      </c>
      <c r="D48" s="3">
        <v>9.5</v>
      </c>
      <c r="E48" s="3">
        <v>0</v>
      </c>
      <c r="F48" s="6" t="str">
        <f>IF(Table2[[#This Row],[discontinued]]=0,"Available"," Not Available")</f>
        <v>Available</v>
      </c>
      <c r="G48" s="3">
        <v>3</v>
      </c>
      <c r="H48" s="5">
        <f>SUMIF(order_details!B:B,Table2[[#This Row],[productID]],order_details!F:F)</f>
        <v>3958.08</v>
      </c>
    </row>
    <row r="49" spans="1:8" x14ac:dyDescent="0.45">
      <c r="A49" s="3">
        <v>48</v>
      </c>
      <c r="B49" s="6" t="s">
        <v>98</v>
      </c>
      <c r="C49" t="s">
        <v>99</v>
      </c>
      <c r="D49" s="3">
        <v>12.75</v>
      </c>
      <c r="E49" s="3">
        <v>0</v>
      </c>
      <c r="F49" s="6" t="str">
        <f>IF(Table2[[#This Row],[discontinued]]=0,"Available"," Not Available")</f>
        <v>Available</v>
      </c>
      <c r="G49" s="3">
        <v>3</v>
      </c>
      <c r="H49" s="5">
        <f>SUMIF(order_details!B:B,Table2[[#This Row],[productID]],order_details!F:F)</f>
        <v>1368.7125000000001</v>
      </c>
    </row>
    <row r="50" spans="1:8" x14ac:dyDescent="0.45">
      <c r="A50" s="3">
        <v>49</v>
      </c>
      <c r="B50" s="6" t="s">
        <v>100</v>
      </c>
      <c r="C50" t="s">
        <v>101</v>
      </c>
      <c r="D50" s="3">
        <v>20</v>
      </c>
      <c r="E50" s="3">
        <v>0</v>
      </c>
      <c r="F50" s="6" t="str">
        <f>IF(Table2[[#This Row],[discontinued]]=0,"Available"," Not Available")</f>
        <v>Available</v>
      </c>
      <c r="G50" s="3">
        <v>3</v>
      </c>
      <c r="H50" s="5">
        <f>SUMIF(order_details!B:B,Table2[[#This Row],[productID]],order_details!F:F)</f>
        <v>9244.6</v>
      </c>
    </row>
    <row r="51" spans="1:8" x14ac:dyDescent="0.45">
      <c r="A51" s="3">
        <v>50</v>
      </c>
      <c r="B51" s="6" t="s">
        <v>102</v>
      </c>
      <c r="C51" t="s">
        <v>103</v>
      </c>
      <c r="D51" s="3">
        <v>16.25</v>
      </c>
      <c r="E51" s="3">
        <v>0</v>
      </c>
      <c r="F51" s="6" t="str">
        <f>IF(Table2[[#This Row],[discontinued]]=0,"Available"," Not Available")</f>
        <v>Available</v>
      </c>
      <c r="G51" s="3">
        <v>3</v>
      </c>
      <c r="H51" s="5">
        <f>SUMIF(order_details!B:B,Table2[[#This Row],[productID]],order_details!F:F)</f>
        <v>3437.6875</v>
      </c>
    </row>
    <row r="52" spans="1:8" x14ac:dyDescent="0.45">
      <c r="A52" s="3">
        <v>51</v>
      </c>
      <c r="B52" s="6" t="s">
        <v>104</v>
      </c>
      <c r="C52" t="s">
        <v>105</v>
      </c>
      <c r="D52" s="3">
        <v>53</v>
      </c>
      <c r="E52" s="3">
        <v>0</v>
      </c>
      <c r="F52" s="6" t="str">
        <f>IF(Table2[[#This Row],[discontinued]]=0,"Available"," Not Available")</f>
        <v>Available</v>
      </c>
      <c r="G52" s="3">
        <v>7</v>
      </c>
      <c r="H52" s="5">
        <f>SUMIF(order_details!B:B,Table2[[#This Row],[productID]],order_details!F:F)</f>
        <v>41819.65</v>
      </c>
    </row>
    <row r="53" spans="1:8" x14ac:dyDescent="0.45">
      <c r="A53" s="3">
        <v>52</v>
      </c>
      <c r="B53" s="6" t="s">
        <v>106</v>
      </c>
      <c r="C53" t="s">
        <v>107</v>
      </c>
      <c r="D53" s="3">
        <v>7</v>
      </c>
      <c r="E53" s="3">
        <v>0</v>
      </c>
      <c r="F53" s="6" t="str">
        <f>IF(Table2[[#This Row],[discontinued]]=0,"Available"," Not Available")</f>
        <v>Available</v>
      </c>
      <c r="G53" s="3">
        <v>5</v>
      </c>
      <c r="H53" s="5">
        <f>SUMIF(order_details!B:B,Table2[[#This Row],[productID]],order_details!F:F)</f>
        <v>3232.9500000000003</v>
      </c>
    </row>
    <row r="54" spans="1:8" x14ac:dyDescent="0.45">
      <c r="A54" s="3">
        <v>53</v>
      </c>
      <c r="B54" s="6" t="s">
        <v>108</v>
      </c>
      <c r="C54" t="s">
        <v>109</v>
      </c>
      <c r="D54" s="3">
        <v>32.799999999999997</v>
      </c>
      <c r="E54" s="3">
        <v>1</v>
      </c>
      <c r="F54" s="6" t="str">
        <f>IF(Table2[[#This Row],[discontinued]]=0,"Available"," Not Available")</f>
        <v xml:space="preserve"> Not Available</v>
      </c>
      <c r="G54" s="3">
        <v>6</v>
      </c>
      <c r="H54" s="5">
        <f>SUMIF(order_details!B:B,Table2[[#This Row],[productID]],order_details!F:F)</f>
        <v>20574.170000000006</v>
      </c>
    </row>
    <row r="55" spans="1:8" x14ac:dyDescent="0.45">
      <c r="A55" s="3">
        <v>54</v>
      </c>
      <c r="B55" s="6" t="s">
        <v>110</v>
      </c>
      <c r="C55" t="s">
        <v>111</v>
      </c>
      <c r="D55" s="3">
        <v>7.45</v>
      </c>
      <c r="E55" s="3">
        <v>0</v>
      </c>
      <c r="F55" s="6" t="str">
        <f>IF(Table2[[#This Row],[discontinued]]=0,"Available"," Not Available")</f>
        <v>Available</v>
      </c>
      <c r="G55" s="3">
        <v>6</v>
      </c>
      <c r="H55" s="5">
        <f>SUMIF(order_details!B:B,Table2[[#This Row],[productID]],order_details!F:F)</f>
        <v>4728.2375000000002</v>
      </c>
    </row>
    <row r="56" spans="1:8" x14ac:dyDescent="0.45">
      <c r="A56" s="3">
        <v>55</v>
      </c>
      <c r="B56" s="6" t="s">
        <v>112</v>
      </c>
      <c r="C56" t="s">
        <v>113</v>
      </c>
      <c r="D56" s="3">
        <v>24</v>
      </c>
      <c r="E56" s="3">
        <v>0</v>
      </c>
      <c r="F56" s="6" t="str">
        <f>IF(Table2[[#This Row],[discontinued]]=0,"Available"," Not Available")</f>
        <v>Available</v>
      </c>
      <c r="G56" s="3">
        <v>6</v>
      </c>
      <c r="H56" s="5">
        <f>SUMIF(order_details!B:B,Table2[[#This Row],[productID]],order_details!F:F)</f>
        <v>17426.400000000001</v>
      </c>
    </row>
    <row r="57" spans="1:8" x14ac:dyDescent="0.45">
      <c r="A57" s="3">
        <v>56</v>
      </c>
      <c r="B57" s="6" t="s">
        <v>114</v>
      </c>
      <c r="C57" t="s">
        <v>115</v>
      </c>
      <c r="D57" s="3">
        <v>38</v>
      </c>
      <c r="E57" s="3">
        <v>0</v>
      </c>
      <c r="F57" s="6" t="str">
        <f>IF(Table2[[#This Row],[discontinued]]=0,"Available"," Not Available")</f>
        <v>Available</v>
      </c>
      <c r="G57" s="3">
        <v>5</v>
      </c>
      <c r="H57" s="5">
        <f>SUMIF(order_details!B:B,Table2[[#This Row],[productID]],order_details!F:F)</f>
        <v>42593.06</v>
      </c>
    </row>
    <row r="58" spans="1:8" x14ac:dyDescent="0.45">
      <c r="A58" s="3">
        <v>57</v>
      </c>
      <c r="B58" s="6" t="s">
        <v>116</v>
      </c>
      <c r="C58" t="s">
        <v>115</v>
      </c>
      <c r="D58" s="3">
        <v>19.5</v>
      </c>
      <c r="E58" s="3">
        <v>0</v>
      </c>
      <c r="F58" s="6" t="str">
        <f>IF(Table2[[#This Row],[discontinued]]=0,"Available"," Not Available")</f>
        <v>Available</v>
      </c>
      <c r="G58" s="3">
        <v>5</v>
      </c>
      <c r="H58" s="5">
        <f>SUMIF(order_details!B:B,Table2[[#This Row],[productID]],order_details!F:F)</f>
        <v>7661.5499999999993</v>
      </c>
    </row>
    <row r="59" spans="1:8" x14ac:dyDescent="0.45">
      <c r="A59" s="3">
        <v>58</v>
      </c>
      <c r="B59" s="6" t="s">
        <v>117</v>
      </c>
      <c r="C59" t="s">
        <v>118</v>
      </c>
      <c r="D59" s="3">
        <v>13.25</v>
      </c>
      <c r="E59" s="3">
        <v>0</v>
      </c>
      <c r="F59" s="6" t="str">
        <f>IF(Table2[[#This Row],[discontinued]]=0,"Available"," Not Available")</f>
        <v>Available</v>
      </c>
      <c r="G59" s="3">
        <v>8</v>
      </c>
      <c r="H59" s="5">
        <f>SUMIF(order_details!B:B,Table2[[#This Row],[productID]],order_details!F:F)</f>
        <v>5881.6749999999993</v>
      </c>
    </row>
    <row r="60" spans="1:8" x14ac:dyDescent="0.45">
      <c r="A60" s="3">
        <v>59</v>
      </c>
      <c r="B60" s="6" t="s">
        <v>119</v>
      </c>
      <c r="C60" t="s">
        <v>120</v>
      </c>
      <c r="D60" s="3">
        <v>55</v>
      </c>
      <c r="E60" s="3">
        <v>0</v>
      </c>
      <c r="F60" s="6" t="str">
        <f>IF(Table2[[#This Row],[discontinued]]=0,"Available"," Not Available")</f>
        <v>Available</v>
      </c>
      <c r="G60" s="3">
        <v>4</v>
      </c>
      <c r="H60" s="5">
        <f>SUMIF(order_details!B:B,Table2[[#This Row],[productID]],order_details!F:F)</f>
        <v>71155.7</v>
      </c>
    </row>
    <row r="61" spans="1:8" x14ac:dyDescent="0.45">
      <c r="A61" s="3">
        <v>60</v>
      </c>
      <c r="B61" s="6" t="s">
        <v>121</v>
      </c>
      <c r="C61" t="s">
        <v>122</v>
      </c>
      <c r="D61" s="3">
        <v>34</v>
      </c>
      <c r="E61" s="3">
        <v>0</v>
      </c>
      <c r="F61" s="6" t="str">
        <f>IF(Table2[[#This Row],[discontinued]]=0,"Available"," Not Available")</f>
        <v>Available</v>
      </c>
      <c r="G61" s="3">
        <v>4</v>
      </c>
      <c r="H61" s="5">
        <f>SUMIF(order_details!B:B,Table2[[#This Row],[productID]],order_details!F:F)</f>
        <v>46825.48</v>
      </c>
    </row>
    <row r="62" spans="1:8" x14ac:dyDescent="0.45">
      <c r="A62" s="3">
        <v>61</v>
      </c>
      <c r="B62" s="6" t="s">
        <v>123</v>
      </c>
      <c r="C62" t="s">
        <v>124</v>
      </c>
      <c r="D62" s="3">
        <v>28.5</v>
      </c>
      <c r="E62" s="3">
        <v>0</v>
      </c>
      <c r="F62" s="6" t="str">
        <f>IF(Table2[[#This Row],[discontinued]]=0,"Available"," Not Available")</f>
        <v>Available</v>
      </c>
      <c r="G62" s="3">
        <v>2</v>
      </c>
      <c r="H62" s="5">
        <f>SUMIF(order_details!B:B,Table2[[#This Row],[productID]],order_details!F:F)</f>
        <v>14352.6</v>
      </c>
    </row>
    <row r="63" spans="1:8" x14ac:dyDescent="0.45">
      <c r="A63" s="3">
        <v>62</v>
      </c>
      <c r="B63" s="6" t="s">
        <v>125</v>
      </c>
      <c r="C63" t="s">
        <v>126</v>
      </c>
      <c r="D63" s="3">
        <v>49.3</v>
      </c>
      <c r="E63" s="3">
        <v>0</v>
      </c>
      <c r="F63" s="6" t="str">
        <f>IF(Table2[[#This Row],[discontinued]]=0,"Available"," Not Available")</f>
        <v>Available</v>
      </c>
      <c r="G63" s="3">
        <v>3</v>
      </c>
      <c r="H63" s="5">
        <f>SUMIF(order_details!B:B,Table2[[#This Row],[productID]],order_details!F:F)</f>
        <v>47234.97</v>
      </c>
    </row>
    <row r="64" spans="1:8" x14ac:dyDescent="0.45">
      <c r="A64" s="3">
        <v>63</v>
      </c>
      <c r="B64" s="6" t="s">
        <v>127</v>
      </c>
      <c r="C64" t="s">
        <v>128</v>
      </c>
      <c r="D64" s="3">
        <v>43.9</v>
      </c>
      <c r="E64" s="3">
        <v>0</v>
      </c>
      <c r="F64" s="6" t="str">
        <f>IF(Table2[[#This Row],[discontinued]]=0,"Available"," Not Available")</f>
        <v>Available</v>
      </c>
      <c r="G64" s="3">
        <v>2</v>
      </c>
      <c r="H64" s="5">
        <f>SUMIF(order_details!B:B,Table2[[#This Row],[productID]],order_details!F:F)</f>
        <v>16701.095000000001</v>
      </c>
    </row>
    <row r="65" spans="1:8" x14ac:dyDescent="0.45">
      <c r="A65" s="3">
        <v>64</v>
      </c>
      <c r="B65" s="6" t="s">
        <v>129</v>
      </c>
      <c r="C65" t="s">
        <v>130</v>
      </c>
      <c r="D65" s="3">
        <v>33.25</v>
      </c>
      <c r="E65" s="3">
        <v>0</v>
      </c>
      <c r="F65" s="6" t="str">
        <f>IF(Table2[[#This Row],[discontinued]]=0,"Available"," Not Available")</f>
        <v>Available</v>
      </c>
      <c r="G65" s="3">
        <v>5</v>
      </c>
      <c r="H65" s="5">
        <f>SUMIF(order_details!B:B,Table2[[#This Row],[productID]],order_details!F:F)</f>
        <v>21957.967500000002</v>
      </c>
    </row>
    <row r="66" spans="1:8" x14ac:dyDescent="0.45">
      <c r="A66" s="3">
        <v>65</v>
      </c>
      <c r="B66" s="6" t="s">
        <v>131</v>
      </c>
      <c r="C66" t="s">
        <v>132</v>
      </c>
      <c r="D66" s="3">
        <v>21.05</v>
      </c>
      <c r="E66" s="3">
        <v>0</v>
      </c>
      <c r="F66" s="6" t="str">
        <f>IF(Table2[[#This Row],[discontinued]]=0,"Available"," Not Available")</f>
        <v>Available</v>
      </c>
      <c r="G66" s="3">
        <v>2</v>
      </c>
      <c r="H66" s="5">
        <f>SUMIF(order_details!B:B,Table2[[#This Row],[productID]],order_details!F:F)</f>
        <v>13869.890000000001</v>
      </c>
    </row>
    <row r="67" spans="1:8" x14ac:dyDescent="0.45">
      <c r="A67" s="3">
        <v>66</v>
      </c>
      <c r="B67" s="6" t="s">
        <v>133</v>
      </c>
      <c r="C67" t="s">
        <v>134</v>
      </c>
      <c r="D67" s="3">
        <v>17</v>
      </c>
      <c r="E67" s="3">
        <v>0</v>
      </c>
      <c r="F67" s="6" t="str">
        <f>IF(Table2[[#This Row],[discontinued]]=0,"Available"," Not Available")</f>
        <v>Available</v>
      </c>
      <c r="G67" s="3">
        <v>2</v>
      </c>
      <c r="H67" s="5">
        <f>SUMIF(order_details!B:B,Table2[[#This Row],[productID]],order_details!F:F)</f>
        <v>3383</v>
      </c>
    </row>
    <row r="68" spans="1:8" x14ac:dyDescent="0.45">
      <c r="A68" s="3">
        <v>67</v>
      </c>
      <c r="B68" s="6" t="s">
        <v>135</v>
      </c>
      <c r="C68" t="s">
        <v>9</v>
      </c>
      <c r="D68" s="3">
        <v>14</v>
      </c>
      <c r="E68" s="3">
        <v>0</v>
      </c>
      <c r="F68" s="6" t="str">
        <f>IF(Table2[[#This Row],[discontinued]]=0,"Available"," Not Available")</f>
        <v>Available</v>
      </c>
      <c r="G68" s="3">
        <v>1</v>
      </c>
      <c r="H68" s="5">
        <f>SUMIF(order_details!B:B,Table2[[#This Row],[productID]],order_details!F:F)</f>
        <v>2396.8000000000002</v>
      </c>
    </row>
    <row r="69" spans="1:8" x14ac:dyDescent="0.45">
      <c r="A69" s="3">
        <v>68</v>
      </c>
      <c r="B69" s="6" t="s">
        <v>136</v>
      </c>
      <c r="C69" t="s">
        <v>137</v>
      </c>
      <c r="D69" s="3">
        <v>12.5</v>
      </c>
      <c r="E69" s="3">
        <v>0</v>
      </c>
      <c r="F69" s="6" t="str">
        <f>IF(Table2[[#This Row],[discontinued]]=0,"Available"," Not Available")</f>
        <v>Available</v>
      </c>
      <c r="G69" s="3">
        <v>3</v>
      </c>
      <c r="H69" s="5">
        <f>SUMIF(order_details!B:B,Table2[[#This Row],[productID]],order_details!F:F)</f>
        <v>8714</v>
      </c>
    </row>
    <row r="70" spans="1:8" x14ac:dyDescent="0.45">
      <c r="A70" s="3">
        <v>69</v>
      </c>
      <c r="B70" s="6" t="s">
        <v>138</v>
      </c>
      <c r="C70" t="s">
        <v>139</v>
      </c>
      <c r="D70" s="3">
        <v>36</v>
      </c>
      <c r="E70" s="3">
        <v>0</v>
      </c>
      <c r="F70" s="6" t="str">
        <f>IF(Table2[[#This Row],[discontinued]]=0,"Available"," Not Available")</f>
        <v>Available</v>
      </c>
      <c r="G70" s="3">
        <v>4</v>
      </c>
      <c r="H70" s="5">
        <f>SUMIF(order_details!B:B,Table2[[#This Row],[productID]],order_details!F:F)</f>
        <v>21942.36</v>
      </c>
    </row>
    <row r="71" spans="1:8" x14ac:dyDescent="0.45">
      <c r="A71" s="3">
        <v>70</v>
      </c>
      <c r="B71" s="6" t="s">
        <v>140</v>
      </c>
      <c r="C71" t="s">
        <v>141</v>
      </c>
      <c r="D71" s="3">
        <v>15</v>
      </c>
      <c r="E71" s="3">
        <v>0</v>
      </c>
      <c r="F71" s="6" t="str">
        <f>IF(Table2[[#This Row],[discontinued]]=0,"Available"," Not Available")</f>
        <v>Available</v>
      </c>
      <c r="G71" s="3">
        <v>1</v>
      </c>
      <c r="H71" s="5">
        <f>SUMIF(order_details!B:B,Table2[[#This Row],[productID]],order_details!F:F)</f>
        <v>10672.65</v>
      </c>
    </row>
    <row r="72" spans="1:8" x14ac:dyDescent="0.45">
      <c r="A72" s="3">
        <v>71</v>
      </c>
      <c r="B72" s="6" t="s">
        <v>142</v>
      </c>
      <c r="C72" t="s">
        <v>29</v>
      </c>
      <c r="D72" s="3">
        <v>21.5</v>
      </c>
      <c r="E72" s="3">
        <v>0</v>
      </c>
      <c r="F72" s="6" t="str">
        <f>IF(Table2[[#This Row],[discontinued]]=0,"Available"," Not Available")</f>
        <v>Available</v>
      </c>
      <c r="G72" s="3">
        <v>4</v>
      </c>
      <c r="H72" s="5">
        <f>SUMIF(order_details!B:B,Table2[[#This Row],[productID]],order_details!F:F)</f>
        <v>19551.024999999998</v>
      </c>
    </row>
    <row r="73" spans="1:8" x14ac:dyDescent="0.45">
      <c r="A73" s="3">
        <v>72</v>
      </c>
      <c r="B73" s="6" t="s">
        <v>143</v>
      </c>
      <c r="C73" t="s">
        <v>69</v>
      </c>
      <c r="D73" s="3">
        <v>34.799999999999997</v>
      </c>
      <c r="E73" s="3">
        <v>0</v>
      </c>
      <c r="F73" s="6" t="str">
        <f>IF(Table2[[#This Row],[discontinued]]=0,"Available"," Not Available")</f>
        <v>Available</v>
      </c>
      <c r="G73" s="3">
        <v>4</v>
      </c>
      <c r="H73" s="5">
        <f>SUMIF(order_details!B:B,Table2[[#This Row],[productID]],order_details!F:F)</f>
        <v>24900.13</v>
      </c>
    </row>
    <row r="74" spans="1:8" x14ac:dyDescent="0.45">
      <c r="A74" s="3">
        <v>73</v>
      </c>
      <c r="B74" s="6" t="s">
        <v>144</v>
      </c>
      <c r="C74" t="s">
        <v>145</v>
      </c>
      <c r="D74" s="3">
        <v>15</v>
      </c>
      <c r="E74" s="3">
        <v>0</v>
      </c>
      <c r="F74" s="6" t="str">
        <f>IF(Table2[[#This Row],[discontinued]]=0,"Available"," Not Available")</f>
        <v>Available</v>
      </c>
      <c r="G74" s="3">
        <v>8</v>
      </c>
      <c r="H74" s="5">
        <f>SUMIF(order_details!B:B,Table2[[#This Row],[productID]],order_details!F:F)</f>
        <v>3997.2</v>
      </c>
    </row>
    <row r="75" spans="1:8" x14ac:dyDescent="0.45">
      <c r="A75" s="3">
        <v>74</v>
      </c>
      <c r="B75" s="6" t="s">
        <v>146</v>
      </c>
      <c r="C75" t="s">
        <v>120</v>
      </c>
      <c r="D75" s="3">
        <v>10</v>
      </c>
      <c r="E75" s="3">
        <v>0</v>
      </c>
      <c r="F75" s="6" t="str">
        <f>IF(Table2[[#This Row],[discontinued]]=0,"Available"," Not Available")</f>
        <v>Available</v>
      </c>
      <c r="G75" s="3">
        <v>7</v>
      </c>
      <c r="H75" s="5">
        <f>SUMIF(order_details!B:B,Table2[[#This Row],[productID]],order_details!F:F)</f>
        <v>2432.5</v>
      </c>
    </row>
    <row r="76" spans="1:8" x14ac:dyDescent="0.45">
      <c r="A76" s="3">
        <v>75</v>
      </c>
      <c r="B76" s="6" t="s">
        <v>147</v>
      </c>
      <c r="C76" t="s">
        <v>148</v>
      </c>
      <c r="D76" s="3">
        <v>7.75</v>
      </c>
      <c r="E76" s="3">
        <v>0</v>
      </c>
      <c r="F76" s="6" t="str">
        <f>IF(Table2[[#This Row],[discontinued]]=0,"Available"," Not Available")</f>
        <v>Available</v>
      </c>
      <c r="G76" s="3">
        <v>1</v>
      </c>
      <c r="H76" s="5">
        <f>SUMIF(order_details!B:B,Table2[[#This Row],[productID]],order_details!F:F)</f>
        <v>8177.4899999999989</v>
      </c>
    </row>
    <row r="77" spans="1:8" x14ac:dyDescent="0.45">
      <c r="A77" s="3">
        <v>76</v>
      </c>
      <c r="B77" s="6" t="s">
        <v>149</v>
      </c>
      <c r="C77" t="s">
        <v>150</v>
      </c>
      <c r="D77" s="3">
        <v>18</v>
      </c>
      <c r="E77" s="3">
        <v>0</v>
      </c>
      <c r="F77" s="6" t="str">
        <f>IF(Table2[[#This Row],[discontinued]]=0,"Available"," Not Available")</f>
        <v>Available</v>
      </c>
      <c r="G77" s="3">
        <v>1</v>
      </c>
      <c r="H77" s="5">
        <f>SUMIF(order_details!B:B,Table2[[#This Row],[productID]],order_details!F:F)</f>
        <v>15760.44</v>
      </c>
    </row>
    <row r="78" spans="1:8" x14ac:dyDescent="0.45">
      <c r="A78" s="3">
        <v>77</v>
      </c>
      <c r="B78" s="6" t="s">
        <v>151</v>
      </c>
      <c r="C78" t="s">
        <v>152</v>
      </c>
      <c r="D78" s="3">
        <v>13</v>
      </c>
      <c r="E78" s="3">
        <v>0</v>
      </c>
      <c r="F78" s="6" t="str">
        <f>IF(Table2[[#This Row],[discontinued]]=0,"Available"," Not Available")</f>
        <v>Available</v>
      </c>
      <c r="G78" s="3">
        <v>2</v>
      </c>
      <c r="H78" s="5">
        <f>SUMIF(order_details!B:B,Table2[[#This Row],[productID]],order_details!F:F)</f>
        <v>9171.6299999999992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336A-885D-4B56-ACFB-4F5B746FC55B}">
  <dimension ref="A1:F2156"/>
  <sheetViews>
    <sheetView workbookViewId="0">
      <selection activeCell="A2" sqref="A2"/>
    </sheetView>
  </sheetViews>
  <sheetFormatPr defaultRowHeight="14.25" x14ac:dyDescent="0.45"/>
  <cols>
    <col min="1" max="1" width="13.6640625" style="6" customWidth="1"/>
    <col min="2" max="2" width="20.796875" style="3" customWidth="1"/>
    <col min="3" max="3" width="23.86328125" style="3" customWidth="1"/>
    <col min="4" max="4" width="15.53125" style="3" customWidth="1"/>
    <col min="5" max="5" width="16" style="4" customWidth="1"/>
    <col min="6" max="6" width="9.06640625" style="5"/>
    <col min="8" max="8" width="13.46484375" customWidth="1"/>
  </cols>
  <sheetData>
    <row r="1" spans="1:6" x14ac:dyDescent="0.45">
      <c r="A1" s="6" t="s">
        <v>246</v>
      </c>
      <c r="B1" s="3" t="s">
        <v>0</v>
      </c>
      <c r="C1" s="3" t="s">
        <v>3</v>
      </c>
      <c r="D1" s="3" t="s">
        <v>248</v>
      </c>
      <c r="E1" s="4" t="s">
        <v>247</v>
      </c>
      <c r="F1" s="5" t="s">
        <v>580</v>
      </c>
    </row>
    <row r="2" spans="1:6" x14ac:dyDescent="0.45">
      <c r="A2" s="6">
        <v>10248</v>
      </c>
      <c r="B2" s="3">
        <v>11</v>
      </c>
      <c r="C2" s="3">
        <v>14</v>
      </c>
      <c r="D2" s="3">
        <v>12</v>
      </c>
      <c r="E2" s="4">
        <v>0</v>
      </c>
      <c r="F2" s="5">
        <f t="shared" ref="F2:F65" si="0">C2*D2*(1-E2)</f>
        <v>168</v>
      </c>
    </row>
    <row r="3" spans="1:6" x14ac:dyDescent="0.45">
      <c r="A3" s="6">
        <v>10248</v>
      </c>
      <c r="B3" s="3">
        <v>42</v>
      </c>
      <c r="C3" s="3">
        <v>9.8000000000000007</v>
      </c>
      <c r="D3" s="3">
        <v>10</v>
      </c>
      <c r="E3" s="4">
        <v>0</v>
      </c>
      <c r="F3" s="5">
        <f t="shared" si="0"/>
        <v>98</v>
      </c>
    </row>
    <row r="4" spans="1:6" x14ac:dyDescent="0.45">
      <c r="A4" s="6">
        <v>10248</v>
      </c>
      <c r="B4" s="3">
        <v>72</v>
      </c>
      <c r="C4" s="3">
        <v>34.799999999999997</v>
      </c>
      <c r="D4" s="3">
        <v>5</v>
      </c>
      <c r="E4" s="4">
        <v>0</v>
      </c>
      <c r="F4" s="5">
        <f t="shared" si="0"/>
        <v>174</v>
      </c>
    </row>
    <row r="5" spans="1:6" x14ac:dyDescent="0.45">
      <c r="A5" s="6">
        <v>10249</v>
      </c>
      <c r="B5" s="3">
        <v>14</v>
      </c>
      <c r="C5" s="3">
        <v>18.600000000000001</v>
      </c>
      <c r="D5" s="3">
        <v>9</v>
      </c>
      <c r="E5" s="4">
        <v>0</v>
      </c>
      <c r="F5" s="5">
        <f t="shared" si="0"/>
        <v>167.4</v>
      </c>
    </row>
    <row r="6" spans="1:6" x14ac:dyDescent="0.45">
      <c r="A6" s="6">
        <v>10249</v>
      </c>
      <c r="B6" s="3">
        <v>51</v>
      </c>
      <c r="C6" s="3">
        <v>42.4</v>
      </c>
      <c r="D6" s="3">
        <v>40</v>
      </c>
      <c r="E6" s="4">
        <v>0</v>
      </c>
      <c r="F6" s="5">
        <f t="shared" si="0"/>
        <v>1696</v>
      </c>
    </row>
    <row r="7" spans="1:6" x14ac:dyDescent="0.45">
      <c r="A7" s="6">
        <v>10250</v>
      </c>
      <c r="B7" s="3">
        <v>41</v>
      </c>
      <c r="C7" s="3">
        <v>7.7</v>
      </c>
      <c r="D7" s="3">
        <v>10</v>
      </c>
      <c r="E7" s="4">
        <v>0</v>
      </c>
      <c r="F7" s="5">
        <f t="shared" si="0"/>
        <v>77</v>
      </c>
    </row>
    <row r="8" spans="1:6" x14ac:dyDescent="0.45">
      <c r="A8" s="6">
        <v>10250</v>
      </c>
      <c r="B8" s="3">
        <v>51</v>
      </c>
      <c r="C8" s="3">
        <v>42.4</v>
      </c>
      <c r="D8" s="3">
        <v>35</v>
      </c>
      <c r="E8" s="4">
        <v>0.15</v>
      </c>
      <c r="F8" s="5">
        <f t="shared" si="0"/>
        <v>1261.3999999999999</v>
      </c>
    </row>
    <row r="9" spans="1:6" x14ac:dyDescent="0.45">
      <c r="A9" s="6">
        <v>10250</v>
      </c>
      <c r="B9" s="3">
        <v>65</v>
      </c>
      <c r="C9" s="3">
        <v>16.8</v>
      </c>
      <c r="D9" s="3">
        <v>15</v>
      </c>
      <c r="E9" s="4">
        <v>0.15</v>
      </c>
      <c r="F9" s="5">
        <f t="shared" si="0"/>
        <v>214.2</v>
      </c>
    </row>
    <row r="10" spans="1:6" x14ac:dyDescent="0.45">
      <c r="A10" s="6">
        <v>10251</v>
      </c>
      <c r="B10" s="3">
        <v>22</v>
      </c>
      <c r="C10" s="3">
        <v>16.8</v>
      </c>
      <c r="D10" s="3">
        <v>6</v>
      </c>
      <c r="E10" s="4">
        <v>0.05</v>
      </c>
      <c r="F10" s="5">
        <f t="shared" si="0"/>
        <v>95.76</v>
      </c>
    </row>
    <row r="11" spans="1:6" x14ac:dyDescent="0.45">
      <c r="A11" s="6">
        <v>10251</v>
      </c>
      <c r="B11" s="3">
        <v>57</v>
      </c>
      <c r="C11" s="3">
        <v>15.6</v>
      </c>
      <c r="D11" s="3">
        <v>15</v>
      </c>
      <c r="E11" s="4">
        <v>0.05</v>
      </c>
      <c r="F11" s="5">
        <f t="shared" si="0"/>
        <v>222.29999999999998</v>
      </c>
    </row>
    <row r="12" spans="1:6" x14ac:dyDescent="0.45">
      <c r="A12" s="6">
        <v>10251</v>
      </c>
      <c r="B12" s="3">
        <v>65</v>
      </c>
      <c r="C12" s="3">
        <v>16.8</v>
      </c>
      <c r="D12" s="3">
        <v>20</v>
      </c>
      <c r="E12" s="4">
        <v>0</v>
      </c>
      <c r="F12" s="5">
        <f t="shared" si="0"/>
        <v>336</v>
      </c>
    </row>
    <row r="13" spans="1:6" x14ac:dyDescent="0.45">
      <c r="A13" s="6">
        <v>10252</v>
      </c>
      <c r="B13" s="3">
        <v>20</v>
      </c>
      <c r="C13" s="3">
        <v>64.8</v>
      </c>
      <c r="D13" s="3">
        <v>40</v>
      </c>
      <c r="E13" s="4">
        <v>0.05</v>
      </c>
      <c r="F13" s="5">
        <f t="shared" si="0"/>
        <v>2462.4</v>
      </c>
    </row>
    <row r="14" spans="1:6" x14ac:dyDescent="0.45">
      <c r="A14" s="6">
        <v>10252</v>
      </c>
      <c r="B14" s="3">
        <v>33</v>
      </c>
      <c r="C14" s="3">
        <v>2</v>
      </c>
      <c r="D14" s="3">
        <v>25</v>
      </c>
      <c r="E14" s="4">
        <v>0.05</v>
      </c>
      <c r="F14" s="5">
        <f t="shared" si="0"/>
        <v>47.5</v>
      </c>
    </row>
    <row r="15" spans="1:6" x14ac:dyDescent="0.45">
      <c r="A15" s="6">
        <v>10252</v>
      </c>
      <c r="B15" s="3">
        <v>60</v>
      </c>
      <c r="C15" s="3">
        <v>27.2</v>
      </c>
      <c r="D15" s="3">
        <v>40</v>
      </c>
      <c r="E15" s="4">
        <v>0</v>
      </c>
      <c r="F15" s="5">
        <f t="shared" si="0"/>
        <v>1088</v>
      </c>
    </row>
    <row r="16" spans="1:6" x14ac:dyDescent="0.45">
      <c r="A16" s="6">
        <v>10253</v>
      </c>
      <c r="B16" s="3">
        <v>31</v>
      </c>
      <c r="C16" s="3">
        <v>10</v>
      </c>
      <c r="D16" s="3">
        <v>20</v>
      </c>
      <c r="E16" s="4">
        <v>0</v>
      </c>
      <c r="F16" s="5">
        <f t="shared" si="0"/>
        <v>200</v>
      </c>
    </row>
    <row r="17" spans="1:6" x14ac:dyDescent="0.45">
      <c r="A17" s="6">
        <v>10253</v>
      </c>
      <c r="B17" s="3">
        <v>39</v>
      </c>
      <c r="C17" s="3">
        <v>14.4</v>
      </c>
      <c r="D17" s="3">
        <v>42</v>
      </c>
      <c r="E17" s="4">
        <v>0</v>
      </c>
      <c r="F17" s="5">
        <f t="shared" si="0"/>
        <v>604.80000000000007</v>
      </c>
    </row>
    <row r="18" spans="1:6" x14ac:dyDescent="0.45">
      <c r="A18" s="6">
        <v>10253</v>
      </c>
      <c r="B18" s="3">
        <v>49</v>
      </c>
      <c r="C18" s="3">
        <v>16</v>
      </c>
      <c r="D18" s="3">
        <v>40</v>
      </c>
      <c r="E18" s="4">
        <v>0</v>
      </c>
      <c r="F18" s="5">
        <f t="shared" si="0"/>
        <v>640</v>
      </c>
    </row>
    <row r="19" spans="1:6" x14ac:dyDescent="0.45">
      <c r="A19" s="6">
        <v>10254</v>
      </c>
      <c r="B19" s="3">
        <v>24</v>
      </c>
      <c r="C19" s="3">
        <v>3.6</v>
      </c>
      <c r="D19" s="3">
        <v>15</v>
      </c>
      <c r="E19" s="4">
        <v>0.15</v>
      </c>
      <c r="F19" s="5">
        <f t="shared" si="0"/>
        <v>45.9</v>
      </c>
    </row>
    <row r="20" spans="1:6" x14ac:dyDescent="0.45">
      <c r="A20" s="6">
        <v>10254</v>
      </c>
      <c r="B20" s="3">
        <v>55</v>
      </c>
      <c r="C20" s="3">
        <v>19.2</v>
      </c>
      <c r="D20" s="3">
        <v>21</v>
      </c>
      <c r="E20" s="4">
        <v>0.15</v>
      </c>
      <c r="F20" s="5">
        <f t="shared" si="0"/>
        <v>342.71999999999997</v>
      </c>
    </row>
    <row r="21" spans="1:6" x14ac:dyDescent="0.45">
      <c r="A21" s="6">
        <v>10254</v>
      </c>
      <c r="B21" s="3">
        <v>74</v>
      </c>
      <c r="C21" s="3">
        <v>8</v>
      </c>
      <c r="D21" s="3">
        <v>21</v>
      </c>
      <c r="E21" s="4">
        <v>0</v>
      </c>
      <c r="F21" s="5">
        <f t="shared" si="0"/>
        <v>168</v>
      </c>
    </row>
    <row r="22" spans="1:6" x14ac:dyDescent="0.45">
      <c r="A22" s="6">
        <v>10255</v>
      </c>
      <c r="B22" s="3">
        <v>2</v>
      </c>
      <c r="C22" s="3">
        <v>15.2</v>
      </c>
      <c r="D22" s="3">
        <v>20</v>
      </c>
      <c r="E22" s="4">
        <v>0</v>
      </c>
      <c r="F22" s="5">
        <f t="shared" si="0"/>
        <v>304</v>
      </c>
    </row>
    <row r="23" spans="1:6" x14ac:dyDescent="0.45">
      <c r="A23" s="6">
        <v>10255</v>
      </c>
      <c r="B23" s="3">
        <v>16</v>
      </c>
      <c r="C23" s="3">
        <v>13.9</v>
      </c>
      <c r="D23" s="3">
        <v>35</v>
      </c>
      <c r="E23" s="4">
        <v>0</v>
      </c>
      <c r="F23" s="5">
        <f t="shared" si="0"/>
        <v>486.5</v>
      </c>
    </row>
    <row r="24" spans="1:6" x14ac:dyDescent="0.45">
      <c r="A24" s="6">
        <v>10255</v>
      </c>
      <c r="B24" s="3">
        <v>36</v>
      </c>
      <c r="C24" s="3">
        <v>15.2</v>
      </c>
      <c r="D24" s="3">
        <v>25</v>
      </c>
      <c r="E24" s="4">
        <v>0</v>
      </c>
      <c r="F24" s="5">
        <f t="shared" si="0"/>
        <v>380</v>
      </c>
    </row>
    <row r="25" spans="1:6" x14ac:dyDescent="0.45">
      <c r="A25" s="6">
        <v>10255</v>
      </c>
      <c r="B25" s="3">
        <v>59</v>
      </c>
      <c r="C25" s="3">
        <v>44</v>
      </c>
      <c r="D25" s="3">
        <v>30</v>
      </c>
      <c r="E25" s="4">
        <v>0</v>
      </c>
      <c r="F25" s="5">
        <f t="shared" si="0"/>
        <v>1320</v>
      </c>
    </row>
    <row r="26" spans="1:6" x14ac:dyDescent="0.45">
      <c r="A26" s="6">
        <v>10256</v>
      </c>
      <c r="B26" s="3">
        <v>53</v>
      </c>
      <c r="C26" s="3">
        <v>26.2</v>
      </c>
      <c r="D26" s="3">
        <v>15</v>
      </c>
      <c r="E26" s="4">
        <v>0</v>
      </c>
      <c r="F26" s="5">
        <f t="shared" si="0"/>
        <v>393</v>
      </c>
    </row>
    <row r="27" spans="1:6" x14ac:dyDescent="0.45">
      <c r="A27" s="6">
        <v>10256</v>
      </c>
      <c r="B27" s="3">
        <v>77</v>
      </c>
      <c r="C27" s="3">
        <v>10.4</v>
      </c>
      <c r="D27" s="3">
        <v>12</v>
      </c>
      <c r="E27" s="4">
        <v>0</v>
      </c>
      <c r="F27" s="5">
        <f t="shared" si="0"/>
        <v>124.80000000000001</v>
      </c>
    </row>
    <row r="28" spans="1:6" x14ac:dyDescent="0.45">
      <c r="A28" s="6">
        <v>10257</v>
      </c>
      <c r="B28" s="3">
        <v>27</v>
      </c>
      <c r="C28" s="3">
        <v>35.1</v>
      </c>
      <c r="D28" s="3">
        <v>25</v>
      </c>
      <c r="E28" s="4">
        <v>0</v>
      </c>
      <c r="F28" s="5">
        <f t="shared" si="0"/>
        <v>877.5</v>
      </c>
    </row>
    <row r="29" spans="1:6" x14ac:dyDescent="0.45">
      <c r="A29" s="6">
        <v>10257</v>
      </c>
      <c r="B29" s="3">
        <v>39</v>
      </c>
      <c r="C29" s="3">
        <v>14.4</v>
      </c>
      <c r="D29" s="3">
        <v>6</v>
      </c>
      <c r="E29" s="4">
        <v>0</v>
      </c>
      <c r="F29" s="5">
        <f t="shared" si="0"/>
        <v>86.4</v>
      </c>
    </row>
    <row r="30" spans="1:6" x14ac:dyDescent="0.45">
      <c r="A30" s="6">
        <v>10257</v>
      </c>
      <c r="B30" s="3">
        <v>77</v>
      </c>
      <c r="C30" s="3">
        <v>10.4</v>
      </c>
      <c r="D30" s="3">
        <v>15</v>
      </c>
      <c r="E30" s="4">
        <v>0</v>
      </c>
      <c r="F30" s="5">
        <f t="shared" si="0"/>
        <v>156</v>
      </c>
    </row>
    <row r="31" spans="1:6" x14ac:dyDescent="0.45">
      <c r="A31" s="6">
        <v>10258</v>
      </c>
      <c r="B31" s="3">
        <v>2</v>
      </c>
      <c r="C31" s="3">
        <v>15.2</v>
      </c>
      <c r="D31" s="3">
        <v>50</v>
      </c>
      <c r="E31" s="4">
        <v>0.2</v>
      </c>
      <c r="F31" s="5">
        <f t="shared" si="0"/>
        <v>608</v>
      </c>
    </row>
    <row r="32" spans="1:6" x14ac:dyDescent="0.45">
      <c r="A32" s="6">
        <v>10258</v>
      </c>
      <c r="B32" s="3">
        <v>5</v>
      </c>
      <c r="C32" s="3">
        <v>17</v>
      </c>
      <c r="D32" s="3">
        <v>65</v>
      </c>
      <c r="E32" s="4">
        <v>0.2</v>
      </c>
      <c r="F32" s="5">
        <f t="shared" si="0"/>
        <v>884</v>
      </c>
    </row>
    <row r="33" spans="1:6" x14ac:dyDescent="0.45">
      <c r="A33" s="6">
        <v>10258</v>
      </c>
      <c r="B33" s="3">
        <v>32</v>
      </c>
      <c r="C33" s="3">
        <v>25.6</v>
      </c>
      <c r="D33" s="3">
        <v>6</v>
      </c>
      <c r="E33" s="4">
        <v>0.2</v>
      </c>
      <c r="F33" s="5">
        <f t="shared" si="0"/>
        <v>122.88000000000002</v>
      </c>
    </row>
    <row r="34" spans="1:6" x14ac:dyDescent="0.45">
      <c r="A34" s="6">
        <v>10259</v>
      </c>
      <c r="B34" s="3">
        <v>21</v>
      </c>
      <c r="C34" s="3">
        <v>8</v>
      </c>
      <c r="D34" s="3">
        <v>10</v>
      </c>
      <c r="E34" s="4">
        <v>0</v>
      </c>
      <c r="F34" s="5">
        <f t="shared" si="0"/>
        <v>80</v>
      </c>
    </row>
    <row r="35" spans="1:6" x14ac:dyDescent="0.45">
      <c r="A35" s="6">
        <v>10259</v>
      </c>
      <c r="B35" s="3">
        <v>37</v>
      </c>
      <c r="C35" s="3">
        <v>20.8</v>
      </c>
      <c r="D35" s="3">
        <v>1</v>
      </c>
      <c r="E35" s="4">
        <v>0</v>
      </c>
      <c r="F35" s="5">
        <f t="shared" si="0"/>
        <v>20.8</v>
      </c>
    </row>
    <row r="36" spans="1:6" x14ac:dyDescent="0.45">
      <c r="A36" s="6">
        <v>10260</v>
      </c>
      <c r="B36" s="3">
        <v>41</v>
      </c>
      <c r="C36" s="3">
        <v>7.7</v>
      </c>
      <c r="D36" s="3">
        <v>16</v>
      </c>
      <c r="E36" s="4">
        <v>0.25</v>
      </c>
      <c r="F36" s="5">
        <f t="shared" si="0"/>
        <v>92.4</v>
      </c>
    </row>
    <row r="37" spans="1:6" x14ac:dyDescent="0.45">
      <c r="A37" s="6">
        <v>10260</v>
      </c>
      <c r="B37" s="3">
        <v>57</v>
      </c>
      <c r="C37" s="3">
        <v>15.6</v>
      </c>
      <c r="D37" s="3">
        <v>50</v>
      </c>
      <c r="E37" s="4">
        <v>0</v>
      </c>
      <c r="F37" s="5">
        <f t="shared" si="0"/>
        <v>780</v>
      </c>
    </row>
    <row r="38" spans="1:6" x14ac:dyDescent="0.45">
      <c r="A38" s="6">
        <v>10260</v>
      </c>
      <c r="B38" s="3">
        <v>62</v>
      </c>
      <c r="C38" s="3">
        <v>39.4</v>
      </c>
      <c r="D38" s="3">
        <v>15</v>
      </c>
      <c r="E38" s="4">
        <v>0.25</v>
      </c>
      <c r="F38" s="5">
        <f t="shared" si="0"/>
        <v>443.25</v>
      </c>
    </row>
    <row r="39" spans="1:6" x14ac:dyDescent="0.45">
      <c r="A39" s="6">
        <v>10260</v>
      </c>
      <c r="B39" s="3">
        <v>70</v>
      </c>
      <c r="C39" s="3">
        <v>12</v>
      </c>
      <c r="D39" s="3">
        <v>21</v>
      </c>
      <c r="E39" s="4">
        <v>0.25</v>
      </c>
      <c r="F39" s="5">
        <f t="shared" si="0"/>
        <v>189</v>
      </c>
    </row>
    <row r="40" spans="1:6" x14ac:dyDescent="0.45">
      <c r="A40" s="6">
        <v>10261</v>
      </c>
      <c r="B40" s="3">
        <v>21</v>
      </c>
      <c r="C40" s="3">
        <v>8</v>
      </c>
      <c r="D40" s="3">
        <v>20</v>
      </c>
      <c r="E40" s="4">
        <v>0</v>
      </c>
      <c r="F40" s="5">
        <f t="shared" si="0"/>
        <v>160</v>
      </c>
    </row>
    <row r="41" spans="1:6" x14ac:dyDescent="0.45">
      <c r="A41" s="6">
        <v>10261</v>
      </c>
      <c r="B41" s="3">
        <v>35</v>
      </c>
      <c r="C41" s="3">
        <v>14.4</v>
      </c>
      <c r="D41" s="3">
        <v>20</v>
      </c>
      <c r="E41" s="4">
        <v>0</v>
      </c>
      <c r="F41" s="5">
        <f t="shared" si="0"/>
        <v>288</v>
      </c>
    </row>
    <row r="42" spans="1:6" x14ac:dyDescent="0.45">
      <c r="A42" s="6">
        <v>10262</v>
      </c>
      <c r="B42" s="3">
        <v>5</v>
      </c>
      <c r="C42" s="3">
        <v>17</v>
      </c>
      <c r="D42" s="3">
        <v>12</v>
      </c>
      <c r="E42" s="4">
        <v>0.2</v>
      </c>
      <c r="F42" s="5">
        <f t="shared" si="0"/>
        <v>163.20000000000002</v>
      </c>
    </row>
    <row r="43" spans="1:6" x14ac:dyDescent="0.45">
      <c r="A43" s="6">
        <v>10262</v>
      </c>
      <c r="B43" s="3">
        <v>7</v>
      </c>
      <c r="C43" s="3">
        <v>24</v>
      </c>
      <c r="D43" s="3">
        <v>15</v>
      </c>
      <c r="E43" s="4">
        <v>0</v>
      </c>
      <c r="F43" s="5">
        <f t="shared" si="0"/>
        <v>360</v>
      </c>
    </row>
    <row r="44" spans="1:6" x14ac:dyDescent="0.45">
      <c r="A44" s="6">
        <v>10262</v>
      </c>
      <c r="B44" s="3">
        <v>56</v>
      </c>
      <c r="C44" s="3">
        <v>30.4</v>
      </c>
      <c r="D44" s="3">
        <v>2</v>
      </c>
      <c r="E44" s="4">
        <v>0</v>
      </c>
      <c r="F44" s="5">
        <f t="shared" si="0"/>
        <v>60.8</v>
      </c>
    </row>
    <row r="45" spans="1:6" x14ac:dyDescent="0.45">
      <c r="A45" s="6">
        <v>10263</v>
      </c>
      <c r="B45" s="3">
        <v>16</v>
      </c>
      <c r="C45" s="3">
        <v>13.9</v>
      </c>
      <c r="D45" s="3">
        <v>60</v>
      </c>
      <c r="E45" s="4">
        <v>0.25</v>
      </c>
      <c r="F45" s="5">
        <f t="shared" si="0"/>
        <v>625.5</v>
      </c>
    </row>
    <row r="46" spans="1:6" x14ac:dyDescent="0.45">
      <c r="A46" s="6">
        <v>10263</v>
      </c>
      <c r="B46" s="3">
        <v>24</v>
      </c>
      <c r="C46" s="3">
        <v>3.6</v>
      </c>
      <c r="D46" s="3">
        <v>28</v>
      </c>
      <c r="E46" s="4">
        <v>0</v>
      </c>
      <c r="F46" s="5">
        <f t="shared" si="0"/>
        <v>100.8</v>
      </c>
    </row>
    <row r="47" spans="1:6" x14ac:dyDescent="0.45">
      <c r="A47" s="6">
        <v>10263</v>
      </c>
      <c r="B47" s="3">
        <v>30</v>
      </c>
      <c r="C47" s="3">
        <v>20.7</v>
      </c>
      <c r="D47" s="3">
        <v>60</v>
      </c>
      <c r="E47" s="4">
        <v>0.25</v>
      </c>
      <c r="F47" s="5">
        <f t="shared" si="0"/>
        <v>931.5</v>
      </c>
    </row>
    <row r="48" spans="1:6" x14ac:dyDescent="0.45">
      <c r="A48" s="6">
        <v>10263</v>
      </c>
      <c r="B48" s="3">
        <v>74</v>
      </c>
      <c r="C48" s="3">
        <v>8</v>
      </c>
      <c r="D48" s="3">
        <v>36</v>
      </c>
      <c r="E48" s="4">
        <v>0.25</v>
      </c>
      <c r="F48" s="5">
        <f t="shared" si="0"/>
        <v>216</v>
      </c>
    </row>
    <row r="49" spans="1:6" x14ac:dyDescent="0.45">
      <c r="A49" s="6">
        <v>10264</v>
      </c>
      <c r="B49" s="3">
        <v>2</v>
      </c>
      <c r="C49" s="3">
        <v>15.2</v>
      </c>
      <c r="D49" s="3">
        <v>35</v>
      </c>
      <c r="E49" s="4">
        <v>0</v>
      </c>
      <c r="F49" s="5">
        <f t="shared" si="0"/>
        <v>532</v>
      </c>
    </row>
    <row r="50" spans="1:6" x14ac:dyDescent="0.45">
      <c r="A50" s="6">
        <v>10264</v>
      </c>
      <c r="B50" s="3">
        <v>41</v>
      </c>
      <c r="C50" s="3">
        <v>7.7</v>
      </c>
      <c r="D50" s="3">
        <v>25</v>
      </c>
      <c r="E50" s="4">
        <v>0.15</v>
      </c>
      <c r="F50" s="5">
        <f t="shared" si="0"/>
        <v>163.625</v>
      </c>
    </row>
    <row r="51" spans="1:6" x14ac:dyDescent="0.45">
      <c r="A51" s="6">
        <v>10265</v>
      </c>
      <c r="B51" s="3">
        <v>17</v>
      </c>
      <c r="C51" s="3">
        <v>31.2</v>
      </c>
      <c r="D51" s="3">
        <v>30</v>
      </c>
      <c r="E51" s="4">
        <v>0</v>
      </c>
      <c r="F51" s="5">
        <f t="shared" si="0"/>
        <v>936</v>
      </c>
    </row>
    <row r="52" spans="1:6" x14ac:dyDescent="0.45">
      <c r="A52" s="6">
        <v>10265</v>
      </c>
      <c r="B52" s="3">
        <v>70</v>
      </c>
      <c r="C52" s="3">
        <v>12</v>
      </c>
      <c r="D52" s="3">
        <v>20</v>
      </c>
      <c r="E52" s="4">
        <v>0</v>
      </c>
      <c r="F52" s="5">
        <f t="shared" si="0"/>
        <v>240</v>
      </c>
    </row>
    <row r="53" spans="1:6" x14ac:dyDescent="0.45">
      <c r="A53" s="6">
        <v>10266</v>
      </c>
      <c r="B53" s="3">
        <v>12</v>
      </c>
      <c r="C53" s="3">
        <v>30.4</v>
      </c>
      <c r="D53" s="3">
        <v>12</v>
      </c>
      <c r="E53" s="4">
        <v>0.05</v>
      </c>
      <c r="F53" s="5">
        <f t="shared" si="0"/>
        <v>346.55999999999995</v>
      </c>
    </row>
    <row r="54" spans="1:6" x14ac:dyDescent="0.45">
      <c r="A54" s="6">
        <v>10267</v>
      </c>
      <c r="B54" s="3">
        <v>40</v>
      </c>
      <c r="C54" s="3">
        <v>14.7</v>
      </c>
      <c r="D54" s="3">
        <v>50</v>
      </c>
      <c r="E54" s="4">
        <v>0</v>
      </c>
      <c r="F54" s="5">
        <f t="shared" si="0"/>
        <v>735</v>
      </c>
    </row>
    <row r="55" spans="1:6" x14ac:dyDescent="0.45">
      <c r="A55" s="6">
        <v>10267</v>
      </c>
      <c r="B55" s="3">
        <v>59</v>
      </c>
      <c r="C55" s="3">
        <v>44</v>
      </c>
      <c r="D55" s="3">
        <v>70</v>
      </c>
      <c r="E55" s="4">
        <v>0.15</v>
      </c>
      <c r="F55" s="5">
        <f t="shared" si="0"/>
        <v>2618</v>
      </c>
    </row>
    <row r="56" spans="1:6" x14ac:dyDescent="0.45">
      <c r="A56" s="6">
        <v>10267</v>
      </c>
      <c r="B56" s="3">
        <v>76</v>
      </c>
      <c r="C56" s="3">
        <v>14.4</v>
      </c>
      <c r="D56" s="3">
        <v>15</v>
      </c>
      <c r="E56" s="4">
        <v>0.15</v>
      </c>
      <c r="F56" s="5">
        <f t="shared" si="0"/>
        <v>183.6</v>
      </c>
    </row>
    <row r="57" spans="1:6" x14ac:dyDescent="0.45">
      <c r="A57" s="6">
        <v>10268</v>
      </c>
      <c r="B57" s="3">
        <v>29</v>
      </c>
      <c r="C57" s="3">
        <v>99</v>
      </c>
      <c r="D57" s="3">
        <v>10</v>
      </c>
      <c r="E57" s="4">
        <v>0</v>
      </c>
      <c r="F57" s="5">
        <f t="shared" si="0"/>
        <v>990</v>
      </c>
    </row>
    <row r="58" spans="1:6" x14ac:dyDescent="0.45">
      <c r="A58" s="6">
        <v>10268</v>
      </c>
      <c r="B58" s="3">
        <v>72</v>
      </c>
      <c r="C58" s="3">
        <v>27.8</v>
      </c>
      <c r="D58" s="3">
        <v>4</v>
      </c>
      <c r="E58" s="4">
        <v>0</v>
      </c>
      <c r="F58" s="5">
        <f t="shared" si="0"/>
        <v>111.2</v>
      </c>
    </row>
    <row r="59" spans="1:6" x14ac:dyDescent="0.45">
      <c r="A59" s="6">
        <v>10269</v>
      </c>
      <c r="B59" s="3">
        <v>33</v>
      </c>
      <c r="C59" s="3">
        <v>2</v>
      </c>
      <c r="D59" s="3">
        <v>60</v>
      </c>
      <c r="E59" s="4">
        <v>0.05</v>
      </c>
      <c r="F59" s="5">
        <f t="shared" si="0"/>
        <v>114</v>
      </c>
    </row>
    <row r="60" spans="1:6" x14ac:dyDescent="0.45">
      <c r="A60" s="6">
        <v>10269</v>
      </c>
      <c r="B60" s="3">
        <v>72</v>
      </c>
      <c r="C60" s="3">
        <v>27.8</v>
      </c>
      <c r="D60" s="3">
        <v>20</v>
      </c>
      <c r="E60" s="4">
        <v>0.05</v>
      </c>
      <c r="F60" s="5">
        <f t="shared" si="0"/>
        <v>528.19999999999993</v>
      </c>
    </row>
    <row r="61" spans="1:6" x14ac:dyDescent="0.45">
      <c r="A61" s="6">
        <v>10270</v>
      </c>
      <c r="B61" s="3">
        <v>36</v>
      </c>
      <c r="C61" s="3">
        <v>15.2</v>
      </c>
      <c r="D61" s="3">
        <v>30</v>
      </c>
      <c r="E61" s="4">
        <v>0</v>
      </c>
      <c r="F61" s="5">
        <f t="shared" si="0"/>
        <v>456</v>
      </c>
    </row>
    <row r="62" spans="1:6" x14ac:dyDescent="0.45">
      <c r="A62" s="6">
        <v>10270</v>
      </c>
      <c r="B62" s="3">
        <v>43</v>
      </c>
      <c r="C62" s="3">
        <v>36.799999999999997</v>
      </c>
      <c r="D62" s="3">
        <v>25</v>
      </c>
      <c r="E62" s="4">
        <v>0</v>
      </c>
      <c r="F62" s="5">
        <f t="shared" si="0"/>
        <v>919.99999999999989</v>
      </c>
    </row>
    <row r="63" spans="1:6" x14ac:dyDescent="0.45">
      <c r="A63" s="6">
        <v>10271</v>
      </c>
      <c r="B63" s="3">
        <v>33</v>
      </c>
      <c r="C63" s="3">
        <v>2</v>
      </c>
      <c r="D63" s="3">
        <v>24</v>
      </c>
      <c r="E63" s="4">
        <v>0</v>
      </c>
      <c r="F63" s="5">
        <f t="shared" si="0"/>
        <v>48</v>
      </c>
    </row>
    <row r="64" spans="1:6" x14ac:dyDescent="0.45">
      <c r="A64" s="6">
        <v>10272</v>
      </c>
      <c r="B64" s="3">
        <v>20</v>
      </c>
      <c r="C64" s="3">
        <v>64.8</v>
      </c>
      <c r="D64" s="3">
        <v>6</v>
      </c>
      <c r="E64" s="4">
        <v>0</v>
      </c>
      <c r="F64" s="5">
        <f t="shared" si="0"/>
        <v>388.79999999999995</v>
      </c>
    </row>
    <row r="65" spans="1:6" x14ac:dyDescent="0.45">
      <c r="A65" s="6">
        <v>10272</v>
      </c>
      <c r="B65" s="3">
        <v>31</v>
      </c>
      <c r="C65" s="3">
        <v>10</v>
      </c>
      <c r="D65" s="3">
        <v>40</v>
      </c>
      <c r="E65" s="4">
        <v>0</v>
      </c>
      <c r="F65" s="5">
        <f t="shared" si="0"/>
        <v>400</v>
      </c>
    </row>
    <row r="66" spans="1:6" x14ac:dyDescent="0.45">
      <c r="A66" s="6">
        <v>10272</v>
      </c>
      <c r="B66" s="3">
        <v>72</v>
      </c>
      <c r="C66" s="3">
        <v>27.8</v>
      </c>
      <c r="D66" s="3">
        <v>24</v>
      </c>
      <c r="E66" s="4">
        <v>0</v>
      </c>
      <c r="F66" s="5">
        <f t="shared" ref="F66:F129" si="1">C66*D66*(1-E66)</f>
        <v>667.2</v>
      </c>
    </row>
    <row r="67" spans="1:6" x14ac:dyDescent="0.45">
      <c r="A67" s="6">
        <v>10273</v>
      </c>
      <c r="B67" s="3">
        <v>10</v>
      </c>
      <c r="C67" s="3">
        <v>24.8</v>
      </c>
      <c r="D67" s="3">
        <v>24</v>
      </c>
      <c r="E67" s="4">
        <v>0.05</v>
      </c>
      <c r="F67" s="5">
        <f t="shared" si="1"/>
        <v>565.44000000000005</v>
      </c>
    </row>
    <row r="68" spans="1:6" x14ac:dyDescent="0.45">
      <c r="A68" s="6">
        <v>10273</v>
      </c>
      <c r="B68" s="3">
        <v>31</v>
      </c>
      <c r="C68" s="3">
        <v>10</v>
      </c>
      <c r="D68" s="3">
        <v>15</v>
      </c>
      <c r="E68" s="4">
        <v>0.05</v>
      </c>
      <c r="F68" s="5">
        <f t="shared" si="1"/>
        <v>142.5</v>
      </c>
    </row>
    <row r="69" spans="1:6" x14ac:dyDescent="0.45">
      <c r="A69" s="6">
        <v>10273</v>
      </c>
      <c r="B69" s="3">
        <v>33</v>
      </c>
      <c r="C69" s="3">
        <v>2</v>
      </c>
      <c r="D69" s="3">
        <v>20</v>
      </c>
      <c r="E69" s="4">
        <v>0</v>
      </c>
      <c r="F69" s="5">
        <f t="shared" si="1"/>
        <v>40</v>
      </c>
    </row>
    <row r="70" spans="1:6" x14ac:dyDescent="0.45">
      <c r="A70" s="6">
        <v>10273</v>
      </c>
      <c r="B70" s="3">
        <v>40</v>
      </c>
      <c r="C70" s="3">
        <v>14.7</v>
      </c>
      <c r="D70" s="3">
        <v>60</v>
      </c>
      <c r="E70" s="4">
        <v>0.05</v>
      </c>
      <c r="F70" s="5">
        <f t="shared" si="1"/>
        <v>837.9</v>
      </c>
    </row>
    <row r="71" spans="1:6" x14ac:dyDescent="0.45">
      <c r="A71" s="6">
        <v>10273</v>
      </c>
      <c r="B71" s="3">
        <v>76</v>
      </c>
      <c r="C71" s="3">
        <v>14.4</v>
      </c>
      <c r="D71" s="3">
        <v>33</v>
      </c>
      <c r="E71" s="4">
        <v>0.05</v>
      </c>
      <c r="F71" s="5">
        <f t="shared" si="1"/>
        <v>451.43999999999994</v>
      </c>
    </row>
    <row r="72" spans="1:6" x14ac:dyDescent="0.45">
      <c r="A72" s="6">
        <v>10274</v>
      </c>
      <c r="B72" s="3">
        <v>71</v>
      </c>
      <c r="C72" s="3">
        <v>17.2</v>
      </c>
      <c r="D72" s="3">
        <v>20</v>
      </c>
      <c r="E72" s="4">
        <v>0</v>
      </c>
      <c r="F72" s="5">
        <f t="shared" si="1"/>
        <v>344</v>
      </c>
    </row>
    <row r="73" spans="1:6" x14ac:dyDescent="0.45">
      <c r="A73" s="6">
        <v>10274</v>
      </c>
      <c r="B73" s="3">
        <v>72</v>
      </c>
      <c r="C73" s="3">
        <v>27.8</v>
      </c>
      <c r="D73" s="3">
        <v>7</v>
      </c>
      <c r="E73" s="4">
        <v>0</v>
      </c>
      <c r="F73" s="5">
        <f t="shared" si="1"/>
        <v>194.6</v>
      </c>
    </row>
    <row r="74" spans="1:6" x14ac:dyDescent="0.45">
      <c r="A74" s="6">
        <v>10275</v>
      </c>
      <c r="B74" s="3">
        <v>24</v>
      </c>
      <c r="C74" s="3">
        <v>3.6</v>
      </c>
      <c r="D74" s="3">
        <v>12</v>
      </c>
      <c r="E74" s="4">
        <v>0.05</v>
      </c>
      <c r="F74" s="5">
        <f t="shared" si="1"/>
        <v>41.04</v>
      </c>
    </row>
    <row r="75" spans="1:6" x14ac:dyDescent="0.45">
      <c r="A75" s="6">
        <v>10275</v>
      </c>
      <c r="B75" s="3">
        <v>59</v>
      </c>
      <c r="C75" s="3">
        <v>44</v>
      </c>
      <c r="D75" s="3">
        <v>6</v>
      </c>
      <c r="E75" s="4">
        <v>0.05</v>
      </c>
      <c r="F75" s="5">
        <f t="shared" si="1"/>
        <v>250.79999999999998</v>
      </c>
    </row>
    <row r="76" spans="1:6" x14ac:dyDescent="0.45">
      <c r="A76" s="6">
        <v>10276</v>
      </c>
      <c r="B76" s="3">
        <v>10</v>
      </c>
      <c r="C76" s="3">
        <v>24.8</v>
      </c>
      <c r="D76" s="3">
        <v>15</v>
      </c>
      <c r="E76" s="4">
        <v>0</v>
      </c>
      <c r="F76" s="5">
        <f t="shared" si="1"/>
        <v>372</v>
      </c>
    </row>
    <row r="77" spans="1:6" x14ac:dyDescent="0.45">
      <c r="A77" s="6">
        <v>10276</v>
      </c>
      <c r="B77" s="3">
        <v>13</v>
      </c>
      <c r="C77" s="3">
        <v>4.8</v>
      </c>
      <c r="D77" s="3">
        <v>10</v>
      </c>
      <c r="E77" s="4">
        <v>0</v>
      </c>
      <c r="F77" s="5">
        <f t="shared" si="1"/>
        <v>48</v>
      </c>
    </row>
    <row r="78" spans="1:6" x14ac:dyDescent="0.45">
      <c r="A78" s="6">
        <v>10277</v>
      </c>
      <c r="B78" s="3">
        <v>28</v>
      </c>
      <c r="C78" s="3">
        <v>36.4</v>
      </c>
      <c r="D78" s="3">
        <v>20</v>
      </c>
      <c r="E78" s="4">
        <v>0</v>
      </c>
      <c r="F78" s="5">
        <f t="shared" si="1"/>
        <v>728</v>
      </c>
    </row>
    <row r="79" spans="1:6" x14ac:dyDescent="0.45">
      <c r="A79" s="6">
        <v>10277</v>
      </c>
      <c r="B79" s="3">
        <v>62</v>
      </c>
      <c r="C79" s="3">
        <v>39.4</v>
      </c>
      <c r="D79" s="3">
        <v>12</v>
      </c>
      <c r="E79" s="4">
        <v>0</v>
      </c>
      <c r="F79" s="5">
        <f t="shared" si="1"/>
        <v>472.79999999999995</v>
      </c>
    </row>
    <row r="80" spans="1:6" x14ac:dyDescent="0.45">
      <c r="A80" s="6">
        <v>10278</v>
      </c>
      <c r="B80" s="3">
        <v>44</v>
      </c>
      <c r="C80" s="3">
        <v>15.5</v>
      </c>
      <c r="D80" s="3">
        <v>16</v>
      </c>
      <c r="E80" s="4">
        <v>0</v>
      </c>
      <c r="F80" s="5">
        <f t="shared" si="1"/>
        <v>248</v>
      </c>
    </row>
    <row r="81" spans="1:6" x14ac:dyDescent="0.45">
      <c r="A81" s="6">
        <v>10278</v>
      </c>
      <c r="B81" s="3">
        <v>59</v>
      </c>
      <c r="C81" s="3">
        <v>44</v>
      </c>
      <c r="D81" s="3">
        <v>15</v>
      </c>
      <c r="E81" s="4">
        <v>0</v>
      </c>
      <c r="F81" s="5">
        <f t="shared" si="1"/>
        <v>660</v>
      </c>
    </row>
    <row r="82" spans="1:6" x14ac:dyDescent="0.45">
      <c r="A82" s="6">
        <v>10278</v>
      </c>
      <c r="B82" s="3">
        <v>63</v>
      </c>
      <c r="C82" s="3">
        <v>35.1</v>
      </c>
      <c r="D82" s="3">
        <v>8</v>
      </c>
      <c r="E82" s="4">
        <v>0</v>
      </c>
      <c r="F82" s="5">
        <f t="shared" si="1"/>
        <v>280.8</v>
      </c>
    </row>
    <row r="83" spans="1:6" x14ac:dyDescent="0.45">
      <c r="A83" s="6">
        <v>10278</v>
      </c>
      <c r="B83" s="3">
        <v>73</v>
      </c>
      <c r="C83" s="3">
        <v>12</v>
      </c>
      <c r="D83" s="3">
        <v>25</v>
      </c>
      <c r="E83" s="4">
        <v>0</v>
      </c>
      <c r="F83" s="5">
        <f t="shared" si="1"/>
        <v>300</v>
      </c>
    </row>
    <row r="84" spans="1:6" x14ac:dyDescent="0.45">
      <c r="A84" s="6">
        <v>10279</v>
      </c>
      <c r="B84" s="3">
        <v>17</v>
      </c>
      <c r="C84" s="3">
        <v>31.2</v>
      </c>
      <c r="D84" s="3">
        <v>15</v>
      </c>
      <c r="E84" s="4">
        <v>0.25</v>
      </c>
      <c r="F84" s="5">
        <f t="shared" si="1"/>
        <v>351</v>
      </c>
    </row>
    <row r="85" spans="1:6" x14ac:dyDescent="0.45">
      <c r="A85" s="6">
        <v>10280</v>
      </c>
      <c r="B85" s="3">
        <v>24</v>
      </c>
      <c r="C85" s="3">
        <v>3.6</v>
      </c>
      <c r="D85" s="3">
        <v>12</v>
      </c>
      <c r="E85" s="4">
        <v>0</v>
      </c>
      <c r="F85" s="5">
        <f t="shared" si="1"/>
        <v>43.2</v>
      </c>
    </row>
    <row r="86" spans="1:6" x14ac:dyDescent="0.45">
      <c r="A86" s="6">
        <v>10280</v>
      </c>
      <c r="B86" s="3">
        <v>55</v>
      </c>
      <c r="C86" s="3">
        <v>19.2</v>
      </c>
      <c r="D86" s="3">
        <v>20</v>
      </c>
      <c r="E86" s="4">
        <v>0</v>
      </c>
      <c r="F86" s="5">
        <f t="shared" si="1"/>
        <v>384</v>
      </c>
    </row>
    <row r="87" spans="1:6" x14ac:dyDescent="0.45">
      <c r="A87" s="6">
        <v>10280</v>
      </c>
      <c r="B87" s="3">
        <v>75</v>
      </c>
      <c r="C87" s="3">
        <v>6.2</v>
      </c>
      <c r="D87" s="3">
        <v>30</v>
      </c>
      <c r="E87" s="4">
        <v>0</v>
      </c>
      <c r="F87" s="5">
        <f t="shared" si="1"/>
        <v>186</v>
      </c>
    </row>
    <row r="88" spans="1:6" x14ac:dyDescent="0.45">
      <c r="A88" s="6">
        <v>10281</v>
      </c>
      <c r="B88" s="3">
        <v>19</v>
      </c>
      <c r="C88" s="3">
        <v>7.3</v>
      </c>
      <c r="D88" s="3">
        <v>1</v>
      </c>
      <c r="E88" s="4">
        <v>0</v>
      </c>
      <c r="F88" s="5">
        <f t="shared" si="1"/>
        <v>7.3</v>
      </c>
    </row>
    <row r="89" spans="1:6" x14ac:dyDescent="0.45">
      <c r="A89" s="6">
        <v>10281</v>
      </c>
      <c r="B89" s="3">
        <v>24</v>
      </c>
      <c r="C89" s="3">
        <v>3.6</v>
      </c>
      <c r="D89" s="3">
        <v>6</v>
      </c>
      <c r="E89" s="4">
        <v>0</v>
      </c>
      <c r="F89" s="5">
        <f t="shared" si="1"/>
        <v>21.6</v>
      </c>
    </row>
    <row r="90" spans="1:6" x14ac:dyDescent="0.45">
      <c r="A90" s="6">
        <v>10281</v>
      </c>
      <c r="B90" s="3">
        <v>35</v>
      </c>
      <c r="C90" s="3">
        <v>14.4</v>
      </c>
      <c r="D90" s="3">
        <v>4</v>
      </c>
      <c r="E90" s="4">
        <v>0</v>
      </c>
      <c r="F90" s="5">
        <f t="shared" si="1"/>
        <v>57.6</v>
      </c>
    </row>
    <row r="91" spans="1:6" x14ac:dyDescent="0.45">
      <c r="A91" s="6">
        <v>10282</v>
      </c>
      <c r="B91" s="3">
        <v>30</v>
      </c>
      <c r="C91" s="3">
        <v>20.7</v>
      </c>
      <c r="D91" s="3">
        <v>6</v>
      </c>
      <c r="E91" s="4">
        <v>0</v>
      </c>
      <c r="F91" s="5">
        <f t="shared" si="1"/>
        <v>124.19999999999999</v>
      </c>
    </row>
    <row r="92" spans="1:6" x14ac:dyDescent="0.45">
      <c r="A92" s="6">
        <v>10282</v>
      </c>
      <c r="B92" s="3">
        <v>57</v>
      </c>
      <c r="C92" s="3">
        <v>15.6</v>
      </c>
      <c r="D92" s="3">
        <v>2</v>
      </c>
      <c r="E92" s="4">
        <v>0</v>
      </c>
      <c r="F92" s="5">
        <f t="shared" si="1"/>
        <v>31.2</v>
      </c>
    </row>
    <row r="93" spans="1:6" x14ac:dyDescent="0.45">
      <c r="A93" s="6">
        <v>10283</v>
      </c>
      <c r="B93" s="3">
        <v>15</v>
      </c>
      <c r="C93" s="3">
        <v>12.4</v>
      </c>
      <c r="D93" s="3">
        <v>20</v>
      </c>
      <c r="E93" s="4">
        <v>0</v>
      </c>
      <c r="F93" s="5">
        <f t="shared" si="1"/>
        <v>248</v>
      </c>
    </row>
    <row r="94" spans="1:6" x14ac:dyDescent="0.45">
      <c r="A94" s="6">
        <v>10283</v>
      </c>
      <c r="B94" s="3">
        <v>19</v>
      </c>
      <c r="C94" s="3">
        <v>7.3</v>
      </c>
      <c r="D94" s="3">
        <v>18</v>
      </c>
      <c r="E94" s="4">
        <v>0</v>
      </c>
      <c r="F94" s="5">
        <f t="shared" si="1"/>
        <v>131.4</v>
      </c>
    </row>
    <row r="95" spans="1:6" x14ac:dyDescent="0.45">
      <c r="A95" s="6">
        <v>10283</v>
      </c>
      <c r="B95" s="3">
        <v>60</v>
      </c>
      <c r="C95" s="3">
        <v>27.2</v>
      </c>
      <c r="D95" s="3">
        <v>35</v>
      </c>
      <c r="E95" s="4">
        <v>0</v>
      </c>
      <c r="F95" s="5">
        <f t="shared" si="1"/>
        <v>952</v>
      </c>
    </row>
    <row r="96" spans="1:6" x14ac:dyDescent="0.45">
      <c r="A96" s="6">
        <v>10283</v>
      </c>
      <c r="B96" s="3">
        <v>72</v>
      </c>
      <c r="C96" s="3">
        <v>27.8</v>
      </c>
      <c r="D96" s="3">
        <v>3</v>
      </c>
      <c r="E96" s="4">
        <v>0</v>
      </c>
      <c r="F96" s="5">
        <f t="shared" si="1"/>
        <v>83.4</v>
      </c>
    </row>
    <row r="97" spans="1:6" x14ac:dyDescent="0.45">
      <c r="A97" s="6">
        <v>10284</v>
      </c>
      <c r="B97" s="3">
        <v>27</v>
      </c>
      <c r="C97" s="3">
        <v>35.1</v>
      </c>
      <c r="D97" s="3">
        <v>15</v>
      </c>
      <c r="E97" s="4">
        <v>0.25</v>
      </c>
      <c r="F97" s="5">
        <f t="shared" si="1"/>
        <v>394.875</v>
      </c>
    </row>
    <row r="98" spans="1:6" x14ac:dyDescent="0.45">
      <c r="A98" s="6">
        <v>10284</v>
      </c>
      <c r="B98" s="3">
        <v>44</v>
      </c>
      <c r="C98" s="3">
        <v>15.5</v>
      </c>
      <c r="D98" s="3">
        <v>21</v>
      </c>
      <c r="E98" s="4">
        <v>0</v>
      </c>
      <c r="F98" s="5">
        <f t="shared" si="1"/>
        <v>325.5</v>
      </c>
    </row>
    <row r="99" spans="1:6" x14ac:dyDescent="0.45">
      <c r="A99" s="6">
        <v>10284</v>
      </c>
      <c r="B99" s="3">
        <v>60</v>
      </c>
      <c r="C99" s="3">
        <v>27.2</v>
      </c>
      <c r="D99" s="3">
        <v>20</v>
      </c>
      <c r="E99" s="4">
        <v>0.25</v>
      </c>
      <c r="F99" s="5">
        <f t="shared" si="1"/>
        <v>408</v>
      </c>
    </row>
    <row r="100" spans="1:6" x14ac:dyDescent="0.45">
      <c r="A100" s="6">
        <v>10284</v>
      </c>
      <c r="B100" s="3">
        <v>67</v>
      </c>
      <c r="C100" s="3">
        <v>11.2</v>
      </c>
      <c r="D100" s="3">
        <v>5</v>
      </c>
      <c r="E100" s="4">
        <v>0.25</v>
      </c>
      <c r="F100" s="5">
        <f t="shared" si="1"/>
        <v>42</v>
      </c>
    </row>
    <row r="101" spans="1:6" x14ac:dyDescent="0.45">
      <c r="A101" s="6">
        <v>10285</v>
      </c>
      <c r="B101" s="3">
        <v>1</v>
      </c>
      <c r="C101" s="3">
        <v>14.4</v>
      </c>
      <c r="D101" s="3">
        <v>45</v>
      </c>
      <c r="E101" s="4">
        <v>0.2</v>
      </c>
      <c r="F101" s="5">
        <f t="shared" si="1"/>
        <v>518.4</v>
      </c>
    </row>
    <row r="102" spans="1:6" x14ac:dyDescent="0.45">
      <c r="A102" s="6">
        <v>10285</v>
      </c>
      <c r="B102" s="3">
        <v>40</v>
      </c>
      <c r="C102" s="3">
        <v>14.7</v>
      </c>
      <c r="D102" s="3">
        <v>40</v>
      </c>
      <c r="E102" s="4">
        <v>0.2</v>
      </c>
      <c r="F102" s="5">
        <f t="shared" si="1"/>
        <v>470.40000000000003</v>
      </c>
    </row>
    <row r="103" spans="1:6" x14ac:dyDescent="0.45">
      <c r="A103" s="6">
        <v>10285</v>
      </c>
      <c r="B103" s="3">
        <v>53</v>
      </c>
      <c r="C103" s="3">
        <v>26.2</v>
      </c>
      <c r="D103" s="3">
        <v>36</v>
      </c>
      <c r="E103" s="4">
        <v>0.2</v>
      </c>
      <c r="F103" s="5">
        <f t="shared" si="1"/>
        <v>754.56</v>
      </c>
    </row>
    <row r="104" spans="1:6" x14ac:dyDescent="0.45">
      <c r="A104" s="6">
        <v>10286</v>
      </c>
      <c r="B104" s="3">
        <v>35</v>
      </c>
      <c r="C104" s="3">
        <v>14.4</v>
      </c>
      <c r="D104" s="3">
        <v>100</v>
      </c>
      <c r="E104" s="4">
        <v>0</v>
      </c>
      <c r="F104" s="5">
        <f t="shared" si="1"/>
        <v>1440</v>
      </c>
    </row>
    <row r="105" spans="1:6" x14ac:dyDescent="0.45">
      <c r="A105" s="6">
        <v>10286</v>
      </c>
      <c r="B105" s="3">
        <v>62</v>
      </c>
      <c r="C105" s="3">
        <v>39.4</v>
      </c>
      <c r="D105" s="3">
        <v>40</v>
      </c>
      <c r="E105" s="4">
        <v>0</v>
      </c>
      <c r="F105" s="5">
        <f t="shared" si="1"/>
        <v>1576</v>
      </c>
    </row>
    <row r="106" spans="1:6" x14ac:dyDescent="0.45">
      <c r="A106" s="6">
        <v>10287</v>
      </c>
      <c r="B106" s="3">
        <v>16</v>
      </c>
      <c r="C106" s="3">
        <v>13.9</v>
      </c>
      <c r="D106" s="3">
        <v>40</v>
      </c>
      <c r="E106" s="4">
        <v>0.15</v>
      </c>
      <c r="F106" s="5">
        <f t="shared" si="1"/>
        <v>472.59999999999997</v>
      </c>
    </row>
    <row r="107" spans="1:6" x14ac:dyDescent="0.45">
      <c r="A107" s="6">
        <v>10287</v>
      </c>
      <c r="B107" s="3">
        <v>34</v>
      </c>
      <c r="C107" s="3">
        <v>11.2</v>
      </c>
      <c r="D107" s="3">
        <v>20</v>
      </c>
      <c r="E107" s="4">
        <v>0</v>
      </c>
      <c r="F107" s="5">
        <f t="shared" si="1"/>
        <v>224</v>
      </c>
    </row>
    <row r="108" spans="1:6" x14ac:dyDescent="0.45">
      <c r="A108" s="6">
        <v>10287</v>
      </c>
      <c r="B108" s="3">
        <v>46</v>
      </c>
      <c r="C108" s="3">
        <v>9.6</v>
      </c>
      <c r="D108" s="3">
        <v>15</v>
      </c>
      <c r="E108" s="4">
        <v>0.15</v>
      </c>
      <c r="F108" s="5">
        <f t="shared" si="1"/>
        <v>122.39999999999999</v>
      </c>
    </row>
    <row r="109" spans="1:6" x14ac:dyDescent="0.45">
      <c r="A109" s="6">
        <v>10288</v>
      </c>
      <c r="B109" s="3">
        <v>54</v>
      </c>
      <c r="C109" s="3">
        <v>5.9</v>
      </c>
      <c r="D109" s="3">
        <v>10</v>
      </c>
      <c r="E109" s="4">
        <v>0.1</v>
      </c>
      <c r="F109" s="5">
        <f t="shared" si="1"/>
        <v>53.1</v>
      </c>
    </row>
    <row r="110" spans="1:6" x14ac:dyDescent="0.45">
      <c r="A110" s="6">
        <v>10288</v>
      </c>
      <c r="B110" s="3">
        <v>68</v>
      </c>
      <c r="C110" s="3">
        <v>10</v>
      </c>
      <c r="D110" s="3">
        <v>3</v>
      </c>
      <c r="E110" s="4">
        <v>0.1</v>
      </c>
      <c r="F110" s="5">
        <f t="shared" si="1"/>
        <v>27</v>
      </c>
    </row>
    <row r="111" spans="1:6" x14ac:dyDescent="0.45">
      <c r="A111" s="6">
        <v>10289</v>
      </c>
      <c r="B111" s="3">
        <v>3</v>
      </c>
      <c r="C111" s="3">
        <v>8</v>
      </c>
      <c r="D111" s="3">
        <v>30</v>
      </c>
      <c r="E111" s="4">
        <v>0</v>
      </c>
      <c r="F111" s="5">
        <f t="shared" si="1"/>
        <v>240</v>
      </c>
    </row>
    <row r="112" spans="1:6" x14ac:dyDescent="0.45">
      <c r="A112" s="6">
        <v>10289</v>
      </c>
      <c r="B112" s="3">
        <v>64</v>
      </c>
      <c r="C112" s="3">
        <v>26.6</v>
      </c>
      <c r="D112" s="3">
        <v>9</v>
      </c>
      <c r="E112" s="4">
        <v>0</v>
      </c>
      <c r="F112" s="5">
        <f t="shared" si="1"/>
        <v>239.4</v>
      </c>
    </row>
    <row r="113" spans="1:6" x14ac:dyDescent="0.45">
      <c r="A113" s="6">
        <v>10290</v>
      </c>
      <c r="B113" s="3">
        <v>5</v>
      </c>
      <c r="C113" s="3">
        <v>17</v>
      </c>
      <c r="D113" s="3">
        <v>20</v>
      </c>
      <c r="E113" s="4">
        <v>0</v>
      </c>
      <c r="F113" s="5">
        <f t="shared" si="1"/>
        <v>340</v>
      </c>
    </row>
    <row r="114" spans="1:6" x14ac:dyDescent="0.45">
      <c r="A114" s="6">
        <v>10290</v>
      </c>
      <c r="B114" s="3">
        <v>29</v>
      </c>
      <c r="C114" s="3">
        <v>99</v>
      </c>
      <c r="D114" s="3">
        <v>15</v>
      </c>
      <c r="E114" s="4">
        <v>0</v>
      </c>
      <c r="F114" s="5">
        <f t="shared" si="1"/>
        <v>1485</v>
      </c>
    </row>
    <row r="115" spans="1:6" x14ac:dyDescent="0.45">
      <c r="A115" s="6">
        <v>10290</v>
      </c>
      <c r="B115" s="3">
        <v>49</v>
      </c>
      <c r="C115" s="3">
        <v>16</v>
      </c>
      <c r="D115" s="3">
        <v>15</v>
      </c>
      <c r="E115" s="4">
        <v>0</v>
      </c>
      <c r="F115" s="5">
        <f t="shared" si="1"/>
        <v>240</v>
      </c>
    </row>
    <row r="116" spans="1:6" x14ac:dyDescent="0.45">
      <c r="A116" s="6">
        <v>10290</v>
      </c>
      <c r="B116" s="3">
        <v>77</v>
      </c>
      <c r="C116" s="3">
        <v>10.4</v>
      </c>
      <c r="D116" s="3">
        <v>10</v>
      </c>
      <c r="E116" s="4">
        <v>0</v>
      </c>
      <c r="F116" s="5">
        <f t="shared" si="1"/>
        <v>104</v>
      </c>
    </row>
    <row r="117" spans="1:6" x14ac:dyDescent="0.45">
      <c r="A117" s="6">
        <v>10291</v>
      </c>
      <c r="B117" s="3">
        <v>13</v>
      </c>
      <c r="C117" s="3">
        <v>4.8</v>
      </c>
      <c r="D117" s="3">
        <v>20</v>
      </c>
      <c r="E117" s="4">
        <v>0.1</v>
      </c>
      <c r="F117" s="5">
        <f t="shared" si="1"/>
        <v>86.4</v>
      </c>
    </row>
    <row r="118" spans="1:6" x14ac:dyDescent="0.45">
      <c r="A118" s="6">
        <v>10291</v>
      </c>
      <c r="B118" s="3">
        <v>44</v>
      </c>
      <c r="C118" s="3">
        <v>15.5</v>
      </c>
      <c r="D118" s="3">
        <v>24</v>
      </c>
      <c r="E118" s="4">
        <v>0.1</v>
      </c>
      <c r="F118" s="5">
        <f t="shared" si="1"/>
        <v>334.8</v>
      </c>
    </row>
    <row r="119" spans="1:6" x14ac:dyDescent="0.45">
      <c r="A119" s="6">
        <v>10291</v>
      </c>
      <c r="B119" s="3">
        <v>51</v>
      </c>
      <c r="C119" s="3">
        <v>42.4</v>
      </c>
      <c r="D119" s="3">
        <v>2</v>
      </c>
      <c r="E119" s="4">
        <v>0.1</v>
      </c>
      <c r="F119" s="5">
        <f t="shared" si="1"/>
        <v>76.319999999999993</v>
      </c>
    </row>
    <row r="120" spans="1:6" x14ac:dyDescent="0.45">
      <c r="A120" s="6">
        <v>10292</v>
      </c>
      <c r="B120" s="3">
        <v>20</v>
      </c>
      <c r="C120" s="3">
        <v>64.8</v>
      </c>
      <c r="D120" s="3">
        <v>20</v>
      </c>
      <c r="E120" s="4">
        <v>0</v>
      </c>
      <c r="F120" s="5">
        <f t="shared" si="1"/>
        <v>1296</v>
      </c>
    </row>
    <row r="121" spans="1:6" x14ac:dyDescent="0.45">
      <c r="A121" s="6">
        <v>10293</v>
      </c>
      <c r="B121" s="3">
        <v>18</v>
      </c>
      <c r="C121" s="3">
        <v>50</v>
      </c>
      <c r="D121" s="3">
        <v>12</v>
      </c>
      <c r="E121" s="4">
        <v>0</v>
      </c>
      <c r="F121" s="5">
        <f t="shared" si="1"/>
        <v>600</v>
      </c>
    </row>
    <row r="122" spans="1:6" x14ac:dyDescent="0.45">
      <c r="A122" s="6">
        <v>10293</v>
      </c>
      <c r="B122" s="3">
        <v>24</v>
      </c>
      <c r="C122" s="3">
        <v>3.6</v>
      </c>
      <c r="D122" s="3">
        <v>10</v>
      </c>
      <c r="E122" s="4">
        <v>0</v>
      </c>
      <c r="F122" s="5">
        <f t="shared" si="1"/>
        <v>36</v>
      </c>
    </row>
    <row r="123" spans="1:6" x14ac:dyDescent="0.45">
      <c r="A123" s="6">
        <v>10293</v>
      </c>
      <c r="B123" s="3">
        <v>63</v>
      </c>
      <c r="C123" s="3">
        <v>35.1</v>
      </c>
      <c r="D123" s="3">
        <v>5</v>
      </c>
      <c r="E123" s="4">
        <v>0</v>
      </c>
      <c r="F123" s="5">
        <f t="shared" si="1"/>
        <v>175.5</v>
      </c>
    </row>
    <row r="124" spans="1:6" x14ac:dyDescent="0.45">
      <c r="A124" s="6">
        <v>10293</v>
      </c>
      <c r="B124" s="3">
        <v>75</v>
      </c>
      <c r="C124" s="3">
        <v>6.2</v>
      </c>
      <c r="D124" s="3">
        <v>6</v>
      </c>
      <c r="E124" s="4">
        <v>0</v>
      </c>
      <c r="F124" s="5">
        <f t="shared" si="1"/>
        <v>37.200000000000003</v>
      </c>
    </row>
    <row r="125" spans="1:6" x14ac:dyDescent="0.45">
      <c r="A125" s="6">
        <v>10294</v>
      </c>
      <c r="B125" s="3">
        <v>1</v>
      </c>
      <c r="C125" s="3">
        <v>14.4</v>
      </c>
      <c r="D125" s="3">
        <v>18</v>
      </c>
      <c r="E125" s="4">
        <v>0</v>
      </c>
      <c r="F125" s="5">
        <f t="shared" si="1"/>
        <v>259.2</v>
      </c>
    </row>
    <row r="126" spans="1:6" x14ac:dyDescent="0.45">
      <c r="A126" s="6">
        <v>10294</v>
      </c>
      <c r="B126" s="3">
        <v>17</v>
      </c>
      <c r="C126" s="3">
        <v>31.2</v>
      </c>
      <c r="D126" s="3">
        <v>15</v>
      </c>
      <c r="E126" s="4">
        <v>0</v>
      </c>
      <c r="F126" s="5">
        <f t="shared" si="1"/>
        <v>468</v>
      </c>
    </row>
    <row r="127" spans="1:6" x14ac:dyDescent="0.45">
      <c r="A127" s="6">
        <v>10294</v>
      </c>
      <c r="B127" s="3">
        <v>43</v>
      </c>
      <c r="C127" s="3">
        <v>36.799999999999997</v>
      </c>
      <c r="D127" s="3">
        <v>15</v>
      </c>
      <c r="E127" s="4">
        <v>0</v>
      </c>
      <c r="F127" s="5">
        <f t="shared" si="1"/>
        <v>552</v>
      </c>
    </row>
    <row r="128" spans="1:6" x14ac:dyDescent="0.45">
      <c r="A128" s="6">
        <v>10294</v>
      </c>
      <c r="B128" s="3">
        <v>60</v>
      </c>
      <c r="C128" s="3">
        <v>27.2</v>
      </c>
      <c r="D128" s="3">
        <v>21</v>
      </c>
      <c r="E128" s="4">
        <v>0</v>
      </c>
      <c r="F128" s="5">
        <f t="shared" si="1"/>
        <v>571.19999999999993</v>
      </c>
    </row>
    <row r="129" spans="1:6" x14ac:dyDescent="0.45">
      <c r="A129" s="6">
        <v>10294</v>
      </c>
      <c r="B129" s="3">
        <v>75</v>
      </c>
      <c r="C129" s="3">
        <v>6.2</v>
      </c>
      <c r="D129" s="3">
        <v>6</v>
      </c>
      <c r="E129" s="4">
        <v>0</v>
      </c>
      <c r="F129" s="5">
        <f t="shared" si="1"/>
        <v>37.200000000000003</v>
      </c>
    </row>
    <row r="130" spans="1:6" x14ac:dyDescent="0.45">
      <c r="A130" s="6">
        <v>10295</v>
      </c>
      <c r="B130" s="3">
        <v>56</v>
      </c>
      <c r="C130" s="3">
        <v>30.4</v>
      </c>
      <c r="D130" s="3">
        <v>4</v>
      </c>
      <c r="E130" s="4">
        <v>0</v>
      </c>
      <c r="F130" s="5">
        <f t="shared" ref="F130:F193" si="2">C130*D130*(1-E130)</f>
        <v>121.6</v>
      </c>
    </row>
    <row r="131" spans="1:6" x14ac:dyDescent="0.45">
      <c r="A131" s="6">
        <v>10296</v>
      </c>
      <c r="B131" s="3">
        <v>11</v>
      </c>
      <c r="C131" s="3">
        <v>16.8</v>
      </c>
      <c r="D131" s="3">
        <v>12</v>
      </c>
      <c r="E131" s="4">
        <v>0</v>
      </c>
      <c r="F131" s="5">
        <f t="shared" si="2"/>
        <v>201.60000000000002</v>
      </c>
    </row>
    <row r="132" spans="1:6" x14ac:dyDescent="0.45">
      <c r="A132" s="6">
        <v>10296</v>
      </c>
      <c r="B132" s="3">
        <v>16</v>
      </c>
      <c r="C132" s="3">
        <v>13.9</v>
      </c>
      <c r="D132" s="3">
        <v>30</v>
      </c>
      <c r="E132" s="4">
        <v>0</v>
      </c>
      <c r="F132" s="5">
        <f t="shared" si="2"/>
        <v>417</v>
      </c>
    </row>
    <row r="133" spans="1:6" x14ac:dyDescent="0.45">
      <c r="A133" s="6">
        <v>10296</v>
      </c>
      <c r="B133" s="3">
        <v>69</v>
      </c>
      <c r="C133" s="3">
        <v>28.8</v>
      </c>
      <c r="D133" s="3">
        <v>15</v>
      </c>
      <c r="E133" s="4">
        <v>0</v>
      </c>
      <c r="F133" s="5">
        <f t="shared" si="2"/>
        <v>432</v>
      </c>
    </row>
    <row r="134" spans="1:6" x14ac:dyDescent="0.45">
      <c r="A134" s="6">
        <v>10297</v>
      </c>
      <c r="B134" s="3">
        <v>39</v>
      </c>
      <c r="C134" s="3">
        <v>14.4</v>
      </c>
      <c r="D134" s="3">
        <v>60</v>
      </c>
      <c r="E134" s="4">
        <v>0</v>
      </c>
      <c r="F134" s="5">
        <f t="shared" si="2"/>
        <v>864</v>
      </c>
    </row>
    <row r="135" spans="1:6" x14ac:dyDescent="0.45">
      <c r="A135" s="6">
        <v>10297</v>
      </c>
      <c r="B135" s="3">
        <v>72</v>
      </c>
      <c r="C135" s="3">
        <v>27.8</v>
      </c>
      <c r="D135" s="3">
        <v>20</v>
      </c>
      <c r="E135" s="4">
        <v>0</v>
      </c>
      <c r="F135" s="5">
        <f t="shared" si="2"/>
        <v>556</v>
      </c>
    </row>
    <row r="136" spans="1:6" x14ac:dyDescent="0.45">
      <c r="A136" s="6">
        <v>10298</v>
      </c>
      <c r="B136" s="3">
        <v>2</v>
      </c>
      <c r="C136" s="3">
        <v>15.2</v>
      </c>
      <c r="D136" s="3">
        <v>40</v>
      </c>
      <c r="E136" s="4">
        <v>0</v>
      </c>
      <c r="F136" s="5">
        <f t="shared" si="2"/>
        <v>608</v>
      </c>
    </row>
    <row r="137" spans="1:6" x14ac:dyDescent="0.45">
      <c r="A137" s="6">
        <v>10298</v>
      </c>
      <c r="B137" s="3">
        <v>36</v>
      </c>
      <c r="C137" s="3">
        <v>15.2</v>
      </c>
      <c r="D137" s="3">
        <v>40</v>
      </c>
      <c r="E137" s="4">
        <v>0.25</v>
      </c>
      <c r="F137" s="5">
        <f t="shared" si="2"/>
        <v>456</v>
      </c>
    </row>
    <row r="138" spans="1:6" x14ac:dyDescent="0.45">
      <c r="A138" s="6">
        <v>10298</v>
      </c>
      <c r="B138" s="3">
        <v>59</v>
      </c>
      <c r="C138" s="3">
        <v>44</v>
      </c>
      <c r="D138" s="3">
        <v>30</v>
      </c>
      <c r="E138" s="4">
        <v>0.25</v>
      </c>
      <c r="F138" s="5">
        <f t="shared" si="2"/>
        <v>990</v>
      </c>
    </row>
    <row r="139" spans="1:6" x14ac:dyDescent="0.45">
      <c r="A139" s="6">
        <v>10298</v>
      </c>
      <c r="B139" s="3">
        <v>62</v>
      </c>
      <c r="C139" s="3">
        <v>39.4</v>
      </c>
      <c r="D139" s="3">
        <v>15</v>
      </c>
      <c r="E139" s="4">
        <v>0</v>
      </c>
      <c r="F139" s="5">
        <f t="shared" si="2"/>
        <v>591</v>
      </c>
    </row>
    <row r="140" spans="1:6" x14ac:dyDescent="0.45">
      <c r="A140" s="6">
        <v>10299</v>
      </c>
      <c r="B140" s="3">
        <v>19</v>
      </c>
      <c r="C140" s="3">
        <v>7.3</v>
      </c>
      <c r="D140" s="3">
        <v>15</v>
      </c>
      <c r="E140" s="4">
        <v>0</v>
      </c>
      <c r="F140" s="5">
        <f t="shared" si="2"/>
        <v>109.5</v>
      </c>
    </row>
    <row r="141" spans="1:6" x14ac:dyDescent="0.45">
      <c r="A141" s="6">
        <v>10299</v>
      </c>
      <c r="B141" s="3">
        <v>70</v>
      </c>
      <c r="C141" s="3">
        <v>12</v>
      </c>
      <c r="D141" s="3">
        <v>20</v>
      </c>
      <c r="E141" s="4">
        <v>0</v>
      </c>
      <c r="F141" s="5">
        <f t="shared" si="2"/>
        <v>240</v>
      </c>
    </row>
    <row r="142" spans="1:6" x14ac:dyDescent="0.45">
      <c r="A142" s="6">
        <v>10300</v>
      </c>
      <c r="B142" s="3">
        <v>66</v>
      </c>
      <c r="C142" s="3">
        <v>13.6</v>
      </c>
      <c r="D142" s="3">
        <v>30</v>
      </c>
      <c r="E142" s="4">
        <v>0</v>
      </c>
      <c r="F142" s="5">
        <f t="shared" si="2"/>
        <v>408</v>
      </c>
    </row>
    <row r="143" spans="1:6" x14ac:dyDescent="0.45">
      <c r="A143" s="6">
        <v>10300</v>
      </c>
      <c r="B143" s="3">
        <v>68</v>
      </c>
      <c r="C143" s="3">
        <v>10</v>
      </c>
      <c r="D143" s="3">
        <v>20</v>
      </c>
      <c r="E143" s="4">
        <v>0</v>
      </c>
      <c r="F143" s="5">
        <f t="shared" si="2"/>
        <v>200</v>
      </c>
    </row>
    <row r="144" spans="1:6" x14ac:dyDescent="0.45">
      <c r="A144" s="6">
        <v>10301</v>
      </c>
      <c r="B144" s="3">
        <v>40</v>
      </c>
      <c r="C144" s="3">
        <v>14.7</v>
      </c>
      <c r="D144" s="3">
        <v>10</v>
      </c>
      <c r="E144" s="4">
        <v>0</v>
      </c>
      <c r="F144" s="5">
        <f t="shared" si="2"/>
        <v>147</v>
      </c>
    </row>
    <row r="145" spans="1:6" x14ac:dyDescent="0.45">
      <c r="A145" s="6">
        <v>10301</v>
      </c>
      <c r="B145" s="3">
        <v>56</v>
      </c>
      <c r="C145" s="3">
        <v>30.4</v>
      </c>
      <c r="D145" s="3">
        <v>20</v>
      </c>
      <c r="E145" s="4">
        <v>0</v>
      </c>
      <c r="F145" s="5">
        <f t="shared" si="2"/>
        <v>608</v>
      </c>
    </row>
    <row r="146" spans="1:6" x14ac:dyDescent="0.45">
      <c r="A146" s="6">
        <v>10302</v>
      </c>
      <c r="B146" s="3">
        <v>17</v>
      </c>
      <c r="C146" s="3">
        <v>31.2</v>
      </c>
      <c r="D146" s="3">
        <v>40</v>
      </c>
      <c r="E146" s="4">
        <v>0</v>
      </c>
      <c r="F146" s="5">
        <f t="shared" si="2"/>
        <v>1248</v>
      </c>
    </row>
    <row r="147" spans="1:6" x14ac:dyDescent="0.45">
      <c r="A147" s="6">
        <v>10302</v>
      </c>
      <c r="B147" s="3">
        <v>28</v>
      </c>
      <c r="C147" s="3">
        <v>36.4</v>
      </c>
      <c r="D147" s="3">
        <v>28</v>
      </c>
      <c r="E147" s="4">
        <v>0</v>
      </c>
      <c r="F147" s="5">
        <f t="shared" si="2"/>
        <v>1019.1999999999999</v>
      </c>
    </row>
    <row r="148" spans="1:6" x14ac:dyDescent="0.45">
      <c r="A148" s="6">
        <v>10302</v>
      </c>
      <c r="B148" s="3">
        <v>43</v>
      </c>
      <c r="C148" s="3">
        <v>36.799999999999997</v>
      </c>
      <c r="D148" s="3">
        <v>12</v>
      </c>
      <c r="E148" s="4">
        <v>0</v>
      </c>
      <c r="F148" s="5">
        <f t="shared" si="2"/>
        <v>441.59999999999997</v>
      </c>
    </row>
    <row r="149" spans="1:6" x14ac:dyDescent="0.45">
      <c r="A149" s="6">
        <v>10303</v>
      </c>
      <c r="B149" s="3">
        <v>40</v>
      </c>
      <c r="C149" s="3">
        <v>14.7</v>
      </c>
      <c r="D149" s="3">
        <v>40</v>
      </c>
      <c r="E149" s="4">
        <v>0.1</v>
      </c>
      <c r="F149" s="5">
        <f t="shared" si="2"/>
        <v>529.20000000000005</v>
      </c>
    </row>
    <row r="150" spans="1:6" x14ac:dyDescent="0.45">
      <c r="A150" s="6">
        <v>10303</v>
      </c>
      <c r="B150" s="3">
        <v>65</v>
      </c>
      <c r="C150" s="3">
        <v>16.8</v>
      </c>
      <c r="D150" s="3">
        <v>30</v>
      </c>
      <c r="E150" s="4">
        <v>0.1</v>
      </c>
      <c r="F150" s="5">
        <f t="shared" si="2"/>
        <v>453.6</v>
      </c>
    </row>
    <row r="151" spans="1:6" x14ac:dyDescent="0.45">
      <c r="A151" s="6">
        <v>10303</v>
      </c>
      <c r="B151" s="3">
        <v>68</v>
      </c>
      <c r="C151" s="3">
        <v>10</v>
      </c>
      <c r="D151" s="3">
        <v>15</v>
      </c>
      <c r="E151" s="4">
        <v>0.1</v>
      </c>
      <c r="F151" s="5">
        <f t="shared" si="2"/>
        <v>135</v>
      </c>
    </row>
    <row r="152" spans="1:6" x14ac:dyDescent="0.45">
      <c r="A152" s="6">
        <v>10304</v>
      </c>
      <c r="B152" s="3">
        <v>49</v>
      </c>
      <c r="C152" s="3">
        <v>16</v>
      </c>
      <c r="D152" s="3">
        <v>30</v>
      </c>
      <c r="E152" s="4">
        <v>0</v>
      </c>
      <c r="F152" s="5">
        <f t="shared" si="2"/>
        <v>480</v>
      </c>
    </row>
    <row r="153" spans="1:6" x14ac:dyDescent="0.45">
      <c r="A153" s="6">
        <v>10304</v>
      </c>
      <c r="B153" s="3">
        <v>59</v>
      </c>
      <c r="C153" s="3">
        <v>44</v>
      </c>
      <c r="D153" s="3">
        <v>10</v>
      </c>
      <c r="E153" s="4">
        <v>0</v>
      </c>
      <c r="F153" s="5">
        <f t="shared" si="2"/>
        <v>440</v>
      </c>
    </row>
    <row r="154" spans="1:6" x14ac:dyDescent="0.45">
      <c r="A154" s="6">
        <v>10304</v>
      </c>
      <c r="B154" s="3">
        <v>71</v>
      </c>
      <c r="C154" s="3">
        <v>17.2</v>
      </c>
      <c r="D154" s="3">
        <v>2</v>
      </c>
      <c r="E154" s="4">
        <v>0</v>
      </c>
      <c r="F154" s="5">
        <f t="shared" si="2"/>
        <v>34.4</v>
      </c>
    </row>
    <row r="155" spans="1:6" x14ac:dyDescent="0.45">
      <c r="A155" s="6">
        <v>10305</v>
      </c>
      <c r="B155" s="3">
        <v>18</v>
      </c>
      <c r="C155" s="3">
        <v>50</v>
      </c>
      <c r="D155" s="3">
        <v>25</v>
      </c>
      <c r="E155" s="4">
        <v>0.1</v>
      </c>
      <c r="F155" s="5">
        <f t="shared" si="2"/>
        <v>1125</v>
      </c>
    </row>
    <row r="156" spans="1:6" x14ac:dyDescent="0.45">
      <c r="A156" s="6">
        <v>10305</v>
      </c>
      <c r="B156" s="3">
        <v>29</v>
      </c>
      <c r="C156" s="3">
        <v>99</v>
      </c>
      <c r="D156" s="3">
        <v>25</v>
      </c>
      <c r="E156" s="4">
        <v>0.1</v>
      </c>
      <c r="F156" s="5">
        <f t="shared" si="2"/>
        <v>2227.5</v>
      </c>
    </row>
    <row r="157" spans="1:6" x14ac:dyDescent="0.45">
      <c r="A157" s="6">
        <v>10305</v>
      </c>
      <c r="B157" s="3">
        <v>39</v>
      </c>
      <c r="C157" s="3">
        <v>14.4</v>
      </c>
      <c r="D157" s="3">
        <v>30</v>
      </c>
      <c r="E157" s="4">
        <v>0.1</v>
      </c>
      <c r="F157" s="5">
        <f t="shared" si="2"/>
        <v>388.8</v>
      </c>
    </row>
    <row r="158" spans="1:6" x14ac:dyDescent="0.45">
      <c r="A158" s="6">
        <v>10306</v>
      </c>
      <c r="B158" s="3">
        <v>30</v>
      </c>
      <c r="C158" s="3">
        <v>20.7</v>
      </c>
      <c r="D158" s="3">
        <v>10</v>
      </c>
      <c r="E158" s="4">
        <v>0</v>
      </c>
      <c r="F158" s="5">
        <f t="shared" si="2"/>
        <v>207</v>
      </c>
    </row>
    <row r="159" spans="1:6" x14ac:dyDescent="0.45">
      <c r="A159" s="6">
        <v>10306</v>
      </c>
      <c r="B159" s="3">
        <v>53</v>
      </c>
      <c r="C159" s="3">
        <v>26.2</v>
      </c>
      <c r="D159" s="3">
        <v>10</v>
      </c>
      <c r="E159" s="4">
        <v>0</v>
      </c>
      <c r="F159" s="5">
        <f t="shared" si="2"/>
        <v>262</v>
      </c>
    </row>
    <row r="160" spans="1:6" x14ac:dyDescent="0.45">
      <c r="A160" s="6">
        <v>10306</v>
      </c>
      <c r="B160" s="3">
        <v>54</v>
      </c>
      <c r="C160" s="3">
        <v>5.9</v>
      </c>
      <c r="D160" s="3">
        <v>5</v>
      </c>
      <c r="E160" s="4">
        <v>0</v>
      </c>
      <c r="F160" s="5">
        <f t="shared" si="2"/>
        <v>29.5</v>
      </c>
    </row>
    <row r="161" spans="1:6" x14ac:dyDescent="0.45">
      <c r="A161" s="6">
        <v>10307</v>
      </c>
      <c r="B161" s="3">
        <v>62</v>
      </c>
      <c r="C161" s="3">
        <v>39.4</v>
      </c>
      <c r="D161" s="3">
        <v>10</v>
      </c>
      <c r="E161" s="4">
        <v>0</v>
      </c>
      <c r="F161" s="5">
        <f t="shared" si="2"/>
        <v>394</v>
      </c>
    </row>
    <row r="162" spans="1:6" x14ac:dyDescent="0.45">
      <c r="A162" s="6">
        <v>10307</v>
      </c>
      <c r="B162" s="3">
        <v>68</v>
      </c>
      <c r="C162" s="3">
        <v>10</v>
      </c>
      <c r="D162" s="3">
        <v>3</v>
      </c>
      <c r="E162" s="4">
        <v>0</v>
      </c>
      <c r="F162" s="5">
        <f t="shared" si="2"/>
        <v>30</v>
      </c>
    </row>
    <row r="163" spans="1:6" x14ac:dyDescent="0.45">
      <c r="A163" s="6">
        <v>10308</v>
      </c>
      <c r="B163" s="3">
        <v>69</v>
      </c>
      <c r="C163" s="3">
        <v>28.8</v>
      </c>
      <c r="D163" s="3">
        <v>1</v>
      </c>
      <c r="E163" s="4">
        <v>0</v>
      </c>
      <c r="F163" s="5">
        <f t="shared" si="2"/>
        <v>28.8</v>
      </c>
    </row>
    <row r="164" spans="1:6" x14ac:dyDescent="0.45">
      <c r="A164" s="6">
        <v>10308</v>
      </c>
      <c r="B164" s="3">
        <v>70</v>
      </c>
      <c r="C164" s="3">
        <v>12</v>
      </c>
      <c r="D164" s="3">
        <v>5</v>
      </c>
      <c r="E164" s="4">
        <v>0</v>
      </c>
      <c r="F164" s="5">
        <f t="shared" si="2"/>
        <v>60</v>
      </c>
    </row>
    <row r="165" spans="1:6" x14ac:dyDescent="0.45">
      <c r="A165" s="6">
        <v>10309</v>
      </c>
      <c r="B165" s="3">
        <v>4</v>
      </c>
      <c r="C165" s="3">
        <v>17.600000000000001</v>
      </c>
      <c r="D165" s="3">
        <v>20</v>
      </c>
      <c r="E165" s="4">
        <v>0</v>
      </c>
      <c r="F165" s="5">
        <f t="shared" si="2"/>
        <v>352</v>
      </c>
    </row>
    <row r="166" spans="1:6" x14ac:dyDescent="0.45">
      <c r="A166" s="6">
        <v>10309</v>
      </c>
      <c r="B166" s="3">
        <v>6</v>
      </c>
      <c r="C166" s="3">
        <v>20</v>
      </c>
      <c r="D166" s="3">
        <v>30</v>
      </c>
      <c r="E166" s="4">
        <v>0</v>
      </c>
      <c r="F166" s="5">
        <f t="shared" si="2"/>
        <v>600</v>
      </c>
    </row>
    <row r="167" spans="1:6" x14ac:dyDescent="0.45">
      <c r="A167" s="6">
        <v>10309</v>
      </c>
      <c r="B167" s="3">
        <v>42</v>
      </c>
      <c r="C167" s="3">
        <v>11.2</v>
      </c>
      <c r="D167" s="3">
        <v>2</v>
      </c>
      <c r="E167" s="4">
        <v>0</v>
      </c>
      <c r="F167" s="5">
        <f t="shared" si="2"/>
        <v>22.4</v>
      </c>
    </row>
    <row r="168" spans="1:6" x14ac:dyDescent="0.45">
      <c r="A168" s="6">
        <v>10309</v>
      </c>
      <c r="B168" s="3">
        <v>43</v>
      </c>
      <c r="C168" s="3">
        <v>36.799999999999997</v>
      </c>
      <c r="D168" s="3">
        <v>20</v>
      </c>
      <c r="E168" s="4">
        <v>0</v>
      </c>
      <c r="F168" s="5">
        <f t="shared" si="2"/>
        <v>736</v>
      </c>
    </row>
    <row r="169" spans="1:6" x14ac:dyDescent="0.45">
      <c r="A169" s="6">
        <v>10309</v>
      </c>
      <c r="B169" s="3">
        <v>71</v>
      </c>
      <c r="C169" s="3">
        <v>17.2</v>
      </c>
      <c r="D169" s="3">
        <v>3</v>
      </c>
      <c r="E169" s="4">
        <v>0</v>
      </c>
      <c r="F169" s="5">
        <f t="shared" si="2"/>
        <v>51.599999999999994</v>
      </c>
    </row>
    <row r="170" spans="1:6" x14ac:dyDescent="0.45">
      <c r="A170" s="6">
        <v>10310</v>
      </c>
      <c r="B170" s="3">
        <v>16</v>
      </c>
      <c r="C170" s="3">
        <v>13.9</v>
      </c>
      <c r="D170" s="3">
        <v>10</v>
      </c>
      <c r="E170" s="4">
        <v>0</v>
      </c>
      <c r="F170" s="5">
        <f t="shared" si="2"/>
        <v>139</v>
      </c>
    </row>
    <row r="171" spans="1:6" x14ac:dyDescent="0.45">
      <c r="A171" s="6">
        <v>10310</v>
      </c>
      <c r="B171" s="3">
        <v>62</v>
      </c>
      <c r="C171" s="3">
        <v>39.4</v>
      </c>
      <c r="D171" s="3">
        <v>5</v>
      </c>
      <c r="E171" s="4">
        <v>0</v>
      </c>
      <c r="F171" s="5">
        <f t="shared" si="2"/>
        <v>197</v>
      </c>
    </row>
    <row r="172" spans="1:6" x14ac:dyDescent="0.45">
      <c r="A172" s="6">
        <v>10311</v>
      </c>
      <c r="B172" s="3">
        <v>42</v>
      </c>
      <c r="C172" s="3">
        <v>11.2</v>
      </c>
      <c r="D172" s="3">
        <v>6</v>
      </c>
      <c r="E172" s="4">
        <v>0</v>
      </c>
      <c r="F172" s="5">
        <f t="shared" si="2"/>
        <v>67.199999999999989</v>
      </c>
    </row>
    <row r="173" spans="1:6" x14ac:dyDescent="0.45">
      <c r="A173" s="6">
        <v>10311</v>
      </c>
      <c r="B173" s="3">
        <v>69</v>
      </c>
      <c r="C173" s="3">
        <v>28.8</v>
      </c>
      <c r="D173" s="3">
        <v>7</v>
      </c>
      <c r="E173" s="4">
        <v>0</v>
      </c>
      <c r="F173" s="5">
        <f t="shared" si="2"/>
        <v>201.6</v>
      </c>
    </row>
    <row r="174" spans="1:6" x14ac:dyDescent="0.45">
      <c r="A174" s="6">
        <v>10312</v>
      </c>
      <c r="B174" s="3">
        <v>28</v>
      </c>
      <c r="C174" s="3">
        <v>36.4</v>
      </c>
      <c r="D174" s="3">
        <v>4</v>
      </c>
      <c r="E174" s="4">
        <v>0</v>
      </c>
      <c r="F174" s="5">
        <f t="shared" si="2"/>
        <v>145.6</v>
      </c>
    </row>
    <row r="175" spans="1:6" x14ac:dyDescent="0.45">
      <c r="A175" s="6">
        <v>10312</v>
      </c>
      <c r="B175" s="3">
        <v>43</v>
      </c>
      <c r="C175" s="3">
        <v>36.799999999999997</v>
      </c>
      <c r="D175" s="3">
        <v>24</v>
      </c>
      <c r="E175" s="4">
        <v>0</v>
      </c>
      <c r="F175" s="5">
        <f t="shared" si="2"/>
        <v>883.19999999999993</v>
      </c>
    </row>
    <row r="176" spans="1:6" x14ac:dyDescent="0.45">
      <c r="A176" s="6">
        <v>10312</v>
      </c>
      <c r="B176" s="3">
        <v>53</v>
      </c>
      <c r="C176" s="3">
        <v>26.2</v>
      </c>
      <c r="D176" s="3">
        <v>20</v>
      </c>
      <c r="E176" s="4">
        <v>0</v>
      </c>
      <c r="F176" s="5">
        <f t="shared" si="2"/>
        <v>524</v>
      </c>
    </row>
    <row r="177" spans="1:6" x14ac:dyDescent="0.45">
      <c r="A177" s="6">
        <v>10312</v>
      </c>
      <c r="B177" s="3">
        <v>75</v>
      </c>
      <c r="C177" s="3">
        <v>6.2</v>
      </c>
      <c r="D177" s="3">
        <v>10</v>
      </c>
      <c r="E177" s="4">
        <v>0</v>
      </c>
      <c r="F177" s="5">
        <f t="shared" si="2"/>
        <v>62</v>
      </c>
    </row>
    <row r="178" spans="1:6" x14ac:dyDescent="0.45">
      <c r="A178" s="6">
        <v>10313</v>
      </c>
      <c r="B178" s="3">
        <v>36</v>
      </c>
      <c r="C178" s="3">
        <v>15.2</v>
      </c>
      <c r="D178" s="3">
        <v>12</v>
      </c>
      <c r="E178" s="4">
        <v>0</v>
      </c>
      <c r="F178" s="5">
        <f t="shared" si="2"/>
        <v>182.39999999999998</v>
      </c>
    </row>
    <row r="179" spans="1:6" x14ac:dyDescent="0.45">
      <c r="A179" s="6">
        <v>10314</v>
      </c>
      <c r="B179" s="3">
        <v>32</v>
      </c>
      <c r="C179" s="3">
        <v>25.6</v>
      </c>
      <c r="D179" s="3">
        <v>40</v>
      </c>
      <c r="E179" s="4">
        <v>0.1</v>
      </c>
      <c r="F179" s="5">
        <f t="shared" si="2"/>
        <v>921.6</v>
      </c>
    </row>
    <row r="180" spans="1:6" x14ac:dyDescent="0.45">
      <c r="A180" s="6">
        <v>10314</v>
      </c>
      <c r="B180" s="3">
        <v>58</v>
      </c>
      <c r="C180" s="3">
        <v>10.6</v>
      </c>
      <c r="D180" s="3">
        <v>30</v>
      </c>
      <c r="E180" s="4">
        <v>0.1</v>
      </c>
      <c r="F180" s="5">
        <f t="shared" si="2"/>
        <v>286.2</v>
      </c>
    </row>
    <row r="181" spans="1:6" x14ac:dyDescent="0.45">
      <c r="A181" s="6">
        <v>10314</v>
      </c>
      <c r="B181" s="3">
        <v>62</v>
      </c>
      <c r="C181" s="3">
        <v>39.4</v>
      </c>
      <c r="D181" s="3">
        <v>25</v>
      </c>
      <c r="E181" s="4">
        <v>0.1</v>
      </c>
      <c r="F181" s="5">
        <f t="shared" si="2"/>
        <v>886.5</v>
      </c>
    </row>
    <row r="182" spans="1:6" x14ac:dyDescent="0.45">
      <c r="A182" s="6">
        <v>10315</v>
      </c>
      <c r="B182" s="3">
        <v>34</v>
      </c>
      <c r="C182" s="3">
        <v>11.2</v>
      </c>
      <c r="D182" s="3">
        <v>14</v>
      </c>
      <c r="E182" s="4">
        <v>0</v>
      </c>
      <c r="F182" s="5">
        <f t="shared" si="2"/>
        <v>156.79999999999998</v>
      </c>
    </row>
    <row r="183" spans="1:6" x14ac:dyDescent="0.45">
      <c r="A183" s="6">
        <v>10315</v>
      </c>
      <c r="B183" s="3">
        <v>70</v>
      </c>
      <c r="C183" s="3">
        <v>12</v>
      </c>
      <c r="D183" s="3">
        <v>30</v>
      </c>
      <c r="E183" s="4">
        <v>0</v>
      </c>
      <c r="F183" s="5">
        <f t="shared" si="2"/>
        <v>360</v>
      </c>
    </row>
    <row r="184" spans="1:6" x14ac:dyDescent="0.45">
      <c r="A184" s="6">
        <v>10316</v>
      </c>
      <c r="B184" s="3">
        <v>41</v>
      </c>
      <c r="C184" s="3">
        <v>7.7</v>
      </c>
      <c r="D184" s="3">
        <v>10</v>
      </c>
      <c r="E184" s="4">
        <v>0</v>
      </c>
      <c r="F184" s="5">
        <f t="shared" si="2"/>
        <v>77</v>
      </c>
    </row>
    <row r="185" spans="1:6" x14ac:dyDescent="0.45">
      <c r="A185" s="6">
        <v>10316</v>
      </c>
      <c r="B185" s="3">
        <v>62</v>
      </c>
      <c r="C185" s="3">
        <v>39.4</v>
      </c>
      <c r="D185" s="3">
        <v>70</v>
      </c>
      <c r="E185" s="4">
        <v>0</v>
      </c>
      <c r="F185" s="5">
        <f t="shared" si="2"/>
        <v>2758</v>
      </c>
    </row>
    <row r="186" spans="1:6" x14ac:dyDescent="0.45">
      <c r="A186" s="6">
        <v>10317</v>
      </c>
      <c r="B186" s="3">
        <v>1</v>
      </c>
      <c r="C186" s="3">
        <v>14.4</v>
      </c>
      <c r="D186" s="3">
        <v>20</v>
      </c>
      <c r="E186" s="4">
        <v>0</v>
      </c>
      <c r="F186" s="5">
        <f t="shared" si="2"/>
        <v>288</v>
      </c>
    </row>
    <row r="187" spans="1:6" x14ac:dyDescent="0.45">
      <c r="A187" s="6">
        <v>10318</v>
      </c>
      <c r="B187" s="3">
        <v>41</v>
      </c>
      <c r="C187" s="3">
        <v>7.7</v>
      </c>
      <c r="D187" s="3">
        <v>20</v>
      </c>
      <c r="E187" s="4">
        <v>0</v>
      </c>
      <c r="F187" s="5">
        <f t="shared" si="2"/>
        <v>154</v>
      </c>
    </row>
    <row r="188" spans="1:6" x14ac:dyDescent="0.45">
      <c r="A188" s="6">
        <v>10318</v>
      </c>
      <c r="B188" s="3">
        <v>76</v>
      </c>
      <c r="C188" s="3">
        <v>14.4</v>
      </c>
      <c r="D188" s="3">
        <v>6</v>
      </c>
      <c r="E188" s="4">
        <v>0</v>
      </c>
      <c r="F188" s="5">
        <f t="shared" si="2"/>
        <v>86.4</v>
      </c>
    </row>
    <row r="189" spans="1:6" x14ac:dyDescent="0.45">
      <c r="A189" s="6">
        <v>10319</v>
      </c>
      <c r="B189" s="3">
        <v>17</v>
      </c>
      <c r="C189" s="3">
        <v>31.2</v>
      </c>
      <c r="D189" s="3">
        <v>8</v>
      </c>
      <c r="E189" s="4">
        <v>0</v>
      </c>
      <c r="F189" s="5">
        <f t="shared" si="2"/>
        <v>249.6</v>
      </c>
    </row>
    <row r="190" spans="1:6" x14ac:dyDescent="0.45">
      <c r="A190" s="6">
        <v>10319</v>
      </c>
      <c r="B190" s="3">
        <v>28</v>
      </c>
      <c r="C190" s="3">
        <v>36.4</v>
      </c>
      <c r="D190" s="3">
        <v>14</v>
      </c>
      <c r="E190" s="4">
        <v>0</v>
      </c>
      <c r="F190" s="5">
        <f t="shared" si="2"/>
        <v>509.59999999999997</v>
      </c>
    </row>
    <row r="191" spans="1:6" x14ac:dyDescent="0.45">
      <c r="A191" s="6">
        <v>10319</v>
      </c>
      <c r="B191" s="3">
        <v>76</v>
      </c>
      <c r="C191" s="3">
        <v>14.4</v>
      </c>
      <c r="D191" s="3">
        <v>30</v>
      </c>
      <c r="E191" s="4">
        <v>0</v>
      </c>
      <c r="F191" s="5">
        <f t="shared" si="2"/>
        <v>432</v>
      </c>
    </row>
    <row r="192" spans="1:6" x14ac:dyDescent="0.45">
      <c r="A192" s="6">
        <v>10320</v>
      </c>
      <c r="B192" s="3">
        <v>71</v>
      </c>
      <c r="C192" s="3">
        <v>17.2</v>
      </c>
      <c r="D192" s="3">
        <v>30</v>
      </c>
      <c r="E192" s="4">
        <v>0</v>
      </c>
      <c r="F192" s="5">
        <f t="shared" si="2"/>
        <v>516</v>
      </c>
    </row>
    <row r="193" spans="1:6" x14ac:dyDescent="0.45">
      <c r="A193" s="6">
        <v>10321</v>
      </c>
      <c r="B193" s="3">
        <v>35</v>
      </c>
      <c r="C193" s="3">
        <v>14.4</v>
      </c>
      <c r="D193" s="3">
        <v>10</v>
      </c>
      <c r="E193" s="4">
        <v>0</v>
      </c>
      <c r="F193" s="5">
        <f t="shared" si="2"/>
        <v>144</v>
      </c>
    </row>
    <row r="194" spans="1:6" x14ac:dyDescent="0.45">
      <c r="A194" s="6">
        <v>10322</v>
      </c>
      <c r="B194" s="3">
        <v>52</v>
      </c>
      <c r="C194" s="3">
        <v>5.6</v>
      </c>
      <c r="D194" s="3">
        <v>20</v>
      </c>
      <c r="E194" s="4">
        <v>0</v>
      </c>
      <c r="F194" s="5">
        <f t="shared" ref="F194:F257" si="3">C194*D194*(1-E194)</f>
        <v>112</v>
      </c>
    </row>
    <row r="195" spans="1:6" x14ac:dyDescent="0.45">
      <c r="A195" s="6">
        <v>10323</v>
      </c>
      <c r="B195" s="3">
        <v>15</v>
      </c>
      <c r="C195" s="3">
        <v>12.4</v>
      </c>
      <c r="D195" s="3">
        <v>5</v>
      </c>
      <c r="E195" s="4">
        <v>0</v>
      </c>
      <c r="F195" s="5">
        <f t="shared" si="3"/>
        <v>62</v>
      </c>
    </row>
    <row r="196" spans="1:6" x14ac:dyDescent="0.45">
      <c r="A196" s="6">
        <v>10323</v>
      </c>
      <c r="B196" s="3">
        <v>25</v>
      </c>
      <c r="C196" s="3">
        <v>11.2</v>
      </c>
      <c r="D196" s="3">
        <v>4</v>
      </c>
      <c r="E196" s="4">
        <v>0</v>
      </c>
      <c r="F196" s="5">
        <f t="shared" si="3"/>
        <v>44.8</v>
      </c>
    </row>
    <row r="197" spans="1:6" x14ac:dyDescent="0.45">
      <c r="A197" s="6">
        <v>10323</v>
      </c>
      <c r="B197" s="3">
        <v>39</v>
      </c>
      <c r="C197" s="3">
        <v>14.4</v>
      </c>
      <c r="D197" s="3">
        <v>4</v>
      </c>
      <c r="E197" s="4">
        <v>0</v>
      </c>
      <c r="F197" s="5">
        <f t="shared" si="3"/>
        <v>57.6</v>
      </c>
    </row>
    <row r="198" spans="1:6" x14ac:dyDescent="0.45">
      <c r="A198" s="6">
        <v>10324</v>
      </c>
      <c r="B198" s="3">
        <v>16</v>
      </c>
      <c r="C198" s="3">
        <v>13.9</v>
      </c>
      <c r="D198" s="3">
        <v>21</v>
      </c>
      <c r="E198" s="4">
        <v>0.15</v>
      </c>
      <c r="F198" s="5">
        <f t="shared" si="3"/>
        <v>248.11500000000001</v>
      </c>
    </row>
    <row r="199" spans="1:6" x14ac:dyDescent="0.45">
      <c r="A199" s="6">
        <v>10324</v>
      </c>
      <c r="B199" s="3">
        <v>35</v>
      </c>
      <c r="C199" s="3">
        <v>14.4</v>
      </c>
      <c r="D199" s="3">
        <v>70</v>
      </c>
      <c r="E199" s="4">
        <v>0.15</v>
      </c>
      <c r="F199" s="5">
        <f t="shared" si="3"/>
        <v>856.8</v>
      </c>
    </row>
    <row r="200" spans="1:6" x14ac:dyDescent="0.45">
      <c r="A200" s="6">
        <v>10324</v>
      </c>
      <c r="B200" s="3">
        <v>46</v>
      </c>
      <c r="C200" s="3">
        <v>9.6</v>
      </c>
      <c r="D200" s="3">
        <v>30</v>
      </c>
      <c r="E200" s="4">
        <v>0</v>
      </c>
      <c r="F200" s="5">
        <f t="shared" si="3"/>
        <v>288</v>
      </c>
    </row>
    <row r="201" spans="1:6" x14ac:dyDescent="0.45">
      <c r="A201" s="6">
        <v>10324</v>
      </c>
      <c r="B201" s="3">
        <v>59</v>
      </c>
      <c r="C201" s="3">
        <v>44</v>
      </c>
      <c r="D201" s="3">
        <v>40</v>
      </c>
      <c r="E201" s="4">
        <v>0.15</v>
      </c>
      <c r="F201" s="5">
        <f t="shared" si="3"/>
        <v>1496</v>
      </c>
    </row>
    <row r="202" spans="1:6" x14ac:dyDescent="0.45">
      <c r="A202" s="6">
        <v>10324</v>
      </c>
      <c r="B202" s="3">
        <v>63</v>
      </c>
      <c r="C202" s="3">
        <v>35.1</v>
      </c>
      <c r="D202" s="3">
        <v>80</v>
      </c>
      <c r="E202" s="4">
        <v>0.15</v>
      </c>
      <c r="F202" s="5">
        <f t="shared" si="3"/>
        <v>2386.7999999999997</v>
      </c>
    </row>
    <row r="203" spans="1:6" x14ac:dyDescent="0.45">
      <c r="A203" s="6">
        <v>10325</v>
      </c>
      <c r="B203" s="3">
        <v>6</v>
      </c>
      <c r="C203" s="3">
        <v>20</v>
      </c>
      <c r="D203" s="3">
        <v>6</v>
      </c>
      <c r="E203" s="4">
        <v>0</v>
      </c>
      <c r="F203" s="5">
        <f t="shared" si="3"/>
        <v>120</v>
      </c>
    </row>
    <row r="204" spans="1:6" x14ac:dyDescent="0.45">
      <c r="A204" s="6">
        <v>10325</v>
      </c>
      <c r="B204" s="3">
        <v>13</v>
      </c>
      <c r="C204" s="3">
        <v>4.8</v>
      </c>
      <c r="D204" s="3">
        <v>12</v>
      </c>
      <c r="E204" s="4">
        <v>0</v>
      </c>
      <c r="F204" s="5">
        <f t="shared" si="3"/>
        <v>57.599999999999994</v>
      </c>
    </row>
    <row r="205" spans="1:6" x14ac:dyDescent="0.45">
      <c r="A205" s="6">
        <v>10325</v>
      </c>
      <c r="B205" s="3">
        <v>14</v>
      </c>
      <c r="C205" s="3">
        <v>18.600000000000001</v>
      </c>
      <c r="D205" s="3">
        <v>9</v>
      </c>
      <c r="E205" s="4">
        <v>0</v>
      </c>
      <c r="F205" s="5">
        <f t="shared" si="3"/>
        <v>167.4</v>
      </c>
    </row>
    <row r="206" spans="1:6" x14ac:dyDescent="0.45">
      <c r="A206" s="6">
        <v>10325</v>
      </c>
      <c r="B206" s="3">
        <v>31</v>
      </c>
      <c r="C206" s="3">
        <v>10</v>
      </c>
      <c r="D206" s="3">
        <v>4</v>
      </c>
      <c r="E206" s="4">
        <v>0</v>
      </c>
      <c r="F206" s="5">
        <f t="shared" si="3"/>
        <v>40</v>
      </c>
    </row>
    <row r="207" spans="1:6" x14ac:dyDescent="0.45">
      <c r="A207" s="6">
        <v>10325</v>
      </c>
      <c r="B207" s="3">
        <v>72</v>
      </c>
      <c r="C207" s="3">
        <v>27.8</v>
      </c>
      <c r="D207" s="3">
        <v>40</v>
      </c>
      <c r="E207" s="4">
        <v>0</v>
      </c>
      <c r="F207" s="5">
        <f t="shared" si="3"/>
        <v>1112</v>
      </c>
    </row>
    <row r="208" spans="1:6" x14ac:dyDescent="0.45">
      <c r="A208" s="6">
        <v>10326</v>
      </c>
      <c r="B208" s="3">
        <v>4</v>
      </c>
      <c r="C208" s="3">
        <v>17.600000000000001</v>
      </c>
      <c r="D208" s="3">
        <v>24</v>
      </c>
      <c r="E208" s="4">
        <v>0</v>
      </c>
      <c r="F208" s="5">
        <f t="shared" si="3"/>
        <v>422.40000000000003</v>
      </c>
    </row>
    <row r="209" spans="1:6" x14ac:dyDescent="0.45">
      <c r="A209" s="6">
        <v>10326</v>
      </c>
      <c r="B209" s="3">
        <v>57</v>
      </c>
      <c r="C209" s="3">
        <v>15.6</v>
      </c>
      <c r="D209" s="3">
        <v>16</v>
      </c>
      <c r="E209" s="4">
        <v>0</v>
      </c>
      <c r="F209" s="5">
        <f t="shared" si="3"/>
        <v>249.6</v>
      </c>
    </row>
    <row r="210" spans="1:6" x14ac:dyDescent="0.45">
      <c r="A210" s="6">
        <v>10326</v>
      </c>
      <c r="B210" s="3">
        <v>75</v>
      </c>
      <c r="C210" s="3">
        <v>6.2</v>
      </c>
      <c r="D210" s="3">
        <v>50</v>
      </c>
      <c r="E210" s="4">
        <v>0</v>
      </c>
      <c r="F210" s="5">
        <f t="shared" si="3"/>
        <v>310</v>
      </c>
    </row>
    <row r="211" spans="1:6" x14ac:dyDescent="0.45">
      <c r="A211" s="6">
        <v>10327</v>
      </c>
      <c r="B211" s="3">
        <v>2</v>
      </c>
      <c r="C211" s="3">
        <v>15.2</v>
      </c>
      <c r="D211" s="3">
        <v>25</v>
      </c>
      <c r="E211" s="4">
        <v>0.2</v>
      </c>
      <c r="F211" s="5">
        <f t="shared" si="3"/>
        <v>304</v>
      </c>
    </row>
    <row r="212" spans="1:6" x14ac:dyDescent="0.45">
      <c r="A212" s="6">
        <v>10327</v>
      </c>
      <c r="B212" s="3">
        <v>11</v>
      </c>
      <c r="C212" s="3">
        <v>16.8</v>
      </c>
      <c r="D212" s="3">
        <v>50</v>
      </c>
      <c r="E212" s="4">
        <v>0.2</v>
      </c>
      <c r="F212" s="5">
        <f t="shared" si="3"/>
        <v>672</v>
      </c>
    </row>
    <row r="213" spans="1:6" x14ac:dyDescent="0.45">
      <c r="A213" s="6">
        <v>10327</v>
      </c>
      <c r="B213" s="3">
        <v>30</v>
      </c>
      <c r="C213" s="3">
        <v>20.7</v>
      </c>
      <c r="D213" s="3">
        <v>35</v>
      </c>
      <c r="E213" s="4">
        <v>0.2</v>
      </c>
      <c r="F213" s="5">
        <f t="shared" si="3"/>
        <v>579.6</v>
      </c>
    </row>
    <row r="214" spans="1:6" x14ac:dyDescent="0.45">
      <c r="A214" s="6">
        <v>10327</v>
      </c>
      <c r="B214" s="3">
        <v>58</v>
      </c>
      <c r="C214" s="3">
        <v>10.6</v>
      </c>
      <c r="D214" s="3">
        <v>30</v>
      </c>
      <c r="E214" s="4">
        <v>0.2</v>
      </c>
      <c r="F214" s="5">
        <f t="shared" si="3"/>
        <v>254.4</v>
      </c>
    </row>
    <row r="215" spans="1:6" x14ac:dyDescent="0.45">
      <c r="A215" s="6">
        <v>10328</v>
      </c>
      <c r="B215" s="3">
        <v>59</v>
      </c>
      <c r="C215" s="3">
        <v>44</v>
      </c>
      <c r="D215" s="3">
        <v>9</v>
      </c>
      <c r="E215" s="4">
        <v>0</v>
      </c>
      <c r="F215" s="5">
        <f t="shared" si="3"/>
        <v>396</v>
      </c>
    </row>
    <row r="216" spans="1:6" x14ac:dyDescent="0.45">
      <c r="A216" s="6">
        <v>10328</v>
      </c>
      <c r="B216" s="3">
        <v>65</v>
      </c>
      <c r="C216" s="3">
        <v>16.8</v>
      </c>
      <c r="D216" s="3">
        <v>40</v>
      </c>
      <c r="E216" s="4">
        <v>0</v>
      </c>
      <c r="F216" s="5">
        <f t="shared" si="3"/>
        <v>672</v>
      </c>
    </row>
    <row r="217" spans="1:6" x14ac:dyDescent="0.45">
      <c r="A217" s="6">
        <v>10328</v>
      </c>
      <c r="B217" s="3">
        <v>68</v>
      </c>
      <c r="C217" s="3">
        <v>10</v>
      </c>
      <c r="D217" s="3">
        <v>10</v>
      </c>
      <c r="E217" s="4">
        <v>0</v>
      </c>
      <c r="F217" s="5">
        <f t="shared" si="3"/>
        <v>100</v>
      </c>
    </row>
    <row r="218" spans="1:6" x14ac:dyDescent="0.45">
      <c r="A218" s="6">
        <v>10329</v>
      </c>
      <c r="B218" s="3">
        <v>19</v>
      </c>
      <c r="C218" s="3">
        <v>7.3</v>
      </c>
      <c r="D218" s="3">
        <v>10</v>
      </c>
      <c r="E218" s="4">
        <v>0.05</v>
      </c>
      <c r="F218" s="5">
        <f t="shared" si="3"/>
        <v>69.349999999999994</v>
      </c>
    </row>
    <row r="219" spans="1:6" x14ac:dyDescent="0.45">
      <c r="A219" s="6">
        <v>10329</v>
      </c>
      <c r="B219" s="3">
        <v>30</v>
      </c>
      <c r="C219" s="3">
        <v>20.7</v>
      </c>
      <c r="D219" s="3">
        <v>8</v>
      </c>
      <c r="E219" s="4">
        <v>0.05</v>
      </c>
      <c r="F219" s="5">
        <f t="shared" si="3"/>
        <v>157.32</v>
      </c>
    </row>
    <row r="220" spans="1:6" x14ac:dyDescent="0.45">
      <c r="A220" s="6">
        <v>10329</v>
      </c>
      <c r="B220" s="3">
        <v>38</v>
      </c>
      <c r="C220" s="3">
        <v>210.8</v>
      </c>
      <c r="D220" s="3">
        <v>20</v>
      </c>
      <c r="E220" s="4">
        <v>0.05</v>
      </c>
      <c r="F220" s="5">
        <f t="shared" si="3"/>
        <v>4005.2</v>
      </c>
    </row>
    <row r="221" spans="1:6" x14ac:dyDescent="0.45">
      <c r="A221" s="6">
        <v>10329</v>
      </c>
      <c r="B221" s="3">
        <v>56</v>
      </c>
      <c r="C221" s="3">
        <v>30.4</v>
      </c>
      <c r="D221" s="3">
        <v>12</v>
      </c>
      <c r="E221" s="4">
        <v>0.05</v>
      </c>
      <c r="F221" s="5">
        <f t="shared" si="3"/>
        <v>346.55999999999995</v>
      </c>
    </row>
    <row r="222" spans="1:6" x14ac:dyDescent="0.45">
      <c r="A222" s="6">
        <v>10330</v>
      </c>
      <c r="B222" s="3">
        <v>26</v>
      </c>
      <c r="C222" s="3">
        <v>24.9</v>
      </c>
      <c r="D222" s="3">
        <v>50</v>
      </c>
      <c r="E222" s="4">
        <v>0.15</v>
      </c>
      <c r="F222" s="5">
        <f t="shared" si="3"/>
        <v>1058.25</v>
      </c>
    </row>
    <row r="223" spans="1:6" x14ac:dyDescent="0.45">
      <c r="A223" s="6">
        <v>10330</v>
      </c>
      <c r="B223" s="3">
        <v>72</v>
      </c>
      <c r="C223" s="3">
        <v>27.8</v>
      </c>
      <c r="D223" s="3">
        <v>25</v>
      </c>
      <c r="E223" s="4">
        <v>0.15</v>
      </c>
      <c r="F223" s="5">
        <f t="shared" si="3"/>
        <v>590.75</v>
      </c>
    </row>
    <row r="224" spans="1:6" x14ac:dyDescent="0.45">
      <c r="A224" s="6">
        <v>10331</v>
      </c>
      <c r="B224" s="3">
        <v>54</v>
      </c>
      <c r="C224" s="3">
        <v>5.9</v>
      </c>
      <c r="D224" s="3">
        <v>15</v>
      </c>
      <c r="E224" s="4">
        <v>0</v>
      </c>
      <c r="F224" s="5">
        <f t="shared" si="3"/>
        <v>88.5</v>
      </c>
    </row>
    <row r="225" spans="1:6" x14ac:dyDescent="0.45">
      <c r="A225" s="6">
        <v>10332</v>
      </c>
      <c r="B225" s="3">
        <v>18</v>
      </c>
      <c r="C225" s="3">
        <v>50</v>
      </c>
      <c r="D225" s="3">
        <v>40</v>
      </c>
      <c r="E225" s="4">
        <v>0.2</v>
      </c>
      <c r="F225" s="5">
        <f t="shared" si="3"/>
        <v>1600</v>
      </c>
    </row>
    <row r="226" spans="1:6" x14ac:dyDescent="0.45">
      <c r="A226" s="6">
        <v>10332</v>
      </c>
      <c r="B226" s="3">
        <v>42</v>
      </c>
      <c r="C226" s="3">
        <v>11.2</v>
      </c>
      <c r="D226" s="3">
        <v>10</v>
      </c>
      <c r="E226" s="4">
        <v>0.2</v>
      </c>
      <c r="F226" s="5">
        <f t="shared" si="3"/>
        <v>89.600000000000009</v>
      </c>
    </row>
    <row r="227" spans="1:6" x14ac:dyDescent="0.45">
      <c r="A227" s="6">
        <v>10332</v>
      </c>
      <c r="B227" s="3">
        <v>47</v>
      </c>
      <c r="C227" s="3">
        <v>7.6</v>
      </c>
      <c r="D227" s="3">
        <v>16</v>
      </c>
      <c r="E227" s="4">
        <v>0.2</v>
      </c>
      <c r="F227" s="5">
        <f t="shared" si="3"/>
        <v>97.28</v>
      </c>
    </row>
    <row r="228" spans="1:6" x14ac:dyDescent="0.45">
      <c r="A228" s="6">
        <v>10333</v>
      </c>
      <c r="B228" s="3">
        <v>14</v>
      </c>
      <c r="C228" s="3">
        <v>18.600000000000001</v>
      </c>
      <c r="D228" s="3">
        <v>10</v>
      </c>
      <c r="E228" s="4">
        <v>0</v>
      </c>
      <c r="F228" s="5">
        <f t="shared" si="3"/>
        <v>186</v>
      </c>
    </row>
    <row r="229" spans="1:6" x14ac:dyDescent="0.45">
      <c r="A229" s="6">
        <v>10333</v>
      </c>
      <c r="B229" s="3">
        <v>21</v>
      </c>
      <c r="C229" s="3">
        <v>8</v>
      </c>
      <c r="D229" s="3">
        <v>10</v>
      </c>
      <c r="E229" s="4">
        <v>0.1</v>
      </c>
      <c r="F229" s="5">
        <f t="shared" si="3"/>
        <v>72</v>
      </c>
    </row>
    <row r="230" spans="1:6" x14ac:dyDescent="0.45">
      <c r="A230" s="6">
        <v>10333</v>
      </c>
      <c r="B230" s="3">
        <v>71</v>
      </c>
      <c r="C230" s="3">
        <v>17.2</v>
      </c>
      <c r="D230" s="3">
        <v>40</v>
      </c>
      <c r="E230" s="4">
        <v>0.1</v>
      </c>
      <c r="F230" s="5">
        <f t="shared" si="3"/>
        <v>619.20000000000005</v>
      </c>
    </row>
    <row r="231" spans="1:6" x14ac:dyDescent="0.45">
      <c r="A231" s="6">
        <v>10334</v>
      </c>
      <c r="B231" s="3">
        <v>52</v>
      </c>
      <c r="C231" s="3">
        <v>5.6</v>
      </c>
      <c r="D231" s="3">
        <v>8</v>
      </c>
      <c r="E231" s="4">
        <v>0</v>
      </c>
      <c r="F231" s="5">
        <f t="shared" si="3"/>
        <v>44.8</v>
      </c>
    </row>
    <row r="232" spans="1:6" x14ac:dyDescent="0.45">
      <c r="A232" s="6">
        <v>10334</v>
      </c>
      <c r="B232" s="3">
        <v>68</v>
      </c>
      <c r="C232" s="3">
        <v>10</v>
      </c>
      <c r="D232" s="3">
        <v>10</v>
      </c>
      <c r="E232" s="4">
        <v>0</v>
      </c>
      <c r="F232" s="5">
        <f t="shared" si="3"/>
        <v>100</v>
      </c>
    </row>
    <row r="233" spans="1:6" x14ac:dyDescent="0.45">
      <c r="A233" s="6">
        <v>10335</v>
      </c>
      <c r="B233" s="3">
        <v>2</v>
      </c>
      <c r="C233" s="3">
        <v>15.2</v>
      </c>
      <c r="D233" s="3">
        <v>7</v>
      </c>
      <c r="E233" s="4">
        <v>0.2</v>
      </c>
      <c r="F233" s="5">
        <f t="shared" si="3"/>
        <v>85.12</v>
      </c>
    </row>
    <row r="234" spans="1:6" x14ac:dyDescent="0.45">
      <c r="A234" s="6">
        <v>10335</v>
      </c>
      <c r="B234" s="3">
        <v>31</v>
      </c>
      <c r="C234" s="3">
        <v>10</v>
      </c>
      <c r="D234" s="3">
        <v>25</v>
      </c>
      <c r="E234" s="4">
        <v>0.2</v>
      </c>
      <c r="F234" s="5">
        <f t="shared" si="3"/>
        <v>200</v>
      </c>
    </row>
    <row r="235" spans="1:6" x14ac:dyDescent="0.45">
      <c r="A235" s="6">
        <v>10335</v>
      </c>
      <c r="B235" s="3">
        <v>32</v>
      </c>
      <c r="C235" s="3">
        <v>25.6</v>
      </c>
      <c r="D235" s="3">
        <v>6</v>
      </c>
      <c r="E235" s="4">
        <v>0.2</v>
      </c>
      <c r="F235" s="5">
        <f t="shared" si="3"/>
        <v>122.88000000000002</v>
      </c>
    </row>
    <row r="236" spans="1:6" x14ac:dyDescent="0.45">
      <c r="A236" s="6">
        <v>10335</v>
      </c>
      <c r="B236" s="3">
        <v>51</v>
      </c>
      <c r="C236" s="3">
        <v>42.4</v>
      </c>
      <c r="D236" s="3">
        <v>48</v>
      </c>
      <c r="E236" s="4">
        <v>0.2</v>
      </c>
      <c r="F236" s="5">
        <f t="shared" si="3"/>
        <v>1628.1599999999999</v>
      </c>
    </row>
    <row r="237" spans="1:6" x14ac:dyDescent="0.45">
      <c r="A237" s="6">
        <v>10336</v>
      </c>
      <c r="B237" s="3">
        <v>4</v>
      </c>
      <c r="C237" s="3">
        <v>17.600000000000001</v>
      </c>
      <c r="D237" s="3">
        <v>18</v>
      </c>
      <c r="E237" s="4">
        <v>0.1</v>
      </c>
      <c r="F237" s="5">
        <f t="shared" si="3"/>
        <v>285.12</v>
      </c>
    </row>
    <row r="238" spans="1:6" x14ac:dyDescent="0.45">
      <c r="A238" s="6">
        <v>10337</v>
      </c>
      <c r="B238" s="3">
        <v>23</v>
      </c>
      <c r="C238" s="3">
        <v>7.2</v>
      </c>
      <c r="D238" s="3">
        <v>40</v>
      </c>
      <c r="E238" s="4">
        <v>0</v>
      </c>
      <c r="F238" s="5">
        <f t="shared" si="3"/>
        <v>288</v>
      </c>
    </row>
    <row r="239" spans="1:6" x14ac:dyDescent="0.45">
      <c r="A239" s="6">
        <v>10337</v>
      </c>
      <c r="B239" s="3">
        <v>26</v>
      </c>
      <c r="C239" s="3">
        <v>24.9</v>
      </c>
      <c r="D239" s="3">
        <v>24</v>
      </c>
      <c r="E239" s="4">
        <v>0</v>
      </c>
      <c r="F239" s="5">
        <f t="shared" si="3"/>
        <v>597.59999999999991</v>
      </c>
    </row>
    <row r="240" spans="1:6" x14ac:dyDescent="0.45">
      <c r="A240" s="6">
        <v>10337</v>
      </c>
      <c r="B240" s="3">
        <v>36</v>
      </c>
      <c r="C240" s="3">
        <v>15.2</v>
      </c>
      <c r="D240" s="3">
        <v>20</v>
      </c>
      <c r="E240" s="4">
        <v>0</v>
      </c>
      <c r="F240" s="5">
        <f t="shared" si="3"/>
        <v>304</v>
      </c>
    </row>
    <row r="241" spans="1:6" x14ac:dyDescent="0.45">
      <c r="A241" s="6">
        <v>10337</v>
      </c>
      <c r="B241" s="3">
        <v>37</v>
      </c>
      <c r="C241" s="3">
        <v>20.8</v>
      </c>
      <c r="D241" s="3">
        <v>28</v>
      </c>
      <c r="E241" s="4">
        <v>0</v>
      </c>
      <c r="F241" s="5">
        <f t="shared" si="3"/>
        <v>582.4</v>
      </c>
    </row>
    <row r="242" spans="1:6" x14ac:dyDescent="0.45">
      <c r="A242" s="6">
        <v>10337</v>
      </c>
      <c r="B242" s="3">
        <v>72</v>
      </c>
      <c r="C242" s="3">
        <v>27.8</v>
      </c>
      <c r="D242" s="3">
        <v>25</v>
      </c>
      <c r="E242" s="4">
        <v>0</v>
      </c>
      <c r="F242" s="5">
        <f t="shared" si="3"/>
        <v>695</v>
      </c>
    </row>
    <row r="243" spans="1:6" x14ac:dyDescent="0.45">
      <c r="A243" s="6">
        <v>10338</v>
      </c>
      <c r="B243" s="3">
        <v>17</v>
      </c>
      <c r="C243" s="3">
        <v>31.2</v>
      </c>
      <c r="D243" s="3">
        <v>20</v>
      </c>
      <c r="E243" s="4">
        <v>0</v>
      </c>
      <c r="F243" s="5">
        <f t="shared" si="3"/>
        <v>624</v>
      </c>
    </row>
    <row r="244" spans="1:6" x14ac:dyDescent="0.45">
      <c r="A244" s="6">
        <v>10338</v>
      </c>
      <c r="B244" s="3">
        <v>30</v>
      </c>
      <c r="C244" s="3">
        <v>20.7</v>
      </c>
      <c r="D244" s="3">
        <v>15</v>
      </c>
      <c r="E244" s="4">
        <v>0</v>
      </c>
      <c r="F244" s="5">
        <f t="shared" si="3"/>
        <v>310.5</v>
      </c>
    </row>
    <row r="245" spans="1:6" x14ac:dyDescent="0.45">
      <c r="A245" s="6">
        <v>10339</v>
      </c>
      <c r="B245" s="3">
        <v>4</v>
      </c>
      <c r="C245" s="3">
        <v>17.600000000000001</v>
      </c>
      <c r="D245" s="3">
        <v>10</v>
      </c>
      <c r="E245" s="4">
        <v>0</v>
      </c>
      <c r="F245" s="5">
        <f t="shared" si="3"/>
        <v>176</v>
      </c>
    </row>
    <row r="246" spans="1:6" x14ac:dyDescent="0.45">
      <c r="A246" s="6">
        <v>10339</v>
      </c>
      <c r="B246" s="3">
        <v>17</v>
      </c>
      <c r="C246" s="3">
        <v>31.2</v>
      </c>
      <c r="D246" s="3">
        <v>70</v>
      </c>
      <c r="E246" s="4">
        <v>0.05</v>
      </c>
      <c r="F246" s="5">
        <f t="shared" si="3"/>
        <v>2074.7999999999997</v>
      </c>
    </row>
    <row r="247" spans="1:6" x14ac:dyDescent="0.45">
      <c r="A247" s="6">
        <v>10339</v>
      </c>
      <c r="B247" s="3">
        <v>62</v>
      </c>
      <c r="C247" s="3">
        <v>39.4</v>
      </c>
      <c r="D247" s="3">
        <v>28</v>
      </c>
      <c r="E247" s="4">
        <v>0</v>
      </c>
      <c r="F247" s="5">
        <f t="shared" si="3"/>
        <v>1103.2</v>
      </c>
    </row>
    <row r="248" spans="1:6" x14ac:dyDescent="0.45">
      <c r="A248" s="6">
        <v>10340</v>
      </c>
      <c r="B248" s="3">
        <v>18</v>
      </c>
      <c r="C248" s="3">
        <v>50</v>
      </c>
      <c r="D248" s="3">
        <v>20</v>
      </c>
      <c r="E248" s="4">
        <v>0.05</v>
      </c>
      <c r="F248" s="5">
        <f t="shared" si="3"/>
        <v>950</v>
      </c>
    </row>
    <row r="249" spans="1:6" x14ac:dyDescent="0.45">
      <c r="A249" s="6">
        <v>10340</v>
      </c>
      <c r="B249" s="3">
        <v>41</v>
      </c>
      <c r="C249" s="3">
        <v>7.7</v>
      </c>
      <c r="D249" s="3">
        <v>12</v>
      </c>
      <c r="E249" s="4">
        <v>0.05</v>
      </c>
      <c r="F249" s="5">
        <f t="shared" si="3"/>
        <v>87.78</v>
      </c>
    </row>
    <row r="250" spans="1:6" x14ac:dyDescent="0.45">
      <c r="A250" s="6">
        <v>10340</v>
      </c>
      <c r="B250" s="3">
        <v>43</v>
      </c>
      <c r="C250" s="3">
        <v>36.799999999999997</v>
      </c>
      <c r="D250" s="3">
        <v>40</v>
      </c>
      <c r="E250" s="4">
        <v>0.05</v>
      </c>
      <c r="F250" s="5">
        <f t="shared" si="3"/>
        <v>1398.3999999999999</v>
      </c>
    </row>
    <row r="251" spans="1:6" x14ac:dyDescent="0.45">
      <c r="A251" s="6">
        <v>10341</v>
      </c>
      <c r="B251" s="3">
        <v>33</v>
      </c>
      <c r="C251" s="3">
        <v>2</v>
      </c>
      <c r="D251" s="3">
        <v>8</v>
      </c>
      <c r="E251" s="4">
        <v>0</v>
      </c>
      <c r="F251" s="5">
        <f t="shared" si="3"/>
        <v>16</v>
      </c>
    </row>
    <row r="252" spans="1:6" x14ac:dyDescent="0.45">
      <c r="A252" s="6">
        <v>10341</v>
      </c>
      <c r="B252" s="3">
        <v>59</v>
      </c>
      <c r="C252" s="3">
        <v>44</v>
      </c>
      <c r="D252" s="3">
        <v>9</v>
      </c>
      <c r="E252" s="4">
        <v>0.15</v>
      </c>
      <c r="F252" s="5">
        <f t="shared" si="3"/>
        <v>336.59999999999997</v>
      </c>
    </row>
    <row r="253" spans="1:6" x14ac:dyDescent="0.45">
      <c r="A253" s="6">
        <v>10342</v>
      </c>
      <c r="B253" s="3">
        <v>2</v>
      </c>
      <c r="C253" s="3">
        <v>15.2</v>
      </c>
      <c r="D253" s="3">
        <v>24</v>
      </c>
      <c r="E253" s="4">
        <v>0.2</v>
      </c>
      <c r="F253" s="5">
        <f t="shared" si="3"/>
        <v>291.83999999999997</v>
      </c>
    </row>
    <row r="254" spans="1:6" x14ac:dyDescent="0.45">
      <c r="A254" s="6">
        <v>10342</v>
      </c>
      <c r="B254" s="3">
        <v>31</v>
      </c>
      <c r="C254" s="3">
        <v>10</v>
      </c>
      <c r="D254" s="3">
        <v>56</v>
      </c>
      <c r="E254" s="4">
        <v>0.2</v>
      </c>
      <c r="F254" s="5">
        <f t="shared" si="3"/>
        <v>448</v>
      </c>
    </row>
    <row r="255" spans="1:6" x14ac:dyDescent="0.45">
      <c r="A255" s="6">
        <v>10342</v>
      </c>
      <c r="B255" s="3">
        <v>36</v>
      </c>
      <c r="C255" s="3">
        <v>15.2</v>
      </c>
      <c r="D255" s="3">
        <v>40</v>
      </c>
      <c r="E255" s="4">
        <v>0.2</v>
      </c>
      <c r="F255" s="5">
        <f t="shared" si="3"/>
        <v>486.40000000000003</v>
      </c>
    </row>
    <row r="256" spans="1:6" x14ac:dyDescent="0.45">
      <c r="A256" s="6">
        <v>10342</v>
      </c>
      <c r="B256" s="3">
        <v>55</v>
      </c>
      <c r="C256" s="3">
        <v>19.2</v>
      </c>
      <c r="D256" s="3">
        <v>40</v>
      </c>
      <c r="E256" s="4">
        <v>0.2</v>
      </c>
      <c r="F256" s="5">
        <f t="shared" si="3"/>
        <v>614.40000000000009</v>
      </c>
    </row>
    <row r="257" spans="1:6" x14ac:dyDescent="0.45">
      <c r="A257" s="6">
        <v>10343</v>
      </c>
      <c r="B257" s="3">
        <v>64</v>
      </c>
      <c r="C257" s="3">
        <v>26.6</v>
      </c>
      <c r="D257" s="3">
        <v>50</v>
      </c>
      <c r="E257" s="4">
        <v>0</v>
      </c>
      <c r="F257" s="5">
        <f t="shared" si="3"/>
        <v>1330</v>
      </c>
    </row>
    <row r="258" spans="1:6" x14ac:dyDescent="0.45">
      <c r="A258" s="6">
        <v>10343</v>
      </c>
      <c r="B258" s="3">
        <v>68</v>
      </c>
      <c r="C258" s="3">
        <v>10</v>
      </c>
      <c r="D258" s="3">
        <v>4</v>
      </c>
      <c r="E258" s="4">
        <v>0.05</v>
      </c>
      <c r="F258" s="5">
        <f t="shared" ref="F258:F321" si="4">C258*D258*(1-E258)</f>
        <v>38</v>
      </c>
    </row>
    <row r="259" spans="1:6" x14ac:dyDescent="0.45">
      <c r="A259" s="6">
        <v>10343</v>
      </c>
      <c r="B259" s="3">
        <v>76</v>
      </c>
      <c r="C259" s="3">
        <v>14.4</v>
      </c>
      <c r="D259" s="3">
        <v>15</v>
      </c>
      <c r="E259" s="4">
        <v>0</v>
      </c>
      <c r="F259" s="5">
        <f t="shared" si="4"/>
        <v>216</v>
      </c>
    </row>
    <row r="260" spans="1:6" x14ac:dyDescent="0.45">
      <c r="A260" s="6">
        <v>10344</v>
      </c>
      <c r="B260" s="3">
        <v>4</v>
      </c>
      <c r="C260" s="3">
        <v>17.600000000000001</v>
      </c>
      <c r="D260" s="3">
        <v>35</v>
      </c>
      <c r="E260" s="4">
        <v>0</v>
      </c>
      <c r="F260" s="5">
        <f t="shared" si="4"/>
        <v>616</v>
      </c>
    </row>
    <row r="261" spans="1:6" x14ac:dyDescent="0.45">
      <c r="A261" s="6">
        <v>10344</v>
      </c>
      <c r="B261" s="3">
        <v>8</v>
      </c>
      <c r="C261" s="3">
        <v>32</v>
      </c>
      <c r="D261" s="3">
        <v>70</v>
      </c>
      <c r="E261" s="4">
        <v>0.25</v>
      </c>
      <c r="F261" s="5">
        <f t="shared" si="4"/>
        <v>1680</v>
      </c>
    </row>
    <row r="262" spans="1:6" x14ac:dyDescent="0.45">
      <c r="A262" s="6">
        <v>10345</v>
      </c>
      <c r="B262" s="3">
        <v>8</v>
      </c>
      <c r="C262" s="3">
        <v>32</v>
      </c>
      <c r="D262" s="3">
        <v>70</v>
      </c>
      <c r="E262" s="4">
        <v>0</v>
      </c>
      <c r="F262" s="5">
        <f t="shared" si="4"/>
        <v>2240</v>
      </c>
    </row>
    <row r="263" spans="1:6" x14ac:dyDescent="0.45">
      <c r="A263" s="6">
        <v>10345</v>
      </c>
      <c r="B263" s="3">
        <v>19</v>
      </c>
      <c r="C263" s="3">
        <v>7.3</v>
      </c>
      <c r="D263" s="3">
        <v>80</v>
      </c>
      <c r="E263" s="4">
        <v>0</v>
      </c>
      <c r="F263" s="5">
        <f t="shared" si="4"/>
        <v>584</v>
      </c>
    </row>
    <row r="264" spans="1:6" x14ac:dyDescent="0.45">
      <c r="A264" s="6">
        <v>10345</v>
      </c>
      <c r="B264" s="3">
        <v>42</v>
      </c>
      <c r="C264" s="3">
        <v>11.2</v>
      </c>
      <c r="D264" s="3">
        <v>9</v>
      </c>
      <c r="E264" s="4">
        <v>0</v>
      </c>
      <c r="F264" s="5">
        <f t="shared" si="4"/>
        <v>100.8</v>
      </c>
    </row>
    <row r="265" spans="1:6" x14ac:dyDescent="0.45">
      <c r="A265" s="6">
        <v>10346</v>
      </c>
      <c r="B265" s="3">
        <v>17</v>
      </c>
      <c r="C265" s="3">
        <v>31.2</v>
      </c>
      <c r="D265" s="3">
        <v>36</v>
      </c>
      <c r="E265" s="4">
        <v>0.1</v>
      </c>
      <c r="F265" s="5">
        <f t="shared" si="4"/>
        <v>1010.8800000000001</v>
      </c>
    </row>
    <row r="266" spans="1:6" x14ac:dyDescent="0.45">
      <c r="A266" s="6">
        <v>10346</v>
      </c>
      <c r="B266" s="3">
        <v>56</v>
      </c>
      <c r="C266" s="3">
        <v>30.4</v>
      </c>
      <c r="D266" s="3">
        <v>20</v>
      </c>
      <c r="E266" s="4">
        <v>0</v>
      </c>
      <c r="F266" s="5">
        <f t="shared" si="4"/>
        <v>608</v>
      </c>
    </row>
    <row r="267" spans="1:6" x14ac:dyDescent="0.45">
      <c r="A267" s="6">
        <v>10347</v>
      </c>
      <c r="B267" s="3">
        <v>25</v>
      </c>
      <c r="C267" s="3">
        <v>11.2</v>
      </c>
      <c r="D267" s="3">
        <v>10</v>
      </c>
      <c r="E267" s="4">
        <v>0</v>
      </c>
      <c r="F267" s="5">
        <f t="shared" si="4"/>
        <v>112</v>
      </c>
    </row>
    <row r="268" spans="1:6" x14ac:dyDescent="0.45">
      <c r="A268" s="6">
        <v>10347</v>
      </c>
      <c r="B268" s="3">
        <v>39</v>
      </c>
      <c r="C268" s="3">
        <v>14.4</v>
      </c>
      <c r="D268" s="3">
        <v>50</v>
      </c>
      <c r="E268" s="4">
        <v>0.15</v>
      </c>
      <c r="F268" s="5">
        <f t="shared" si="4"/>
        <v>612</v>
      </c>
    </row>
    <row r="269" spans="1:6" x14ac:dyDescent="0.45">
      <c r="A269" s="6">
        <v>10347</v>
      </c>
      <c r="B269" s="3">
        <v>40</v>
      </c>
      <c r="C269" s="3">
        <v>14.7</v>
      </c>
      <c r="D269" s="3">
        <v>4</v>
      </c>
      <c r="E269" s="4">
        <v>0</v>
      </c>
      <c r="F269" s="5">
        <f t="shared" si="4"/>
        <v>58.8</v>
      </c>
    </row>
    <row r="270" spans="1:6" x14ac:dyDescent="0.45">
      <c r="A270" s="6">
        <v>10347</v>
      </c>
      <c r="B270" s="3">
        <v>75</v>
      </c>
      <c r="C270" s="3">
        <v>6.2</v>
      </c>
      <c r="D270" s="3">
        <v>6</v>
      </c>
      <c r="E270" s="4">
        <v>0.15</v>
      </c>
      <c r="F270" s="5">
        <f t="shared" si="4"/>
        <v>31.62</v>
      </c>
    </row>
    <row r="271" spans="1:6" x14ac:dyDescent="0.45">
      <c r="A271" s="6">
        <v>10348</v>
      </c>
      <c r="B271" s="3">
        <v>1</v>
      </c>
      <c r="C271" s="3">
        <v>14.4</v>
      </c>
      <c r="D271" s="3">
        <v>15</v>
      </c>
      <c r="E271" s="4">
        <v>0.15</v>
      </c>
      <c r="F271" s="5">
        <f t="shared" si="4"/>
        <v>183.6</v>
      </c>
    </row>
    <row r="272" spans="1:6" x14ac:dyDescent="0.45">
      <c r="A272" s="6">
        <v>10348</v>
      </c>
      <c r="B272" s="3">
        <v>23</v>
      </c>
      <c r="C272" s="3">
        <v>7.2</v>
      </c>
      <c r="D272" s="3">
        <v>25</v>
      </c>
      <c r="E272" s="4">
        <v>0</v>
      </c>
      <c r="F272" s="5">
        <f t="shared" si="4"/>
        <v>180</v>
      </c>
    </row>
    <row r="273" spans="1:6" x14ac:dyDescent="0.45">
      <c r="A273" s="6">
        <v>10349</v>
      </c>
      <c r="B273" s="3">
        <v>54</v>
      </c>
      <c r="C273" s="3">
        <v>5.9</v>
      </c>
      <c r="D273" s="3">
        <v>24</v>
      </c>
      <c r="E273" s="4">
        <v>0</v>
      </c>
      <c r="F273" s="5">
        <f t="shared" si="4"/>
        <v>141.60000000000002</v>
      </c>
    </row>
    <row r="274" spans="1:6" x14ac:dyDescent="0.45">
      <c r="A274" s="6">
        <v>10350</v>
      </c>
      <c r="B274" s="3">
        <v>50</v>
      </c>
      <c r="C274" s="3">
        <v>13</v>
      </c>
      <c r="D274" s="3">
        <v>15</v>
      </c>
      <c r="E274" s="4">
        <v>0.1</v>
      </c>
      <c r="F274" s="5">
        <f t="shared" si="4"/>
        <v>175.5</v>
      </c>
    </row>
    <row r="275" spans="1:6" x14ac:dyDescent="0.45">
      <c r="A275" s="6">
        <v>10350</v>
      </c>
      <c r="B275" s="3">
        <v>69</v>
      </c>
      <c r="C275" s="3">
        <v>28.8</v>
      </c>
      <c r="D275" s="3">
        <v>18</v>
      </c>
      <c r="E275" s="4">
        <v>0.1</v>
      </c>
      <c r="F275" s="5">
        <f t="shared" si="4"/>
        <v>466.56</v>
      </c>
    </row>
    <row r="276" spans="1:6" x14ac:dyDescent="0.45">
      <c r="A276" s="6">
        <v>10351</v>
      </c>
      <c r="B276" s="3">
        <v>38</v>
      </c>
      <c r="C276" s="3">
        <v>210.8</v>
      </c>
      <c r="D276" s="3">
        <v>20</v>
      </c>
      <c r="E276" s="4">
        <v>0.05</v>
      </c>
      <c r="F276" s="5">
        <f t="shared" si="4"/>
        <v>4005.2</v>
      </c>
    </row>
    <row r="277" spans="1:6" x14ac:dyDescent="0.45">
      <c r="A277" s="6">
        <v>10351</v>
      </c>
      <c r="B277" s="3">
        <v>41</v>
      </c>
      <c r="C277" s="3">
        <v>7.7</v>
      </c>
      <c r="D277" s="3">
        <v>13</v>
      </c>
      <c r="E277" s="4">
        <v>0</v>
      </c>
      <c r="F277" s="5">
        <f t="shared" si="4"/>
        <v>100.10000000000001</v>
      </c>
    </row>
    <row r="278" spans="1:6" x14ac:dyDescent="0.45">
      <c r="A278" s="6">
        <v>10351</v>
      </c>
      <c r="B278" s="3">
        <v>44</v>
      </c>
      <c r="C278" s="3">
        <v>15.5</v>
      </c>
      <c r="D278" s="3">
        <v>77</v>
      </c>
      <c r="E278" s="4">
        <v>0.05</v>
      </c>
      <c r="F278" s="5">
        <f t="shared" si="4"/>
        <v>1133.825</v>
      </c>
    </row>
    <row r="279" spans="1:6" x14ac:dyDescent="0.45">
      <c r="A279" s="6">
        <v>10351</v>
      </c>
      <c r="B279" s="3">
        <v>65</v>
      </c>
      <c r="C279" s="3">
        <v>16.8</v>
      </c>
      <c r="D279" s="3">
        <v>10</v>
      </c>
      <c r="E279" s="4">
        <v>0.05</v>
      </c>
      <c r="F279" s="5">
        <f t="shared" si="4"/>
        <v>159.6</v>
      </c>
    </row>
    <row r="280" spans="1:6" x14ac:dyDescent="0.45">
      <c r="A280" s="6">
        <v>10352</v>
      </c>
      <c r="B280" s="3">
        <v>24</v>
      </c>
      <c r="C280" s="3">
        <v>3.6</v>
      </c>
      <c r="D280" s="3">
        <v>10</v>
      </c>
      <c r="E280" s="4">
        <v>0</v>
      </c>
      <c r="F280" s="5">
        <f t="shared" si="4"/>
        <v>36</v>
      </c>
    </row>
    <row r="281" spans="1:6" x14ac:dyDescent="0.45">
      <c r="A281" s="6">
        <v>10352</v>
      </c>
      <c r="B281" s="3">
        <v>54</v>
      </c>
      <c r="C281" s="3">
        <v>5.9</v>
      </c>
      <c r="D281" s="3">
        <v>20</v>
      </c>
      <c r="E281" s="4">
        <v>0.15</v>
      </c>
      <c r="F281" s="5">
        <f t="shared" si="4"/>
        <v>100.3</v>
      </c>
    </row>
    <row r="282" spans="1:6" x14ac:dyDescent="0.45">
      <c r="A282" s="6">
        <v>10353</v>
      </c>
      <c r="B282" s="3">
        <v>11</v>
      </c>
      <c r="C282" s="3">
        <v>16.8</v>
      </c>
      <c r="D282" s="3">
        <v>12</v>
      </c>
      <c r="E282" s="4">
        <v>0.2</v>
      </c>
      <c r="F282" s="5">
        <f t="shared" si="4"/>
        <v>161.28000000000003</v>
      </c>
    </row>
    <row r="283" spans="1:6" x14ac:dyDescent="0.45">
      <c r="A283" s="6">
        <v>10353</v>
      </c>
      <c r="B283" s="3">
        <v>38</v>
      </c>
      <c r="C283" s="3">
        <v>210.8</v>
      </c>
      <c r="D283" s="3">
        <v>50</v>
      </c>
      <c r="E283" s="4">
        <v>0.2</v>
      </c>
      <c r="F283" s="5">
        <f t="shared" si="4"/>
        <v>8432</v>
      </c>
    </row>
    <row r="284" spans="1:6" x14ac:dyDescent="0.45">
      <c r="A284" s="6">
        <v>10354</v>
      </c>
      <c r="B284" s="3">
        <v>1</v>
      </c>
      <c r="C284" s="3">
        <v>14.4</v>
      </c>
      <c r="D284" s="3">
        <v>12</v>
      </c>
      <c r="E284" s="4">
        <v>0</v>
      </c>
      <c r="F284" s="5">
        <f t="shared" si="4"/>
        <v>172.8</v>
      </c>
    </row>
    <row r="285" spans="1:6" x14ac:dyDescent="0.45">
      <c r="A285" s="6">
        <v>10354</v>
      </c>
      <c r="B285" s="3">
        <v>29</v>
      </c>
      <c r="C285" s="3">
        <v>99</v>
      </c>
      <c r="D285" s="3">
        <v>4</v>
      </c>
      <c r="E285" s="4">
        <v>0</v>
      </c>
      <c r="F285" s="5">
        <f t="shared" si="4"/>
        <v>396</v>
      </c>
    </row>
    <row r="286" spans="1:6" x14ac:dyDescent="0.45">
      <c r="A286" s="6">
        <v>10355</v>
      </c>
      <c r="B286" s="3">
        <v>24</v>
      </c>
      <c r="C286" s="3">
        <v>3.6</v>
      </c>
      <c r="D286" s="3">
        <v>25</v>
      </c>
      <c r="E286" s="4">
        <v>0</v>
      </c>
      <c r="F286" s="5">
        <f t="shared" si="4"/>
        <v>90</v>
      </c>
    </row>
    <row r="287" spans="1:6" x14ac:dyDescent="0.45">
      <c r="A287" s="6">
        <v>10355</v>
      </c>
      <c r="B287" s="3">
        <v>57</v>
      </c>
      <c r="C287" s="3">
        <v>15.6</v>
      </c>
      <c r="D287" s="3">
        <v>25</v>
      </c>
      <c r="E287" s="4">
        <v>0</v>
      </c>
      <c r="F287" s="5">
        <f t="shared" si="4"/>
        <v>390</v>
      </c>
    </row>
    <row r="288" spans="1:6" x14ac:dyDescent="0.45">
      <c r="A288" s="6">
        <v>10356</v>
      </c>
      <c r="B288" s="3">
        <v>31</v>
      </c>
      <c r="C288" s="3">
        <v>10</v>
      </c>
      <c r="D288" s="3">
        <v>30</v>
      </c>
      <c r="E288" s="4">
        <v>0</v>
      </c>
      <c r="F288" s="5">
        <f t="shared" si="4"/>
        <v>300</v>
      </c>
    </row>
    <row r="289" spans="1:6" x14ac:dyDescent="0.45">
      <c r="A289" s="6">
        <v>10356</v>
      </c>
      <c r="B289" s="3">
        <v>55</v>
      </c>
      <c r="C289" s="3">
        <v>19.2</v>
      </c>
      <c r="D289" s="3">
        <v>12</v>
      </c>
      <c r="E289" s="4">
        <v>0</v>
      </c>
      <c r="F289" s="5">
        <f t="shared" si="4"/>
        <v>230.39999999999998</v>
      </c>
    </row>
    <row r="290" spans="1:6" x14ac:dyDescent="0.45">
      <c r="A290" s="6">
        <v>10356</v>
      </c>
      <c r="B290" s="3">
        <v>69</v>
      </c>
      <c r="C290" s="3">
        <v>28.8</v>
      </c>
      <c r="D290" s="3">
        <v>20</v>
      </c>
      <c r="E290" s="4">
        <v>0</v>
      </c>
      <c r="F290" s="5">
        <f t="shared" si="4"/>
        <v>576</v>
      </c>
    </row>
    <row r="291" spans="1:6" x14ac:dyDescent="0.45">
      <c r="A291" s="6">
        <v>10357</v>
      </c>
      <c r="B291" s="3">
        <v>10</v>
      </c>
      <c r="C291" s="3">
        <v>24.8</v>
      </c>
      <c r="D291" s="3">
        <v>30</v>
      </c>
      <c r="E291" s="4">
        <v>0.2</v>
      </c>
      <c r="F291" s="5">
        <f t="shared" si="4"/>
        <v>595.20000000000005</v>
      </c>
    </row>
    <row r="292" spans="1:6" x14ac:dyDescent="0.45">
      <c r="A292" s="6">
        <v>10357</v>
      </c>
      <c r="B292" s="3">
        <v>26</v>
      </c>
      <c r="C292" s="3">
        <v>24.9</v>
      </c>
      <c r="D292" s="3">
        <v>16</v>
      </c>
      <c r="E292" s="4">
        <v>0</v>
      </c>
      <c r="F292" s="5">
        <f t="shared" si="4"/>
        <v>398.4</v>
      </c>
    </row>
    <row r="293" spans="1:6" x14ac:dyDescent="0.45">
      <c r="A293" s="6">
        <v>10357</v>
      </c>
      <c r="B293" s="3">
        <v>60</v>
      </c>
      <c r="C293" s="3">
        <v>27.2</v>
      </c>
      <c r="D293" s="3">
        <v>8</v>
      </c>
      <c r="E293" s="4">
        <v>0.2</v>
      </c>
      <c r="F293" s="5">
        <f t="shared" si="4"/>
        <v>174.08</v>
      </c>
    </row>
    <row r="294" spans="1:6" x14ac:dyDescent="0.45">
      <c r="A294" s="6">
        <v>10358</v>
      </c>
      <c r="B294" s="3">
        <v>24</v>
      </c>
      <c r="C294" s="3">
        <v>3.6</v>
      </c>
      <c r="D294" s="3">
        <v>10</v>
      </c>
      <c r="E294" s="4">
        <v>0.05</v>
      </c>
      <c r="F294" s="5">
        <f t="shared" si="4"/>
        <v>34.199999999999996</v>
      </c>
    </row>
    <row r="295" spans="1:6" x14ac:dyDescent="0.45">
      <c r="A295" s="6">
        <v>10358</v>
      </c>
      <c r="B295" s="3">
        <v>34</v>
      </c>
      <c r="C295" s="3">
        <v>11.2</v>
      </c>
      <c r="D295" s="3">
        <v>10</v>
      </c>
      <c r="E295" s="4">
        <v>0.05</v>
      </c>
      <c r="F295" s="5">
        <f t="shared" si="4"/>
        <v>106.39999999999999</v>
      </c>
    </row>
    <row r="296" spans="1:6" x14ac:dyDescent="0.45">
      <c r="A296" s="6">
        <v>10358</v>
      </c>
      <c r="B296" s="3">
        <v>36</v>
      </c>
      <c r="C296" s="3">
        <v>15.2</v>
      </c>
      <c r="D296" s="3">
        <v>20</v>
      </c>
      <c r="E296" s="4">
        <v>0.05</v>
      </c>
      <c r="F296" s="5">
        <f t="shared" si="4"/>
        <v>288.8</v>
      </c>
    </row>
    <row r="297" spans="1:6" x14ac:dyDescent="0.45">
      <c r="A297" s="6">
        <v>10359</v>
      </c>
      <c r="B297" s="3">
        <v>16</v>
      </c>
      <c r="C297" s="3">
        <v>13.9</v>
      </c>
      <c r="D297" s="3">
        <v>56</v>
      </c>
      <c r="E297" s="4">
        <v>0.05</v>
      </c>
      <c r="F297" s="5">
        <f t="shared" si="4"/>
        <v>739.4799999999999</v>
      </c>
    </row>
    <row r="298" spans="1:6" x14ac:dyDescent="0.45">
      <c r="A298" s="6">
        <v>10359</v>
      </c>
      <c r="B298" s="3">
        <v>31</v>
      </c>
      <c r="C298" s="3">
        <v>10</v>
      </c>
      <c r="D298" s="3">
        <v>70</v>
      </c>
      <c r="E298" s="4">
        <v>0.05</v>
      </c>
      <c r="F298" s="5">
        <f t="shared" si="4"/>
        <v>665</v>
      </c>
    </row>
    <row r="299" spans="1:6" x14ac:dyDescent="0.45">
      <c r="A299" s="6">
        <v>10359</v>
      </c>
      <c r="B299" s="3">
        <v>60</v>
      </c>
      <c r="C299" s="3">
        <v>27.2</v>
      </c>
      <c r="D299" s="3">
        <v>80</v>
      </c>
      <c r="E299" s="4">
        <v>0.05</v>
      </c>
      <c r="F299" s="5">
        <f t="shared" si="4"/>
        <v>2067.1999999999998</v>
      </c>
    </row>
    <row r="300" spans="1:6" x14ac:dyDescent="0.45">
      <c r="A300" s="6">
        <v>10360</v>
      </c>
      <c r="B300" s="3">
        <v>28</v>
      </c>
      <c r="C300" s="3">
        <v>36.4</v>
      </c>
      <c r="D300" s="3">
        <v>30</v>
      </c>
      <c r="E300" s="4">
        <v>0</v>
      </c>
      <c r="F300" s="5">
        <f t="shared" si="4"/>
        <v>1092</v>
      </c>
    </row>
    <row r="301" spans="1:6" x14ac:dyDescent="0.45">
      <c r="A301" s="6">
        <v>10360</v>
      </c>
      <c r="B301" s="3">
        <v>29</v>
      </c>
      <c r="C301" s="3">
        <v>99</v>
      </c>
      <c r="D301" s="3">
        <v>35</v>
      </c>
      <c r="E301" s="4">
        <v>0</v>
      </c>
      <c r="F301" s="5">
        <f t="shared" si="4"/>
        <v>3465</v>
      </c>
    </row>
    <row r="302" spans="1:6" x14ac:dyDescent="0.45">
      <c r="A302" s="6">
        <v>10360</v>
      </c>
      <c r="B302" s="3">
        <v>38</v>
      </c>
      <c r="C302" s="3">
        <v>210.8</v>
      </c>
      <c r="D302" s="3">
        <v>10</v>
      </c>
      <c r="E302" s="4">
        <v>0</v>
      </c>
      <c r="F302" s="5">
        <f t="shared" si="4"/>
        <v>2108</v>
      </c>
    </row>
    <row r="303" spans="1:6" x14ac:dyDescent="0.45">
      <c r="A303" s="6">
        <v>10360</v>
      </c>
      <c r="B303" s="3">
        <v>49</v>
      </c>
      <c r="C303" s="3">
        <v>16</v>
      </c>
      <c r="D303" s="3">
        <v>35</v>
      </c>
      <c r="E303" s="4">
        <v>0</v>
      </c>
      <c r="F303" s="5">
        <f t="shared" si="4"/>
        <v>560</v>
      </c>
    </row>
    <row r="304" spans="1:6" x14ac:dyDescent="0.45">
      <c r="A304" s="6">
        <v>10360</v>
      </c>
      <c r="B304" s="3">
        <v>54</v>
      </c>
      <c r="C304" s="3">
        <v>5.9</v>
      </c>
      <c r="D304" s="3">
        <v>28</v>
      </c>
      <c r="E304" s="4">
        <v>0</v>
      </c>
      <c r="F304" s="5">
        <f t="shared" si="4"/>
        <v>165.20000000000002</v>
      </c>
    </row>
    <row r="305" spans="1:6" x14ac:dyDescent="0.45">
      <c r="A305" s="6">
        <v>10361</v>
      </c>
      <c r="B305" s="3">
        <v>39</v>
      </c>
      <c r="C305" s="3">
        <v>14.4</v>
      </c>
      <c r="D305" s="3">
        <v>54</v>
      </c>
      <c r="E305" s="4">
        <v>0.1</v>
      </c>
      <c r="F305" s="5">
        <f t="shared" si="4"/>
        <v>699.84</v>
      </c>
    </row>
    <row r="306" spans="1:6" x14ac:dyDescent="0.45">
      <c r="A306" s="6">
        <v>10361</v>
      </c>
      <c r="B306" s="3">
        <v>60</v>
      </c>
      <c r="C306" s="3">
        <v>27.2</v>
      </c>
      <c r="D306" s="3">
        <v>55</v>
      </c>
      <c r="E306" s="4">
        <v>0.1</v>
      </c>
      <c r="F306" s="5">
        <f t="shared" si="4"/>
        <v>1346.4</v>
      </c>
    </row>
    <row r="307" spans="1:6" x14ac:dyDescent="0.45">
      <c r="A307" s="6">
        <v>10362</v>
      </c>
      <c r="B307" s="3">
        <v>25</v>
      </c>
      <c r="C307" s="3">
        <v>11.2</v>
      </c>
      <c r="D307" s="3">
        <v>50</v>
      </c>
      <c r="E307" s="4">
        <v>0</v>
      </c>
      <c r="F307" s="5">
        <f t="shared" si="4"/>
        <v>560</v>
      </c>
    </row>
    <row r="308" spans="1:6" x14ac:dyDescent="0.45">
      <c r="A308" s="6">
        <v>10362</v>
      </c>
      <c r="B308" s="3">
        <v>51</v>
      </c>
      <c r="C308" s="3">
        <v>42.4</v>
      </c>
      <c r="D308" s="3">
        <v>20</v>
      </c>
      <c r="E308" s="4">
        <v>0</v>
      </c>
      <c r="F308" s="5">
        <f t="shared" si="4"/>
        <v>848</v>
      </c>
    </row>
    <row r="309" spans="1:6" x14ac:dyDescent="0.45">
      <c r="A309" s="6">
        <v>10362</v>
      </c>
      <c r="B309" s="3">
        <v>54</v>
      </c>
      <c r="C309" s="3">
        <v>5.9</v>
      </c>
      <c r="D309" s="3">
        <v>24</v>
      </c>
      <c r="E309" s="4">
        <v>0</v>
      </c>
      <c r="F309" s="5">
        <f t="shared" si="4"/>
        <v>141.60000000000002</v>
      </c>
    </row>
    <row r="310" spans="1:6" x14ac:dyDescent="0.45">
      <c r="A310" s="6">
        <v>10363</v>
      </c>
      <c r="B310" s="3">
        <v>31</v>
      </c>
      <c r="C310" s="3">
        <v>10</v>
      </c>
      <c r="D310" s="3">
        <v>20</v>
      </c>
      <c r="E310" s="4">
        <v>0</v>
      </c>
      <c r="F310" s="5">
        <f t="shared" si="4"/>
        <v>200</v>
      </c>
    </row>
    <row r="311" spans="1:6" x14ac:dyDescent="0.45">
      <c r="A311" s="6">
        <v>10363</v>
      </c>
      <c r="B311" s="3">
        <v>75</v>
      </c>
      <c r="C311" s="3">
        <v>6.2</v>
      </c>
      <c r="D311" s="3">
        <v>12</v>
      </c>
      <c r="E311" s="4">
        <v>0</v>
      </c>
      <c r="F311" s="5">
        <f t="shared" si="4"/>
        <v>74.400000000000006</v>
      </c>
    </row>
    <row r="312" spans="1:6" x14ac:dyDescent="0.45">
      <c r="A312" s="6">
        <v>10363</v>
      </c>
      <c r="B312" s="3">
        <v>76</v>
      </c>
      <c r="C312" s="3">
        <v>14.4</v>
      </c>
      <c r="D312" s="3">
        <v>12</v>
      </c>
      <c r="E312" s="4">
        <v>0</v>
      </c>
      <c r="F312" s="5">
        <f t="shared" si="4"/>
        <v>172.8</v>
      </c>
    </row>
    <row r="313" spans="1:6" x14ac:dyDescent="0.45">
      <c r="A313" s="6">
        <v>10364</v>
      </c>
      <c r="B313" s="3">
        <v>69</v>
      </c>
      <c r="C313" s="3">
        <v>28.8</v>
      </c>
      <c r="D313" s="3">
        <v>30</v>
      </c>
      <c r="E313" s="4">
        <v>0</v>
      </c>
      <c r="F313" s="5">
        <f t="shared" si="4"/>
        <v>864</v>
      </c>
    </row>
    <row r="314" spans="1:6" x14ac:dyDescent="0.45">
      <c r="A314" s="6">
        <v>10364</v>
      </c>
      <c r="B314" s="3">
        <v>71</v>
      </c>
      <c r="C314" s="3">
        <v>17.2</v>
      </c>
      <c r="D314" s="3">
        <v>5</v>
      </c>
      <c r="E314" s="4">
        <v>0</v>
      </c>
      <c r="F314" s="5">
        <f t="shared" si="4"/>
        <v>86</v>
      </c>
    </row>
    <row r="315" spans="1:6" x14ac:dyDescent="0.45">
      <c r="A315" s="6">
        <v>10365</v>
      </c>
      <c r="B315" s="3">
        <v>11</v>
      </c>
      <c r="C315" s="3">
        <v>16.8</v>
      </c>
      <c r="D315" s="3">
        <v>24</v>
      </c>
      <c r="E315" s="4">
        <v>0</v>
      </c>
      <c r="F315" s="5">
        <f t="shared" si="4"/>
        <v>403.20000000000005</v>
      </c>
    </row>
    <row r="316" spans="1:6" x14ac:dyDescent="0.45">
      <c r="A316" s="6">
        <v>10366</v>
      </c>
      <c r="B316" s="3">
        <v>65</v>
      </c>
      <c r="C316" s="3">
        <v>16.8</v>
      </c>
      <c r="D316" s="3">
        <v>5</v>
      </c>
      <c r="E316" s="4">
        <v>0</v>
      </c>
      <c r="F316" s="5">
        <f t="shared" si="4"/>
        <v>84</v>
      </c>
    </row>
    <row r="317" spans="1:6" x14ac:dyDescent="0.45">
      <c r="A317" s="6">
        <v>10366</v>
      </c>
      <c r="B317" s="3">
        <v>77</v>
      </c>
      <c r="C317" s="3">
        <v>10.4</v>
      </c>
      <c r="D317" s="3">
        <v>5</v>
      </c>
      <c r="E317" s="4">
        <v>0</v>
      </c>
      <c r="F317" s="5">
        <f t="shared" si="4"/>
        <v>52</v>
      </c>
    </row>
    <row r="318" spans="1:6" x14ac:dyDescent="0.45">
      <c r="A318" s="6">
        <v>10367</v>
      </c>
      <c r="B318" s="3">
        <v>34</v>
      </c>
      <c r="C318" s="3">
        <v>11.2</v>
      </c>
      <c r="D318" s="3">
        <v>36</v>
      </c>
      <c r="E318" s="4">
        <v>0</v>
      </c>
      <c r="F318" s="5">
        <f t="shared" si="4"/>
        <v>403.2</v>
      </c>
    </row>
    <row r="319" spans="1:6" x14ac:dyDescent="0.45">
      <c r="A319" s="6">
        <v>10367</v>
      </c>
      <c r="B319" s="3">
        <v>54</v>
      </c>
      <c r="C319" s="3">
        <v>5.9</v>
      </c>
      <c r="D319" s="3">
        <v>18</v>
      </c>
      <c r="E319" s="4">
        <v>0</v>
      </c>
      <c r="F319" s="5">
        <f t="shared" si="4"/>
        <v>106.2</v>
      </c>
    </row>
    <row r="320" spans="1:6" x14ac:dyDescent="0.45">
      <c r="A320" s="6">
        <v>10367</v>
      </c>
      <c r="B320" s="3">
        <v>65</v>
      </c>
      <c r="C320" s="3">
        <v>16.8</v>
      </c>
      <c r="D320" s="3">
        <v>15</v>
      </c>
      <c r="E320" s="4">
        <v>0</v>
      </c>
      <c r="F320" s="5">
        <f t="shared" si="4"/>
        <v>252</v>
      </c>
    </row>
    <row r="321" spans="1:6" x14ac:dyDescent="0.45">
      <c r="A321" s="6">
        <v>10367</v>
      </c>
      <c r="B321" s="3">
        <v>77</v>
      </c>
      <c r="C321" s="3">
        <v>10.4</v>
      </c>
      <c r="D321" s="3">
        <v>7</v>
      </c>
      <c r="E321" s="4">
        <v>0</v>
      </c>
      <c r="F321" s="5">
        <f t="shared" si="4"/>
        <v>72.8</v>
      </c>
    </row>
    <row r="322" spans="1:6" x14ac:dyDescent="0.45">
      <c r="A322" s="6">
        <v>10368</v>
      </c>
      <c r="B322" s="3">
        <v>21</v>
      </c>
      <c r="C322" s="3">
        <v>8</v>
      </c>
      <c r="D322" s="3">
        <v>5</v>
      </c>
      <c r="E322" s="4">
        <v>0.1</v>
      </c>
      <c r="F322" s="5">
        <f t="shared" ref="F322:F385" si="5">C322*D322*(1-E322)</f>
        <v>36</v>
      </c>
    </row>
    <row r="323" spans="1:6" x14ac:dyDescent="0.45">
      <c r="A323" s="6">
        <v>10368</v>
      </c>
      <c r="B323" s="3">
        <v>28</v>
      </c>
      <c r="C323" s="3">
        <v>36.4</v>
      </c>
      <c r="D323" s="3">
        <v>13</v>
      </c>
      <c r="E323" s="4">
        <v>0.1</v>
      </c>
      <c r="F323" s="5">
        <f t="shared" si="5"/>
        <v>425.88</v>
      </c>
    </row>
    <row r="324" spans="1:6" x14ac:dyDescent="0.45">
      <c r="A324" s="6">
        <v>10368</v>
      </c>
      <c r="B324" s="3">
        <v>57</v>
      </c>
      <c r="C324" s="3">
        <v>15.6</v>
      </c>
      <c r="D324" s="3">
        <v>25</v>
      </c>
      <c r="E324" s="4">
        <v>0</v>
      </c>
      <c r="F324" s="5">
        <f t="shared" si="5"/>
        <v>390</v>
      </c>
    </row>
    <row r="325" spans="1:6" x14ac:dyDescent="0.45">
      <c r="A325" s="6">
        <v>10368</v>
      </c>
      <c r="B325" s="3">
        <v>64</v>
      </c>
      <c r="C325" s="3">
        <v>26.6</v>
      </c>
      <c r="D325" s="3">
        <v>35</v>
      </c>
      <c r="E325" s="4">
        <v>0.1</v>
      </c>
      <c r="F325" s="5">
        <f t="shared" si="5"/>
        <v>837.9</v>
      </c>
    </row>
    <row r="326" spans="1:6" x14ac:dyDescent="0.45">
      <c r="A326" s="6">
        <v>10369</v>
      </c>
      <c r="B326" s="3">
        <v>29</v>
      </c>
      <c r="C326" s="3">
        <v>99</v>
      </c>
      <c r="D326" s="3">
        <v>20</v>
      </c>
      <c r="E326" s="4">
        <v>0</v>
      </c>
      <c r="F326" s="5">
        <f t="shared" si="5"/>
        <v>1980</v>
      </c>
    </row>
    <row r="327" spans="1:6" x14ac:dyDescent="0.45">
      <c r="A327" s="6">
        <v>10369</v>
      </c>
      <c r="B327" s="3">
        <v>56</v>
      </c>
      <c r="C327" s="3">
        <v>30.4</v>
      </c>
      <c r="D327" s="3">
        <v>18</v>
      </c>
      <c r="E327" s="4">
        <v>0.25</v>
      </c>
      <c r="F327" s="5">
        <f t="shared" si="5"/>
        <v>410.4</v>
      </c>
    </row>
    <row r="328" spans="1:6" x14ac:dyDescent="0.45">
      <c r="A328" s="6">
        <v>10370</v>
      </c>
      <c r="B328" s="3">
        <v>1</v>
      </c>
      <c r="C328" s="3">
        <v>14.4</v>
      </c>
      <c r="D328" s="3">
        <v>15</v>
      </c>
      <c r="E328" s="4">
        <v>0.15</v>
      </c>
      <c r="F328" s="5">
        <f t="shared" si="5"/>
        <v>183.6</v>
      </c>
    </row>
    <row r="329" spans="1:6" x14ac:dyDescent="0.45">
      <c r="A329" s="6">
        <v>10370</v>
      </c>
      <c r="B329" s="3">
        <v>64</v>
      </c>
      <c r="C329" s="3">
        <v>26.6</v>
      </c>
      <c r="D329" s="3">
        <v>30</v>
      </c>
      <c r="E329" s="4">
        <v>0</v>
      </c>
      <c r="F329" s="5">
        <f t="shared" si="5"/>
        <v>798</v>
      </c>
    </row>
    <row r="330" spans="1:6" x14ac:dyDescent="0.45">
      <c r="A330" s="6">
        <v>10370</v>
      </c>
      <c r="B330" s="3">
        <v>74</v>
      </c>
      <c r="C330" s="3">
        <v>8</v>
      </c>
      <c r="D330" s="3">
        <v>20</v>
      </c>
      <c r="E330" s="4">
        <v>0.15</v>
      </c>
      <c r="F330" s="5">
        <f t="shared" si="5"/>
        <v>136</v>
      </c>
    </row>
    <row r="331" spans="1:6" x14ac:dyDescent="0.45">
      <c r="A331" s="6">
        <v>10371</v>
      </c>
      <c r="B331" s="3">
        <v>36</v>
      </c>
      <c r="C331" s="3">
        <v>15.2</v>
      </c>
      <c r="D331" s="3">
        <v>6</v>
      </c>
      <c r="E331" s="4">
        <v>0.2</v>
      </c>
      <c r="F331" s="5">
        <f t="shared" si="5"/>
        <v>72.959999999999994</v>
      </c>
    </row>
    <row r="332" spans="1:6" x14ac:dyDescent="0.45">
      <c r="A332" s="6">
        <v>10372</v>
      </c>
      <c r="B332" s="3">
        <v>20</v>
      </c>
      <c r="C332" s="3">
        <v>64.8</v>
      </c>
      <c r="D332" s="3">
        <v>12</v>
      </c>
      <c r="E332" s="4">
        <v>0.25</v>
      </c>
      <c r="F332" s="5">
        <f t="shared" si="5"/>
        <v>583.19999999999993</v>
      </c>
    </row>
    <row r="333" spans="1:6" x14ac:dyDescent="0.45">
      <c r="A333" s="6">
        <v>10372</v>
      </c>
      <c r="B333" s="3">
        <v>38</v>
      </c>
      <c r="C333" s="3">
        <v>210.8</v>
      </c>
      <c r="D333" s="3">
        <v>40</v>
      </c>
      <c r="E333" s="4">
        <v>0.25</v>
      </c>
      <c r="F333" s="5">
        <f t="shared" si="5"/>
        <v>6324</v>
      </c>
    </row>
    <row r="334" spans="1:6" x14ac:dyDescent="0.45">
      <c r="A334" s="6">
        <v>10372</v>
      </c>
      <c r="B334" s="3">
        <v>60</v>
      </c>
      <c r="C334" s="3">
        <v>27.2</v>
      </c>
      <c r="D334" s="3">
        <v>70</v>
      </c>
      <c r="E334" s="4">
        <v>0.25</v>
      </c>
      <c r="F334" s="5">
        <f t="shared" si="5"/>
        <v>1428</v>
      </c>
    </row>
    <row r="335" spans="1:6" x14ac:dyDescent="0.45">
      <c r="A335" s="6">
        <v>10372</v>
      </c>
      <c r="B335" s="3">
        <v>72</v>
      </c>
      <c r="C335" s="3">
        <v>27.8</v>
      </c>
      <c r="D335" s="3">
        <v>42</v>
      </c>
      <c r="E335" s="4">
        <v>0.25</v>
      </c>
      <c r="F335" s="5">
        <f t="shared" si="5"/>
        <v>875.7</v>
      </c>
    </row>
    <row r="336" spans="1:6" x14ac:dyDescent="0.45">
      <c r="A336" s="6">
        <v>10373</v>
      </c>
      <c r="B336" s="3">
        <v>58</v>
      </c>
      <c r="C336" s="3">
        <v>10.6</v>
      </c>
      <c r="D336" s="3">
        <v>80</v>
      </c>
      <c r="E336" s="4">
        <v>0.2</v>
      </c>
      <c r="F336" s="5">
        <f t="shared" si="5"/>
        <v>678.40000000000009</v>
      </c>
    </row>
    <row r="337" spans="1:6" x14ac:dyDescent="0.45">
      <c r="A337" s="6">
        <v>10373</v>
      </c>
      <c r="B337" s="3">
        <v>71</v>
      </c>
      <c r="C337" s="3">
        <v>17.2</v>
      </c>
      <c r="D337" s="3">
        <v>50</v>
      </c>
      <c r="E337" s="4">
        <v>0.2</v>
      </c>
      <c r="F337" s="5">
        <f t="shared" si="5"/>
        <v>688</v>
      </c>
    </row>
    <row r="338" spans="1:6" x14ac:dyDescent="0.45">
      <c r="A338" s="6">
        <v>10374</v>
      </c>
      <c r="B338" s="3">
        <v>31</v>
      </c>
      <c r="C338" s="3">
        <v>10</v>
      </c>
      <c r="D338" s="3">
        <v>30</v>
      </c>
      <c r="E338" s="4">
        <v>0</v>
      </c>
      <c r="F338" s="5">
        <f t="shared" si="5"/>
        <v>300</v>
      </c>
    </row>
    <row r="339" spans="1:6" x14ac:dyDescent="0.45">
      <c r="A339" s="6">
        <v>10374</v>
      </c>
      <c r="B339" s="3">
        <v>58</v>
      </c>
      <c r="C339" s="3">
        <v>10.6</v>
      </c>
      <c r="D339" s="3">
        <v>15</v>
      </c>
      <c r="E339" s="4">
        <v>0</v>
      </c>
      <c r="F339" s="5">
        <f t="shared" si="5"/>
        <v>159</v>
      </c>
    </row>
    <row r="340" spans="1:6" x14ac:dyDescent="0.45">
      <c r="A340" s="6">
        <v>10375</v>
      </c>
      <c r="B340" s="3">
        <v>14</v>
      </c>
      <c r="C340" s="3">
        <v>18.600000000000001</v>
      </c>
      <c r="D340" s="3">
        <v>15</v>
      </c>
      <c r="E340" s="4">
        <v>0</v>
      </c>
      <c r="F340" s="5">
        <f t="shared" si="5"/>
        <v>279</v>
      </c>
    </row>
    <row r="341" spans="1:6" x14ac:dyDescent="0.45">
      <c r="A341" s="6">
        <v>10375</v>
      </c>
      <c r="B341" s="3">
        <v>54</v>
      </c>
      <c r="C341" s="3">
        <v>5.9</v>
      </c>
      <c r="D341" s="3">
        <v>10</v>
      </c>
      <c r="E341" s="4">
        <v>0</v>
      </c>
      <c r="F341" s="5">
        <f t="shared" si="5"/>
        <v>59</v>
      </c>
    </row>
    <row r="342" spans="1:6" x14ac:dyDescent="0.45">
      <c r="A342" s="6">
        <v>10376</v>
      </c>
      <c r="B342" s="3">
        <v>31</v>
      </c>
      <c r="C342" s="3">
        <v>10</v>
      </c>
      <c r="D342" s="3">
        <v>42</v>
      </c>
      <c r="E342" s="4">
        <v>0.05</v>
      </c>
      <c r="F342" s="5">
        <f t="shared" si="5"/>
        <v>399</v>
      </c>
    </row>
    <row r="343" spans="1:6" x14ac:dyDescent="0.45">
      <c r="A343" s="6">
        <v>10377</v>
      </c>
      <c r="B343" s="3">
        <v>28</v>
      </c>
      <c r="C343" s="3">
        <v>36.4</v>
      </c>
      <c r="D343" s="3">
        <v>20</v>
      </c>
      <c r="E343" s="4">
        <v>0.15</v>
      </c>
      <c r="F343" s="5">
        <f t="shared" si="5"/>
        <v>618.79999999999995</v>
      </c>
    </row>
    <row r="344" spans="1:6" x14ac:dyDescent="0.45">
      <c r="A344" s="6">
        <v>10377</v>
      </c>
      <c r="B344" s="3">
        <v>39</v>
      </c>
      <c r="C344" s="3">
        <v>14.4</v>
      </c>
      <c r="D344" s="3">
        <v>20</v>
      </c>
      <c r="E344" s="4">
        <v>0.15</v>
      </c>
      <c r="F344" s="5">
        <f t="shared" si="5"/>
        <v>244.79999999999998</v>
      </c>
    </row>
    <row r="345" spans="1:6" x14ac:dyDescent="0.45">
      <c r="A345" s="6">
        <v>10378</v>
      </c>
      <c r="B345" s="3">
        <v>71</v>
      </c>
      <c r="C345" s="3">
        <v>17.2</v>
      </c>
      <c r="D345" s="3">
        <v>6</v>
      </c>
      <c r="E345" s="4">
        <v>0</v>
      </c>
      <c r="F345" s="5">
        <f t="shared" si="5"/>
        <v>103.19999999999999</v>
      </c>
    </row>
    <row r="346" spans="1:6" x14ac:dyDescent="0.45">
      <c r="A346" s="6">
        <v>10379</v>
      </c>
      <c r="B346" s="3">
        <v>41</v>
      </c>
      <c r="C346" s="3">
        <v>7.7</v>
      </c>
      <c r="D346" s="3">
        <v>8</v>
      </c>
      <c r="E346" s="4">
        <v>0.1</v>
      </c>
      <c r="F346" s="5">
        <f t="shared" si="5"/>
        <v>55.440000000000005</v>
      </c>
    </row>
    <row r="347" spans="1:6" x14ac:dyDescent="0.45">
      <c r="A347" s="6">
        <v>10379</v>
      </c>
      <c r="B347" s="3">
        <v>63</v>
      </c>
      <c r="C347" s="3">
        <v>35.1</v>
      </c>
      <c r="D347" s="3">
        <v>16</v>
      </c>
      <c r="E347" s="4">
        <v>0.1</v>
      </c>
      <c r="F347" s="5">
        <f t="shared" si="5"/>
        <v>505.44000000000005</v>
      </c>
    </row>
    <row r="348" spans="1:6" x14ac:dyDescent="0.45">
      <c r="A348" s="6">
        <v>10379</v>
      </c>
      <c r="B348" s="3">
        <v>65</v>
      </c>
      <c r="C348" s="3">
        <v>16.8</v>
      </c>
      <c r="D348" s="3">
        <v>20</v>
      </c>
      <c r="E348" s="4">
        <v>0.1</v>
      </c>
      <c r="F348" s="5">
        <f t="shared" si="5"/>
        <v>302.40000000000003</v>
      </c>
    </row>
    <row r="349" spans="1:6" x14ac:dyDescent="0.45">
      <c r="A349" s="6">
        <v>10380</v>
      </c>
      <c r="B349" s="3">
        <v>30</v>
      </c>
      <c r="C349" s="3">
        <v>20.7</v>
      </c>
      <c r="D349" s="3">
        <v>18</v>
      </c>
      <c r="E349" s="4">
        <v>0.1</v>
      </c>
      <c r="F349" s="5">
        <f t="shared" si="5"/>
        <v>335.34</v>
      </c>
    </row>
    <row r="350" spans="1:6" x14ac:dyDescent="0.45">
      <c r="A350" s="6">
        <v>10380</v>
      </c>
      <c r="B350" s="3">
        <v>53</v>
      </c>
      <c r="C350" s="3">
        <v>26.2</v>
      </c>
      <c r="D350" s="3">
        <v>20</v>
      </c>
      <c r="E350" s="4">
        <v>0.1</v>
      </c>
      <c r="F350" s="5">
        <f t="shared" si="5"/>
        <v>471.6</v>
      </c>
    </row>
    <row r="351" spans="1:6" x14ac:dyDescent="0.45">
      <c r="A351" s="6">
        <v>10380</v>
      </c>
      <c r="B351" s="3">
        <v>60</v>
      </c>
      <c r="C351" s="3">
        <v>27.2</v>
      </c>
      <c r="D351" s="3">
        <v>6</v>
      </c>
      <c r="E351" s="4">
        <v>0.1</v>
      </c>
      <c r="F351" s="5">
        <f t="shared" si="5"/>
        <v>146.88</v>
      </c>
    </row>
    <row r="352" spans="1:6" x14ac:dyDescent="0.45">
      <c r="A352" s="6">
        <v>10380</v>
      </c>
      <c r="B352" s="3">
        <v>70</v>
      </c>
      <c r="C352" s="3">
        <v>12</v>
      </c>
      <c r="D352" s="3">
        <v>30</v>
      </c>
      <c r="E352" s="4">
        <v>0</v>
      </c>
      <c r="F352" s="5">
        <f t="shared" si="5"/>
        <v>360</v>
      </c>
    </row>
    <row r="353" spans="1:6" x14ac:dyDescent="0.45">
      <c r="A353" s="6">
        <v>10381</v>
      </c>
      <c r="B353" s="3">
        <v>74</v>
      </c>
      <c r="C353" s="3">
        <v>8</v>
      </c>
      <c r="D353" s="3">
        <v>14</v>
      </c>
      <c r="E353" s="4">
        <v>0</v>
      </c>
      <c r="F353" s="5">
        <f t="shared" si="5"/>
        <v>112</v>
      </c>
    </row>
    <row r="354" spans="1:6" x14ac:dyDescent="0.45">
      <c r="A354" s="6">
        <v>10382</v>
      </c>
      <c r="B354" s="3">
        <v>5</v>
      </c>
      <c r="C354" s="3">
        <v>17</v>
      </c>
      <c r="D354" s="3">
        <v>32</v>
      </c>
      <c r="E354" s="4">
        <v>0</v>
      </c>
      <c r="F354" s="5">
        <f t="shared" si="5"/>
        <v>544</v>
      </c>
    </row>
    <row r="355" spans="1:6" x14ac:dyDescent="0.45">
      <c r="A355" s="6">
        <v>10382</v>
      </c>
      <c r="B355" s="3">
        <v>18</v>
      </c>
      <c r="C355" s="3">
        <v>50</v>
      </c>
      <c r="D355" s="3">
        <v>9</v>
      </c>
      <c r="E355" s="4">
        <v>0</v>
      </c>
      <c r="F355" s="5">
        <f t="shared" si="5"/>
        <v>450</v>
      </c>
    </row>
    <row r="356" spans="1:6" x14ac:dyDescent="0.45">
      <c r="A356" s="6">
        <v>10382</v>
      </c>
      <c r="B356" s="3">
        <v>29</v>
      </c>
      <c r="C356" s="3">
        <v>99</v>
      </c>
      <c r="D356" s="3">
        <v>14</v>
      </c>
      <c r="E356" s="4">
        <v>0</v>
      </c>
      <c r="F356" s="5">
        <f t="shared" si="5"/>
        <v>1386</v>
      </c>
    </row>
    <row r="357" spans="1:6" x14ac:dyDescent="0.45">
      <c r="A357" s="6">
        <v>10382</v>
      </c>
      <c r="B357" s="3">
        <v>33</v>
      </c>
      <c r="C357" s="3">
        <v>2</v>
      </c>
      <c r="D357" s="3">
        <v>60</v>
      </c>
      <c r="E357" s="4">
        <v>0</v>
      </c>
      <c r="F357" s="5">
        <f t="shared" si="5"/>
        <v>120</v>
      </c>
    </row>
    <row r="358" spans="1:6" x14ac:dyDescent="0.45">
      <c r="A358" s="6">
        <v>10382</v>
      </c>
      <c r="B358" s="3">
        <v>74</v>
      </c>
      <c r="C358" s="3">
        <v>8</v>
      </c>
      <c r="D358" s="3">
        <v>50</v>
      </c>
      <c r="E358" s="4">
        <v>0</v>
      </c>
      <c r="F358" s="5">
        <f t="shared" si="5"/>
        <v>400</v>
      </c>
    </row>
    <row r="359" spans="1:6" x14ac:dyDescent="0.45">
      <c r="A359" s="6">
        <v>10383</v>
      </c>
      <c r="B359" s="3">
        <v>13</v>
      </c>
      <c r="C359" s="3">
        <v>4.8</v>
      </c>
      <c r="D359" s="3">
        <v>20</v>
      </c>
      <c r="E359" s="4">
        <v>0</v>
      </c>
      <c r="F359" s="5">
        <f t="shared" si="5"/>
        <v>96</v>
      </c>
    </row>
    <row r="360" spans="1:6" x14ac:dyDescent="0.45">
      <c r="A360" s="6">
        <v>10383</v>
      </c>
      <c r="B360" s="3">
        <v>50</v>
      </c>
      <c r="C360" s="3">
        <v>13</v>
      </c>
      <c r="D360" s="3">
        <v>15</v>
      </c>
      <c r="E360" s="4">
        <v>0</v>
      </c>
      <c r="F360" s="5">
        <f t="shared" si="5"/>
        <v>195</v>
      </c>
    </row>
    <row r="361" spans="1:6" x14ac:dyDescent="0.45">
      <c r="A361" s="6">
        <v>10383</v>
      </c>
      <c r="B361" s="3">
        <v>56</v>
      </c>
      <c r="C361" s="3">
        <v>30.4</v>
      </c>
      <c r="D361" s="3">
        <v>20</v>
      </c>
      <c r="E361" s="4">
        <v>0</v>
      </c>
      <c r="F361" s="5">
        <f t="shared" si="5"/>
        <v>608</v>
      </c>
    </row>
    <row r="362" spans="1:6" x14ac:dyDescent="0.45">
      <c r="A362" s="6">
        <v>10384</v>
      </c>
      <c r="B362" s="3">
        <v>20</v>
      </c>
      <c r="C362" s="3">
        <v>64.8</v>
      </c>
      <c r="D362" s="3">
        <v>28</v>
      </c>
      <c r="E362" s="4">
        <v>0</v>
      </c>
      <c r="F362" s="5">
        <f t="shared" si="5"/>
        <v>1814.3999999999999</v>
      </c>
    </row>
    <row r="363" spans="1:6" x14ac:dyDescent="0.45">
      <c r="A363" s="6">
        <v>10384</v>
      </c>
      <c r="B363" s="3">
        <v>60</v>
      </c>
      <c r="C363" s="3">
        <v>27.2</v>
      </c>
      <c r="D363" s="3">
        <v>15</v>
      </c>
      <c r="E363" s="4">
        <v>0</v>
      </c>
      <c r="F363" s="5">
        <f t="shared" si="5"/>
        <v>408</v>
      </c>
    </row>
    <row r="364" spans="1:6" x14ac:dyDescent="0.45">
      <c r="A364" s="6">
        <v>10385</v>
      </c>
      <c r="B364" s="3">
        <v>7</v>
      </c>
      <c r="C364" s="3">
        <v>24</v>
      </c>
      <c r="D364" s="3">
        <v>10</v>
      </c>
      <c r="E364" s="4">
        <v>0.2</v>
      </c>
      <c r="F364" s="5">
        <f t="shared" si="5"/>
        <v>192</v>
      </c>
    </row>
    <row r="365" spans="1:6" x14ac:dyDescent="0.45">
      <c r="A365" s="6">
        <v>10385</v>
      </c>
      <c r="B365" s="3">
        <v>60</v>
      </c>
      <c r="C365" s="3">
        <v>27.2</v>
      </c>
      <c r="D365" s="3">
        <v>20</v>
      </c>
      <c r="E365" s="4">
        <v>0.2</v>
      </c>
      <c r="F365" s="5">
        <f t="shared" si="5"/>
        <v>435.20000000000005</v>
      </c>
    </row>
    <row r="366" spans="1:6" x14ac:dyDescent="0.45">
      <c r="A366" s="6">
        <v>10385</v>
      </c>
      <c r="B366" s="3">
        <v>68</v>
      </c>
      <c r="C366" s="3">
        <v>10</v>
      </c>
      <c r="D366" s="3">
        <v>8</v>
      </c>
      <c r="E366" s="4">
        <v>0.2</v>
      </c>
      <c r="F366" s="5">
        <f t="shared" si="5"/>
        <v>64</v>
      </c>
    </row>
    <row r="367" spans="1:6" x14ac:dyDescent="0.45">
      <c r="A367" s="6">
        <v>10386</v>
      </c>
      <c r="B367" s="3">
        <v>24</v>
      </c>
      <c r="C367" s="3">
        <v>3.6</v>
      </c>
      <c r="D367" s="3">
        <v>15</v>
      </c>
      <c r="E367" s="4">
        <v>0</v>
      </c>
      <c r="F367" s="5">
        <f t="shared" si="5"/>
        <v>54</v>
      </c>
    </row>
    <row r="368" spans="1:6" x14ac:dyDescent="0.45">
      <c r="A368" s="6">
        <v>10386</v>
      </c>
      <c r="B368" s="3">
        <v>34</v>
      </c>
      <c r="C368" s="3">
        <v>11.2</v>
      </c>
      <c r="D368" s="3">
        <v>10</v>
      </c>
      <c r="E368" s="4">
        <v>0</v>
      </c>
      <c r="F368" s="5">
        <f t="shared" si="5"/>
        <v>112</v>
      </c>
    </row>
    <row r="369" spans="1:6" x14ac:dyDescent="0.45">
      <c r="A369" s="6">
        <v>10387</v>
      </c>
      <c r="B369" s="3">
        <v>24</v>
      </c>
      <c r="C369" s="3">
        <v>3.6</v>
      </c>
      <c r="D369" s="3">
        <v>15</v>
      </c>
      <c r="E369" s="4">
        <v>0</v>
      </c>
      <c r="F369" s="5">
        <f t="shared" si="5"/>
        <v>54</v>
      </c>
    </row>
    <row r="370" spans="1:6" x14ac:dyDescent="0.45">
      <c r="A370" s="6">
        <v>10387</v>
      </c>
      <c r="B370" s="3">
        <v>28</v>
      </c>
      <c r="C370" s="3">
        <v>36.4</v>
      </c>
      <c r="D370" s="3">
        <v>6</v>
      </c>
      <c r="E370" s="4">
        <v>0</v>
      </c>
      <c r="F370" s="5">
        <f t="shared" si="5"/>
        <v>218.39999999999998</v>
      </c>
    </row>
    <row r="371" spans="1:6" x14ac:dyDescent="0.45">
      <c r="A371" s="6">
        <v>10387</v>
      </c>
      <c r="B371" s="3">
        <v>59</v>
      </c>
      <c r="C371" s="3">
        <v>44</v>
      </c>
      <c r="D371" s="3">
        <v>12</v>
      </c>
      <c r="E371" s="4">
        <v>0</v>
      </c>
      <c r="F371" s="5">
        <f t="shared" si="5"/>
        <v>528</v>
      </c>
    </row>
    <row r="372" spans="1:6" x14ac:dyDescent="0.45">
      <c r="A372" s="6">
        <v>10387</v>
      </c>
      <c r="B372" s="3">
        <v>71</v>
      </c>
      <c r="C372" s="3">
        <v>17.2</v>
      </c>
      <c r="D372" s="3">
        <v>15</v>
      </c>
      <c r="E372" s="4">
        <v>0</v>
      </c>
      <c r="F372" s="5">
        <f t="shared" si="5"/>
        <v>258</v>
      </c>
    </row>
    <row r="373" spans="1:6" x14ac:dyDescent="0.45">
      <c r="A373" s="6">
        <v>10388</v>
      </c>
      <c r="B373" s="3">
        <v>45</v>
      </c>
      <c r="C373" s="3">
        <v>7.6</v>
      </c>
      <c r="D373" s="3">
        <v>15</v>
      </c>
      <c r="E373" s="4">
        <v>0.2</v>
      </c>
      <c r="F373" s="5">
        <f t="shared" si="5"/>
        <v>91.2</v>
      </c>
    </row>
    <row r="374" spans="1:6" x14ac:dyDescent="0.45">
      <c r="A374" s="6">
        <v>10388</v>
      </c>
      <c r="B374" s="3">
        <v>52</v>
      </c>
      <c r="C374" s="3">
        <v>5.6</v>
      </c>
      <c r="D374" s="3">
        <v>20</v>
      </c>
      <c r="E374" s="4">
        <v>0.2</v>
      </c>
      <c r="F374" s="5">
        <f t="shared" si="5"/>
        <v>89.600000000000009</v>
      </c>
    </row>
    <row r="375" spans="1:6" x14ac:dyDescent="0.45">
      <c r="A375" s="6">
        <v>10388</v>
      </c>
      <c r="B375" s="3">
        <v>53</v>
      </c>
      <c r="C375" s="3">
        <v>26.2</v>
      </c>
      <c r="D375" s="3">
        <v>40</v>
      </c>
      <c r="E375" s="4">
        <v>0</v>
      </c>
      <c r="F375" s="5">
        <f t="shared" si="5"/>
        <v>1048</v>
      </c>
    </row>
    <row r="376" spans="1:6" x14ac:dyDescent="0.45">
      <c r="A376" s="6">
        <v>10389</v>
      </c>
      <c r="B376" s="3">
        <v>10</v>
      </c>
      <c r="C376" s="3">
        <v>24.8</v>
      </c>
      <c r="D376" s="3">
        <v>16</v>
      </c>
      <c r="E376" s="4">
        <v>0</v>
      </c>
      <c r="F376" s="5">
        <f t="shared" si="5"/>
        <v>396.8</v>
      </c>
    </row>
    <row r="377" spans="1:6" x14ac:dyDescent="0.45">
      <c r="A377" s="6">
        <v>10389</v>
      </c>
      <c r="B377" s="3">
        <v>55</v>
      </c>
      <c r="C377" s="3">
        <v>19.2</v>
      </c>
      <c r="D377" s="3">
        <v>15</v>
      </c>
      <c r="E377" s="4">
        <v>0</v>
      </c>
      <c r="F377" s="5">
        <f t="shared" si="5"/>
        <v>288</v>
      </c>
    </row>
    <row r="378" spans="1:6" x14ac:dyDescent="0.45">
      <c r="A378" s="6">
        <v>10389</v>
      </c>
      <c r="B378" s="3">
        <v>62</v>
      </c>
      <c r="C378" s="3">
        <v>39.4</v>
      </c>
      <c r="D378" s="3">
        <v>20</v>
      </c>
      <c r="E378" s="4">
        <v>0</v>
      </c>
      <c r="F378" s="5">
        <f t="shared" si="5"/>
        <v>788</v>
      </c>
    </row>
    <row r="379" spans="1:6" x14ac:dyDescent="0.45">
      <c r="A379" s="6">
        <v>10389</v>
      </c>
      <c r="B379" s="3">
        <v>70</v>
      </c>
      <c r="C379" s="3">
        <v>12</v>
      </c>
      <c r="D379" s="3">
        <v>30</v>
      </c>
      <c r="E379" s="4">
        <v>0</v>
      </c>
      <c r="F379" s="5">
        <f t="shared" si="5"/>
        <v>360</v>
      </c>
    </row>
    <row r="380" spans="1:6" x14ac:dyDescent="0.45">
      <c r="A380" s="6">
        <v>10390</v>
      </c>
      <c r="B380" s="3">
        <v>31</v>
      </c>
      <c r="C380" s="3">
        <v>10</v>
      </c>
      <c r="D380" s="3">
        <v>60</v>
      </c>
      <c r="E380" s="4">
        <v>0.1</v>
      </c>
      <c r="F380" s="5">
        <f t="shared" si="5"/>
        <v>540</v>
      </c>
    </row>
    <row r="381" spans="1:6" x14ac:dyDescent="0.45">
      <c r="A381" s="6">
        <v>10390</v>
      </c>
      <c r="B381" s="3">
        <v>35</v>
      </c>
      <c r="C381" s="3">
        <v>14.4</v>
      </c>
      <c r="D381" s="3">
        <v>40</v>
      </c>
      <c r="E381" s="4">
        <v>0.1</v>
      </c>
      <c r="F381" s="5">
        <f t="shared" si="5"/>
        <v>518.4</v>
      </c>
    </row>
    <row r="382" spans="1:6" x14ac:dyDescent="0.45">
      <c r="A382" s="6">
        <v>10390</v>
      </c>
      <c r="B382" s="3">
        <v>46</v>
      </c>
      <c r="C382" s="3">
        <v>9.6</v>
      </c>
      <c r="D382" s="3">
        <v>45</v>
      </c>
      <c r="E382" s="4">
        <v>0</v>
      </c>
      <c r="F382" s="5">
        <f t="shared" si="5"/>
        <v>432</v>
      </c>
    </row>
    <row r="383" spans="1:6" x14ac:dyDescent="0.45">
      <c r="A383" s="6">
        <v>10390</v>
      </c>
      <c r="B383" s="3">
        <v>72</v>
      </c>
      <c r="C383" s="3">
        <v>27.8</v>
      </c>
      <c r="D383" s="3">
        <v>24</v>
      </c>
      <c r="E383" s="4">
        <v>0.1</v>
      </c>
      <c r="F383" s="5">
        <f t="shared" si="5"/>
        <v>600.48</v>
      </c>
    </row>
    <row r="384" spans="1:6" x14ac:dyDescent="0.45">
      <c r="A384" s="6">
        <v>10391</v>
      </c>
      <c r="B384" s="3">
        <v>13</v>
      </c>
      <c r="C384" s="3">
        <v>4.8</v>
      </c>
      <c r="D384" s="3">
        <v>18</v>
      </c>
      <c r="E384" s="4">
        <v>0</v>
      </c>
      <c r="F384" s="5">
        <f t="shared" si="5"/>
        <v>86.399999999999991</v>
      </c>
    </row>
    <row r="385" spans="1:6" x14ac:dyDescent="0.45">
      <c r="A385" s="6">
        <v>10392</v>
      </c>
      <c r="B385" s="3">
        <v>69</v>
      </c>
      <c r="C385" s="3">
        <v>28.8</v>
      </c>
      <c r="D385" s="3">
        <v>50</v>
      </c>
      <c r="E385" s="4">
        <v>0</v>
      </c>
      <c r="F385" s="5">
        <f t="shared" si="5"/>
        <v>1440</v>
      </c>
    </row>
    <row r="386" spans="1:6" x14ac:dyDescent="0.45">
      <c r="A386" s="6">
        <v>10393</v>
      </c>
      <c r="B386" s="3">
        <v>2</v>
      </c>
      <c r="C386" s="3">
        <v>15.2</v>
      </c>
      <c r="D386" s="3">
        <v>25</v>
      </c>
      <c r="E386" s="4">
        <v>0.25</v>
      </c>
      <c r="F386" s="5">
        <f t="shared" ref="F386:F449" si="6">C386*D386*(1-E386)</f>
        <v>285</v>
      </c>
    </row>
    <row r="387" spans="1:6" x14ac:dyDescent="0.45">
      <c r="A387" s="6">
        <v>10393</v>
      </c>
      <c r="B387" s="3">
        <v>14</v>
      </c>
      <c r="C387" s="3">
        <v>18.600000000000001</v>
      </c>
      <c r="D387" s="3">
        <v>42</v>
      </c>
      <c r="E387" s="4">
        <v>0.25</v>
      </c>
      <c r="F387" s="5">
        <f t="shared" si="6"/>
        <v>585.90000000000009</v>
      </c>
    </row>
    <row r="388" spans="1:6" x14ac:dyDescent="0.45">
      <c r="A388" s="6">
        <v>10393</v>
      </c>
      <c r="B388" s="3">
        <v>25</v>
      </c>
      <c r="C388" s="3">
        <v>11.2</v>
      </c>
      <c r="D388" s="3">
        <v>7</v>
      </c>
      <c r="E388" s="4">
        <v>0.25</v>
      </c>
      <c r="F388" s="5">
        <f t="shared" si="6"/>
        <v>58.8</v>
      </c>
    </row>
    <row r="389" spans="1:6" x14ac:dyDescent="0.45">
      <c r="A389" s="6">
        <v>10393</v>
      </c>
      <c r="B389" s="3">
        <v>26</v>
      </c>
      <c r="C389" s="3">
        <v>24.9</v>
      </c>
      <c r="D389" s="3">
        <v>70</v>
      </c>
      <c r="E389" s="4">
        <v>0.25</v>
      </c>
      <c r="F389" s="5">
        <f t="shared" si="6"/>
        <v>1307.25</v>
      </c>
    </row>
    <row r="390" spans="1:6" x14ac:dyDescent="0.45">
      <c r="A390" s="6">
        <v>10393</v>
      </c>
      <c r="B390" s="3">
        <v>31</v>
      </c>
      <c r="C390" s="3">
        <v>10</v>
      </c>
      <c r="D390" s="3">
        <v>32</v>
      </c>
      <c r="E390" s="4">
        <v>0</v>
      </c>
      <c r="F390" s="5">
        <f t="shared" si="6"/>
        <v>320</v>
      </c>
    </row>
    <row r="391" spans="1:6" x14ac:dyDescent="0.45">
      <c r="A391" s="6">
        <v>10394</v>
      </c>
      <c r="B391" s="3">
        <v>13</v>
      </c>
      <c r="C391" s="3">
        <v>4.8</v>
      </c>
      <c r="D391" s="3">
        <v>10</v>
      </c>
      <c r="E391" s="4">
        <v>0</v>
      </c>
      <c r="F391" s="5">
        <f t="shared" si="6"/>
        <v>48</v>
      </c>
    </row>
    <row r="392" spans="1:6" x14ac:dyDescent="0.45">
      <c r="A392" s="6">
        <v>10394</v>
      </c>
      <c r="B392" s="3">
        <v>62</v>
      </c>
      <c r="C392" s="3">
        <v>39.4</v>
      </c>
      <c r="D392" s="3">
        <v>10</v>
      </c>
      <c r="E392" s="4">
        <v>0</v>
      </c>
      <c r="F392" s="5">
        <f t="shared" si="6"/>
        <v>394</v>
      </c>
    </row>
    <row r="393" spans="1:6" x14ac:dyDescent="0.45">
      <c r="A393" s="6">
        <v>10395</v>
      </c>
      <c r="B393" s="3">
        <v>46</v>
      </c>
      <c r="C393" s="3">
        <v>9.6</v>
      </c>
      <c r="D393" s="3">
        <v>28</v>
      </c>
      <c r="E393" s="4">
        <v>0.1</v>
      </c>
      <c r="F393" s="5">
        <f t="shared" si="6"/>
        <v>241.92000000000002</v>
      </c>
    </row>
    <row r="394" spans="1:6" x14ac:dyDescent="0.45">
      <c r="A394" s="6">
        <v>10395</v>
      </c>
      <c r="B394" s="3">
        <v>53</v>
      </c>
      <c r="C394" s="3">
        <v>26.2</v>
      </c>
      <c r="D394" s="3">
        <v>70</v>
      </c>
      <c r="E394" s="4">
        <v>0.1</v>
      </c>
      <c r="F394" s="5">
        <f t="shared" si="6"/>
        <v>1650.6000000000001</v>
      </c>
    </row>
    <row r="395" spans="1:6" x14ac:dyDescent="0.45">
      <c r="A395" s="6">
        <v>10395</v>
      </c>
      <c r="B395" s="3">
        <v>69</v>
      </c>
      <c r="C395" s="3">
        <v>28.8</v>
      </c>
      <c r="D395" s="3">
        <v>8</v>
      </c>
      <c r="E395" s="4">
        <v>0</v>
      </c>
      <c r="F395" s="5">
        <f t="shared" si="6"/>
        <v>230.4</v>
      </c>
    </row>
    <row r="396" spans="1:6" x14ac:dyDescent="0.45">
      <c r="A396" s="6">
        <v>10396</v>
      </c>
      <c r="B396" s="3">
        <v>23</v>
      </c>
      <c r="C396" s="3">
        <v>7.2</v>
      </c>
      <c r="D396" s="3">
        <v>40</v>
      </c>
      <c r="E396" s="4">
        <v>0</v>
      </c>
      <c r="F396" s="5">
        <f t="shared" si="6"/>
        <v>288</v>
      </c>
    </row>
    <row r="397" spans="1:6" x14ac:dyDescent="0.45">
      <c r="A397" s="6">
        <v>10396</v>
      </c>
      <c r="B397" s="3">
        <v>71</v>
      </c>
      <c r="C397" s="3">
        <v>17.2</v>
      </c>
      <c r="D397" s="3">
        <v>60</v>
      </c>
      <c r="E397" s="4">
        <v>0</v>
      </c>
      <c r="F397" s="5">
        <f t="shared" si="6"/>
        <v>1032</v>
      </c>
    </row>
    <row r="398" spans="1:6" x14ac:dyDescent="0.45">
      <c r="A398" s="6">
        <v>10396</v>
      </c>
      <c r="B398" s="3">
        <v>72</v>
      </c>
      <c r="C398" s="3">
        <v>27.8</v>
      </c>
      <c r="D398" s="3">
        <v>21</v>
      </c>
      <c r="E398" s="4">
        <v>0</v>
      </c>
      <c r="F398" s="5">
        <f t="shared" si="6"/>
        <v>583.80000000000007</v>
      </c>
    </row>
    <row r="399" spans="1:6" x14ac:dyDescent="0.45">
      <c r="A399" s="6">
        <v>10397</v>
      </c>
      <c r="B399" s="3">
        <v>21</v>
      </c>
      <c r="C399" s="3">
        <v>8</v>
      </c>
      <c r="D399" s="3">
        <v>10</v>
      </c>
      <c r="E399" s="4">
        <v>0.15</v>
      </c>
      <c r="F399" s="5">
        <f t="shared" si="6"/>
        <v>68</v>
      </c>
    </row>
    <row r="400" spans="1:6" x14ac:dyDescent="0.45">
      <c r="A400" s="6">
        <v>10397</v>
      </c>
      <c r="B400" s="3">
        <v>51</v>
      </c>
      <c r="C400" s="3">
        <v>42.4</v>
      </c>
      <c r="D400" s="3">
        <v>18</v>
      </c>
      <c r="E400" s="4">
        <v>0.15</v>
      </c>
      <c r="F400" s="5">
        <f t="shared" si="6"/>
        <v>648.71999999999991</v>
      </c>
    </row>
    <row r="401" spans="1:6" x14ac:dyDescent="0.45">
      <c r="A401" s="6">
        <v>10398</v>
      </c>
      <c r="B401" s="3">
        <v>35</v>
      </c>
      <c r="C401" s="3">
        <v>14.4</v>
      </c>
      <c r="D401" s="3">
        <v>30</v>
      </c>
      <c r="E401" s="4">
        <v>0</v>
      </c>
      <c r="F401" s="5">
        <f t="shared" si="6"/>
        <v>432</v>
      </c>
    </row>
    <row r="402" spans="1:6" x14ac:dyDescent="0.45">
      <c r="A402" s="6">
        <v>10398</v>
      </c>
      <c r="B402" s="3">
        <v>55</v>
      </c>
      <c r="C402" s="3">
        <v>19.2</v>
      </c>
      <c r="D402" s="3">
        <v>120</v>
      </c>
      <c r="E402" s="4">
        <v>0.1</v>
      </c>
      <c r="F402" s="5">
        <f t="shared" si="6"/>
        <v>2073.6</v>
      </c>
    </row>
    <row r="403" spans="1:6" x14ac:dyDescent="0.45">
      <c r="A403" s="6">
        <v>10399</v>
      </c>
      <c r="B403" s="3">
        <v>68</v>
      </c>
      <c r="C403" s="3">
        <v>10</v>
      </c>
      <c r="D403" s="3">
        <v>60</v>
      </c>
      <c r="E403" s="4">
        <v>0</v>
      </c>
      <c r="F403" s="5">
        <f t="shared" si="6"/>
        <v>600</v>
      </c>
    </row>
    <row r="404" spans="1:6" x14ac:dyDescent="0.45">
      <c r="A404" s="6">
        <v>10399</v>
      </c>
      <c r="B404" s="3">
        <v>71</v>
      </c>
      <c r="C404" s="3">
        <v>17.2</v>
      </c>
      <c r="D404" s="3">
        <v>30</v>
      </c>
      <c r="E404" s="4">
        <v>0</v>
      </c>
      <c r="F404" s="5">
        <f t="shared" si="6"/>
        <v>516</v>
      </c>
    </row>
    <row r="405" spans="1:6" x14ac:dyDescent="0.45">
      <c r="A405" s="6">
        <v>10399</v>
      </c>
      <c r="B405" s="3">
        <v>76</v>
      </c>
      <c r="C405" s="3">
        <v>14.4</v>
      </c>
      <c r="D405" s="3">
        <v>35</v>
      </c>
      <c r="E405" s="4">
        <v>0</v>
      </c>
      <c r="F405" s="5">
        <f t="shared" si="6"/>
        <v>504</v>
      </c>
    </row>
    <row r="406" spans="1:6" x14ac:dyDescent="0.45">
      <c r="A406" s="6">
        <v>10399</v>
      </c>
      <c r="B406" s="3">
        <v>77</v>
      </c>
      <c r="C406" s="3">
        <v>10.4</v>
      </c>
      <c r="D406" s="3">
        <v>14</v>
      </c>
      <c r="E406" s="4">
        <v>0</v>
      </c>
      <c r="F406" s="5">
        <f t="shared" si="6"/>
        <v>145.6</v>
      </c>
    </row>
    <row r="407" spans="1:6" x14ac:dyDescent="0.45">
      <c r="A407" s="6">
        <v>10400</v>
      </c>
      <c r="B407" s="3">
        <v>29</v>
      </c>
      <c r="C407" s="3">
        <v>99</v>
      </c>
      <c r="D407" s="3">
        <v>21</v>
      </c>
      <c r="E407" s="4">
        <v>0</v>
      </c>
      <c r="F407" s="5">
        <f t="shared" si="6"/>
        <v>2079</v>
      </c>
    </row>
    <row r="408" spans="1:6" x14ac:dyDescent="0.45">
      <c r="A408" s="6">
        <v>10400</v>
      </c>
      <c r="B408" s="3">
        <v>35</v>
      </c>
      <c r="C408" s="3">
        <v>14.4</v>
      </c>
      <c r="D408" s="3">
        <v>35</v>
      </c>
      <c r="E408" s="4">
        <v>0</v>
      </c>
      <c r="F408" s="5">
        <f t="shared" si="6"/>
        <v>504</v>
      </c>
    </row>
    <row r="409" spans="1:6" x14ac:dyDescent="0.45">
      <c r="A409" s="6">
        <v>10400</v>
      </c>
      <c r="B409" s="3">
        <v>49</v>
      </c>
      <c r="C409" s="3">
        <v>16</v>
      </c>
      <c r="D409" s="3">
        <v>30</v>
      </c>
      <c r="E409" s="4">
        <v>0</v>
      </c>
      <c r="F409" s="5">
        <f t="shared" si="6"/>
        <v>480</v>
      </c>
    </row>
    <row r="410" spans="1:6" x14ac:dyDescent="0.45">
      <c r="A410" s="6">
        <v>10401</v>
      </c>
      <c r="B410" s="3">
        <v>30</v>
      </c>
      <c r="C410" s="3">
        <v>20.7</v>
      </c>
      <c r="D410" s="3">
        <v>18</v>
      </c>
      <c r="E410" s="4">
        <v>0</v>
      </c>
      <c r="F410" s="5">
        <f t="shared" si="6"/>
        <v>372.59999999999997</v>
      </c>
    </row>
    <row r="411" spans="1:6" x14ac:dyDescent="0.45">
      <c r="A411" s="6">
        <v>10401</v>
      </c>
      <c r="B411" s="3">
        <v>56</v>
      </c>
      <c r="C411" s="3">
        <v>30.4</v>
      </c>
      <c r="D411" s="3">
        <v>70</v>
      </c>
      <c r="E411" s="4">
        <v>0</v>
      </c>
      <c r="F411" s="5">
        <f t="shared" si="6"/>
        <v>2128</v>
      </c>
    </row>
    <row r="412" spans="1:6" x14ac:dyDescent="0.45">
      <c r="A412" s="6">
        <v>10401</v>
      </c>
      <c r="B412" s="3">
        <v>65</v>
      </c>
      <c r="C412" s="3">
        <v>16.8</v>
      </c>
      <c r="D412" s="3">
        <v>20</v>
      </c>
      <c r="E412" s="4">
        <v>0</v>
      </c>
      <c r="F412" s="5">
        <f t="shared" si="6"/>
        <v>336</v>
      </c>
    </row>
    <row r="413" spans="1:6" x14ac:dyDescent="0.45">
      <c r="A413" s="6">
        <v>10401</v>
      </c>
      <c r="B413" s="3">
        <v>71</v>
      </c>
      <c r="C413" s="3">
        <v>17.2</v>
      </c>
      <c r="D413" s="3">
        <v>60</v>
      </c>
      <c r="E413" s="4">
        <v>0</v>
      </c>
      <c r="F413" s="5">
        <f t="shared" si="6"/>
        <v>1032</v>
      </c>
    </row>
    <row r="414" spans="1:6" x14ac:dyDescent="0.45">
      <c r="A414" s="6">
        <v>10402</v>
      </c>
      <c r="B414" s="3">
        <v>23</v>
      </c>
      <c r="C414" s="3">
        <v>7.2</v>
      </c>
      <c r="D414" s="3">
        <v>60</v>
      </c>
      <c r="E414" s="4">
        <v>0</v>
      </c>
      <c r="F414" s="5">
        <f t="shared" si="6"/>
        <v>432</v>
      </c>
    </row>
    <row r="415" spans="1:6" x14ac:dyDescent="0.45">
      <c r="A415" s="6">
        <v>10402</v>
      </c>
      <c r="B415" s="3">
        <v>63</v>
      </c>
      <c r="C415" s="3">
        <v>35.1</v>
      </c>
      <c r="D415" s="3">
        <v>65</v>
      </c>
      <c r="E415" s="4">
        <v>0</v>
      </c>
      <c r="F415" s="5">
        <f t="shared" si="6"/>
        <v>2281.5</v>
      </c>
    </row>
    <row r="416" spans="1:6" x14ac:dyDescent="0.45">
      <c r="A416" s="6">
        <v>10403</v>
      </c>
      <c r="B416" s="3">
        <v>16</v>
      </c>
      <c r="C416" s="3">
        <v>13.9</v>
      </c>
      <c r="D416" s="3">
        <v>21</v>
      </c>
      <c r="E416" s="4">
        <v>0.15</v>
      </c>
      <c r="F416" s="5">
        <f t="shared" si="6"/>
        <v>248.11500000000001</v>
      </c>
    </row>
    <row r="417" spans="1:6" x14ac:dyDescent="0.45">
      <c r="A417" s="6">
        <v>10403</v>
      </c>
      <c r="B417" s="3">
        <v>48</v>
      </c>
      <c r="C417" s="3">
        <v>10.199999999999999</v>
      </c>
      <c r="D417" s="3">
        <v>70</v>
      </c>
      <c r="E417" s="4">
        <v>0.15</v>
      </c>
      <c r="F417" s="5">
        <f t="shared" si="6"/>
        <v>606.9</v>
      </c>
    </row>
    <row r="418" spans="1:6" x14ac:dyDescent="0.45">
      <c r="A418" s="6">
        <v>10404</v>
      </c>
      <c r="B418" s="3">
        <v>26</v>
      </c>
      <c r="C418" s="3">
        <v>24.9</v>
      </c>
      <c r="D418" s="3">
        <v>30</v>
      </c>
      <c r="E418" s="4">
        <v>0.05</v>
      </c>
      <c r="F418" s="5">
        <f t="shared" si="6"/>
        <v>709.65</v>
      </c>
    </row>
    <row r="419" spans="1:6" x14ac:dyDescent="0.45">
      <c r="A419" s="6">
        <v>10404</v>
      </c>
      <c r="B419" s="3">
        <v>42</v>
      </c>
      <c r="C419" s="3">
        <v>11.2</v>
      </c>
      <c r="D419" s="3">
        <v>40</v>
      </c>
      <c r="E419" s="4">
        <v>0.05</v>
      </c>
      <c r="F419" s="5">
        <f t="shared" si="6"/>
        <v>425.59999999999997</v>
      </c>
    </row>
    <row r="420" spans="1:6" x14ac:dyDescent="0.45">
      <c r="A420" s="6">
        <v>10404</v>
      </c>
      <c r="B420" s="3">
        <v>49</v>
      </c>
      <c r="C420" s="3">
        <v>16</v>
      </c>
      <c r="D420" s="3">
        <v>30</v>
      </c>
      <c r="E420" s="4">
        <v>0.05</v>
      </c>
      <c r="F420" s="5">
        <f t="shared" si="6"/>
        <v>456</v>
      </c>
    </row>
    <row r="421" spans="1:6" x14ac:dyDescent="0.45">
      <c r="A421" s="6">
        <v>10405</v>
      </c>
      <c r="B421" s="3">
        <v>3</v>
      </c>
      <c r="C421" s="3">
        <v>8</v>
      </c>
      <c r="D421" s="3">
        <v>50</v>
      </c>
      <c r="E421" s="4">
        <v>0</v>
      </c>
      <c r="F421" s="5">
        <f t="shared" si="6"/>
        <v>400</v>
      </c>
    </row>
    <row r="422" spans="1:6" x14ac:dyDescent="0.45">
      <c r="A422" s="6">
        <v>10406</v>
      </c>
      <c r="B422" s="3">
        <v>1</v>
      </c>
      <c r="C422" s="3">
        <v>14.4</v>
      </c>
      <c r="D422" s="3">
        <v>10</v>
      </c>
      <c r="E422" s="4">
        <v>0</v>
      </c>
      <c r="F422" s="5">
        <f t="shared" si="6"/>
        <v>144</v>
      </c>
    </row>
    <row r="423" spans="1:6" x14ac:dyDescent="0.45">
      <c r="A423" s="6">
        <v>10406</v>
      </c>
      <c r="B423" s="3">
        <v>21</v>
      </c>
      <c r="C423" s="3">
        <v>8</v>
      </c>
      <c r="D423" s="3">
        <v>30</v>
      </c>
      <c r="E423" s="4">
        <v>0.1</v>
      </c>
      <c r="F423" s="5">
        <f t="shared" si="6"/>
        <v>216</v>
      </c>
    </row>
    <row r="424" spans="1:6" x14ac:dyDescent="0.45">
      <c r="A424" s="6">
        <v>10406</v>
      </c>
      <c r="B424" s="3">
        <v>28</v>
      </c>
      <c r="C424" s="3">
        <v>36.4</v>
      </c>
      <c r="D424" s="3">
        <v>42</v>
      </c>
      <c r="E424" s="4">
        <v>0.1</v>
      </c>
      <c r="F424" s="5">
        <f t="shared" si="6"/>
        <v>1375.92</v>
      </c>
    </row>
    <row r="425" spans="1:6" x14ac:dyDescent="0.45">
      <c r="A425" s="6">
        <v>10406</v>
      </c>
      <c r="B425" s="3">
        <v>36</v>
      </c>
      <c r="C425" s="3">
        <v>15.2</v>
      </c>
      <c r="D425" s="3">
        <v>5</v>
      </c>
      <c r="E425" s="4">
        <v>0.1</v>
      </c>
      <c r="F425" s="5">
        <f t="shared" si="6"/>
        <v>68.400000000000006</v>
      </c>
    </row>
    <row r="426" spans="1:6" x14ac:dyDescent="0.45">
      <c r="A426" s="6">
        <v>10406</v>
      </c>
      <c r="B426" s="3">
        <v>40</v>
      </c>
      <c r="C426" s="3">
        <v>14.7</v>
      </c>
      <c r="D426" s="3">
        <v>2</v>
      </c>
      <c r="E426" s="4">
        <v>0.1</v>
      </c>
      <c r="F426" s="5">
        <f t="shared" si="6"/>
        <v>26.46</v>
      </c>
    </row>
    <row r="427" spans="1:6" x14ac:dyDescent="0.45">
      <c r="A427" s="6">
        <v>10407</v>
      </c>
      <c r="B427" s="3">
        <v>11</v>
      </c>
      <c r="C427" s="3">
        <v>16.8</v>
      </c>
      <c r="D427" s="3">
        <v>30</v>
      </c>
      <c r="E427" s="4">
        <v>0</v>
      </c>
      <c r="F427" s="5">
        <f t="shared" si="6"/>
        <v>504</v>
      </c>
    </row>
    <row r="428" spans="1:6" x14ac:dyDescent="0.45">
      <c r="A428" s="6">
        <v>10407</v>
      </c>
      <c r="B428" s="3">
        <v>69</v>
      </c>
      <c r="C428" s="3">
        <v>28.8</v>
      </c>
      <c r="D428" s="3">
        <v>15</v>
      </c>
      <c r="E428" s="4">
        <v>0</v>
      </c>
      <c r="F428" s="5">
        <f t="shared" si="6"/>
        <v>432</v>
      </c>
    </row>
    <row r="429" spans="1:6" x14ac:dyDescent="0.45">
      <c r="A429" s="6">
        <v>10407</v>
      </c>
      <c r="B429" s="3">
        <v>71</v>
      </c>
      <c r="C429" s="3">
        <v>17.2</v>
      </c>
      <c r="D429" s="3">
        <v>15</v>
      </c>
      <c r="E429" s="4">
        <v>0</v>
      </c>
      <c r="F429" s="5">
        <f t="shared" si="6"/>
        <v>258</v>
      </c>
    </row>
    <row r="430" spans="1:6" x14ac:dyDescent="0.45">
      <c r="A430" s="6">
        <v>10408</v>
      </c>
      <c r="B430" s="3">
        <v>37</v>
      </c>
      <c r="C430" s="3">
        <v>20.8</v>
      </c>
      <c r="D430" s="3">
        <v>10</v>
      </c>
      <c r="E430" s="4">
        <v>0</v>
      </c>
      <c r="F430" s="5">
        <f t="shared" si="6"/>
        <v>208</v>
      </c>
    </row>
    <row r="431" spans="1:6" x14ac:dyDescent="0.45">
      <c r="A431" s="6">
        <v>10408</v>
      </c>
      <c r="B431" s="3">
        <v>54</v>
      </c>
      <c r="C431" s="3">
        <v>5.9</v>
      </c>
      <c r="D431" s="3">
        <v>6</v>
      </c>
      <c r="E431" s="4">
        <v>0</v>
      </c>
      <c r="F431" s="5">
        <f t="shared" si="6"/>
        <v>35.400000000000006</v>
      </c>
    </row>
    <row r="432" spans="1:6" x14ac:dyDescent="0.45">
      <c r="A432" s="6">
        <v>10408</v>
      </c>
      <c r="B432" s="3">
        <v>62</v>
      </c>
      <c r="C432" s="3">
        <v>39.4</v>
      </c>
      <c r="D432" s="3">
        <v>35</v>
      </c>
      <c r="E432" s="4">
        <v>0</v>
      </c>
      <c r="F432" s="5">
        <f t="shared" si="6"/>
        <v>1379</v>
      </c>
    </row>
    <row r="433" spans="1:6" x14ac:dyDescent="0.45">
      <c r="A433" s="6">
        <v>10409</v>
      </c>
      <c r="B433" s="3">
        <v>14</v>
      </c>
      <c r="C433" s="3">
        <v>18.600000000000001</v>
      </c>
      <c r="D433" s="3">
        <v>12</v>
      </c>
      <c r="E433" s="4">
        <v>0</v>
      </c>
      <c r="F433" s="5">
        <f t="shared" si="6"/>
        <v>223.20000000000002</v>
      </c>
    </row>
    <row r="434" spans="1:6" x14ac:dyDescent="0.45">
      <c r="A434" s="6">
        <v>10409</v>
      </c>
      <c r="B434" s="3">
        <v>21</v>
      </c>
      <c r="C434" s="3">
        <v>8</v>
      </c>
      <c r="D434" s="3">
        <v>12</v>
      </c>
      <c r="E434" s="4">
        <v>0</v>
      </c>
      <c r="F434" s="5">
        <f t="shared" si="6"/>
        <v>96</v>
      </c>
    </row>
    <row r="435" spans="1:6" x14ac:dyDescent="0.45">
      <c r="A435" s="6">
        <v>10410</v>
      </c>
      <c r="B435" s="3">
        <v>33</v>
      </c>
      <c r="C435" s="3">
        <v>2</v>
      </c>
      <c r="D435" s="3">
        <v>49</v>
      </c>
      <c r="E435" s="4">
        <v>0</v>
      </c>
      <c r="F435" s="5">
        <f t="shared" si="6"/>
        <v>98</v>
      </c>
    </row>
    <row r="436" spans="1:6" x14ac:dyDescent="0.45">
      <c r="A436" s="6">
        <v>10410</v>
      </c>
      <c r="B436" s="3">
        <v>59</v>
      </c>
      <c r="C436" s="3">
        <v>44</v>
      </c>
      <c r="D436" s="3">
        <v>16</v>
      </c>
      <c r="E436" s="4">
        <v>0</v>
      </c>
      <c r="F436" s="5">
        <f t="shared" si="6"/>
        <v>704</v>
      </c>
    </row>
    <row r="437" spans="1:6" x14ac:dyDescent="0.45">
      <c r="A437" s="6">
        <v>10411</v>
      </c>
      <c r="B437" s="3">
        <v>41</v>
      </c>
      <c r="C437" s="3">
        <v>7.7</v>
      </c>
      <c r="D437" s="3">
        <v>25</v>
      </c>
      <c r="E437" s="4">
        <v>0.2</v>
      </c>
      <c r="F437" s="5">
        <f t="shared" si="6"/>
        <v>154</v>
      </c>
    </row>
    <row r="438" spans="1:6" x14ac:dyDescent="0.45">
      <c r="A438" s="6">
        <v>10411</v>
      </c>
      <c r="B438" s="3">
        <v>44</v>
      </c>
      <c r="C438" s="3">
        <v>15.5</v>
      </c>
      <c r="D438" s="3">
        <v>40</v>
      </c>
      <c r="E438" s="4">
        <v>0.2</v>
      </c>
      <c r="F438" s="5">
        <f t="shared" si="6"/>
        <v>496</v>
      </c>
    </row>
    <row r="439" spans="1:6" x14ac:dyDescent="0.45">
      <c r="A439" s="6">
        <v>10411</v>
      </c>
      <c r="B439" s="3">
        <v>59</v>
      </c>
      <c r="C439" s="3">
        <v>44</v>
      </c>
      <c r="D439" s="3">
        <v>9</v>
      </c>
      <c r="E439" s="4">
        <v>0.2</v>
      </c>
      <c r="F439" s="5">
        <f t="shared" si="6"/>
        <v>316.8</v>
      </c>
    </row>
    <row r="440" spans="1:6" x14ac:dyDescent="0.45">
      <c r="A440" s="6">
        <v>10412</v>
      </c>
      <c r="B440" s="3">
        <v>14</v>
      </c>
      <c r="C440" s="3">
        <v>18.600000000000001</v>
      </c>
      <c r="D440" s="3">
        <v>20</v>
      </c>
      <c r="E440" s="4">
        <v>0.1</v>
      </c>
      <c r="F440" s="5">
        <f t="shared" si="6"/>
        <v>334.8</v>
      </c>
    </row>
    <row r="441" spans="1:6" x14ac:dyDescent="0.45">
      <c r="A441" s="6">
        <v>10413</v>
      </c>
      <c r="B441" s="3">
        <v>1</v>
      </c>
      <c r="C441" s="3">
        <v>14.4</v>
      </c>
      <c r="D441" s="3">
        <v>24</v>
      </c>
      <c r="E441" s="4">
        <v>0</v>
      </c>
      <c r="F441" s="5">
        <f t="shared" si="6"/>
        <v>345.6</v>
      </c>
    </row>
    <row r="442" spans="1:6" x14ac:dyDescent="0.45">
      <c r="A442" s="6">
        <v>10413</v>
      </c>
      <c r="B442" s="3">
        <v>62</v>
      </c>
      <c r="C442" s="3">
        <v>39.4</v>
      </c>
      <c r="D442" s="3">
        <v>40</v>
      </c>
      <c r="E442" s="4">
        <v>0</v>
      </c>
      <c r="F442" s="5">
        <f t="shared" si="6"/>
        <v>1576</v>
      </c>
    </row>
    <row r="443" spans="1:6" x14ac:dyDescent="0.45">
      <c r="A443" s="6">
        <v>10413</v>
      </c>
      <c r="B443" s="3">
        <v>76</v>
      </c>
      <c r="C443" s="3">
        <v>14.4</v>
      </c>
      <c r="D443" s="3">
        <v>14</v>
      </c>
      <c r="E443" s="4">
        <v>0</v>
      </c>
      <c r="F443" s="5">
        <f t="shared" si="6"/>
        <v>201.6</v>
      </c>
    </row>
    <row r="444" spans="1:6" x14ac:dyDescent="0.45">
      <c r="A444" s="6">
        <v>10414</v>
      </c>
      <c r="B444" s="3">
        <v>19</v>
      </c>
      <c r="C444" s="3">
        <v>7.3</v>
      </c>
      <c r="D444" s="3">
        <v>18</v>
      </c>
      <c r="E444" s="4">
        <v>0.05</v>
      </c>
      <c r="F444" s="5">
        <f t="shared" si="6"/>
        <v>124.83</v>
      </c>
    </row>
    <row r="445" spans="1:6" x14ac:dyDescent="0.45">
      <c r="A445" s="6">
        <v>10414</v>
      </c>
      <c r="B445" s="3">
        <v>33</v>
      </c>
      <c r="C445" s="3">
        <v>2</v>
      </c>
      <c r="D445" s="3">
        <v>50</v>
      </c>
      <c r="E445" s="4">
        <v>0</v>
      </c>
      <c r="F445" s="5">
        <f t="shared" si="6"/>
        <v>100</v>
      </c>
    </row>
    <row r="446" spans="1:6" x14ac:dyDescent="0.45">
      <c r="A446" s="6">
        <v>10415</v>
      </c>
      <c r="B446" s="3">
        <v>17</v>
      </c>
      <c r="C446" s="3">
        <v>31.2</v>
      </c>
      <c r="D446" s="3">
        <v>2</v>
      </c>
      <c r="E446" s="4">
        <v>0</v>
      </c>
      <c r="F446" s="5">
        <f t="shared" si="6"/>
        <v>62.4</v>
      </c>
    </row>
    <row r="447" spans="1:6" x14ac:dyDescent="0.45">
      <c r="A447" s="6">
        <v>10415</v>
      </c>
      <c r="B447" s="3">
        <v>33</v>
      </c>
      <c r="C447" s="3">
        <v>2</v>
      </c>
      <c r="D447" s="3">
        <v>20</v>
      </c>
      <c r="E447" s="4">
        <v>0</v>
      </c>
      <c r="F447" s="5">
        <f t="shared" si="6"/>
        <v>40</v>
      </c>
    </row>
    <row r="448" spans="1:6" x14ac:dyDescent="0.45">
      <c r="A448" s="6">
        <v>10416</v>
      </c>
      <c r="B448" s="3">
        <v>19</v>
      </c>
      <c r="C448" s="3">
        <v>7.3</v>
      </c>
      <c r="D448" s="3">
        <v>20</v>
      </c>
      <c r="E448" s="4">
        <v>0</v>
      </c>
      <c r="F448" s="5">
        <f t="shared" si="6"/>
        <v>146</v>
      </c>
    </row>
    <row r="449" spans="1:6" x14ac:dyDescent="0.45">
      <c r="A449" s="6">
        <v>10416</v>
      </c>
      <c r="B449" s="3">
        <v>53</v>
      </c>
      <c r="C449" s="3">
        <v>26.2</v>
      </c>
      <c r="D449" s="3">
        <v>10</v>
      </c>
      <c r="E449" s="4">
        <v>0</v>
      </c>
      <c r="F449" s="5">
        <f t="shared" si="6"/>
        <v>262</v>
      </c>
    </row>
    <row r="450" spans="1:6" x14ac:dyDescent="0.45">
      <c r="A450" s="6">
        <v>10416</v>
      </c>
      <c r="B450" s="3">
        <v>57</v>
      </c>
      <c r="C450" s="3">
        <v>15.6</v>
      </c>
      <c r="D450" s="3">
        <v>20</v>
      </c>
      <c r="E450" s="4">
        <v>0</v>
      </c>
      <c r="F450" s="5">
        <f t="shared" ref="F450:F513" si="7">C450*D450*(1-E450)</f>
        <v>312</v>
      </c>
    </row>
    <row r="451" spans="1:6" x14ac:dyDescent="0.45">
      <c r="A451" s="6">
        <v>10417</v>
      </c>
      <c r="B451" s="3">
        <v>38</v>
      </c>
      <c r="C451" s="3">
        <v>210.8</v>
      </c>
      <c r="D451" s="3">
        <v>50</v>
      </c>
      <c r="E451" s="4">
        <v>0</v>
      </c>
      <c r="F451" s="5">
        <f t="shared" si="7"/>
        <v>10540</v>
      </c>
    </row>
    <row r="452" spans="1:6" x14ac:dyDescent="0.45">
      <c r="A452" s="6">
        <v>10417</v>
      </c>
      <c r="B452" s="3">
        <v>46</v>
      </c>
      <c r="C452" s="3">
        <v>9.6</v>
      </c>
      <c r="D452" s="3">
        <v>2</v>
      </c>
      <c r="E452" s="4">
        <v>0.25</v>
      </c>
      <c r="F452" s="5">
        <f t="shared" si="7"/>
        <v>14.399999999999999</v>
      </c>
    </row>
    <row r="453" spans="1:6" x14ac:dyDescent="0.45">
      <c r="A453" s="6">
        <v>10417</v>
      </c>
      <c r="B453" s="3">
        <v>68</v>
      </c>
      <c r="C453" s="3">
        <v>10</v>
      </c>
      <c r="D453" s="3">
        <v>36</v>
      </c>
      <c r="E453" s="4">
        <v>0.25</v>
      </c>
      <c r="F453" s="5">
        <f t="shared" si="7"/>
        <v>270</v>
      </c>
    </row>
    <row r="454" spans="1:6" x14ac:dyDescent="0.45">
      <c r="A454" s="6">
        <v>10417</v>
      </c>
      <c r="B454" s="3">
        <v>77</v>
      </c>
      <c r="C454" s="3">
        <v>10.4</v>
      </c>
      <c r="D454" s="3">
        <v>35</v>
      </c>
      <c r="E454" s="4">
        <v>0</v>
      </c>
      <c r="F454" s="5">
        <f t="shared" si="7"/>
        <v>364</v>
      </c>
    </row>
    <row r="455" spans="1:6" x14ac:dyDescent="0.45">
      <c r="A455" s="6">
        <v>10418</v>
      </c>
      <c r="B455" s="3">
        <v>2</v>
      </c>
      <c r="C455" s="3">
        <v>15.2</v>
      </c>
      <c r="D455" s="3">
        <v>60</v>
      </c>
      <c r="E455" s="4">
        <v>0</v>
      </c>
      <c r="F455" s="5">
        <f t="shared" si="7"/>
        <v>912</v>
      </c>
    </row>
    <row r="456" spans="1:6" x14ac:dyDescent="0.45">
      <c r="A456" s="6">
        <v>10418</v>
      </c>
      <c r="B456" s="3">
        <v>47</v>
      </c>
      <c r="C456" s="3">
        <v>7.6</v>
      </c>
      <c r="D456" s="3">
        <v>55</v>
      </c>
      <c r="E456" s="4">
        <v>0</v>
      </c>
      <c r="F456" s="5">
        <f t="shared" si="7"/>
        <v>418</v>
      </c>
    </row>
    <row r="457" spans="1:6" x14ac:dyDescent="0.45">
      <c r="A457" s="6">
        <v>10418</v>
      </c>
      <c r="B457" s="3">
        <v>61</v>
      </c>
      <c r="C457" s="3">
        <v>22.8</v>
      </c>
      <c r="D457" s="3">
        <v>16</v>
      </c>
      <c r="E457" s="4">
        <v>0</v>
      </c>
      <c r="F457" s="5">
        <f t="shared" si="7"/>
        <v>364.8</v>
      </c>
    </row>
    <row r="458" spans="1:6" x14ac:dyDescent="0.45">
      <c r="A458" s="6">
        <v>10418</v>
      </c>
      <c r="B458" s="3">
        <v>74</v>
      </c>
      <c r="C458" s="3">
        <v>8</v>
      </c>
      <c r="D458" s="3">
        <v>15</v>
      </c>
      <c r="E458" s="4">
        <v>0</v>
      </c>
      <c r="F458" s="5">
        <f t="shared" si="7"/>
        <v>120</v>
      </c>
    </row>
    <row r="459" spans="1:6" x14ac:dyDescent="0.45">
      <c r="A459" s="6">
        <v>10419</v>
      </c>
      <c r="B459" s="3">
        <v>60</v>
      </c>
      <c r="C459" s="3">
        <v>27.2</v>
      </c>
      <c r="D459" s="3">
        <v>60</v>
      </c>
      <c r="E459" s="4">
        <v>0.05</v>
      </c>
      <c r="F459" s="5">
        <f t="shared" si="7"/>
        <v>1550.3999999999999</v>
      </c>
    </row>
    <row r="460" spans="1:6" x14ac:dyDescent="0.45">
      <c r="A460" s="6">
        <v>10419</v>
      </c>
      <c r="B460" s="3">
        <v>69</v>
      </c>
      <c r="C460" s="3">
        <v>28.8</v>
      </c>
      <c r="D460" s="3">
        <v>20</v>
      </c>
      <c r="E460" s="4">
        <v>0.05</v>
      </c>
      <c r="F460" s="5">
        <f t="shared" si="7"/>
        <v>547.19999999999993</v>
      </c>
    </row>
    <row r="461" spans="1:6" x14ac:dyDescent="0.45">
      <c r="A461" s="6">
        <v>10420</v>
      </c>
      <c r="B461" s="3">
        <v>9</v>
      </c>
      <c r="C461" s="3">
        <v>77.599999999999994</v>
      </c>
      <c r="D461" s="3">
        <v>20</v>
      </c>
      <c r="E461" s="4">
        <v>0.1</v>
      </c>
      <c r="F461" s="5">
        <f t="shared" si="7"/>
        <v>1396.8</v>
      </c>
    </row>
    <row r="462" spans="1:6" x14ac:dyDescent="0.45">
      <c r="A462" s="6">
        <v>10420</v>
      </c>
      <c r="B462" s="3">
        <v>13</v>
      </c>
      <c r="C462" s="3">
        <v>4.8</v>
      </c>
      <c r="D462" s="3">
        <v>2</v>
      </c>
      <c r="E462" s="4">
        <v>0.1</v>
      </c>
      <c r="F462" s="5">
        <f t="shared" si="7"/>
        <v>8.64</v>
      </c>
    </row>
    <row r="463" spans="1:6" x14ac:dyDescent="0.45">
      <c r="A463" s="6">
        <v>10420</v>
      </c>
      <c r="B463" s="3">
        <v>70</v>
      </c>
      <c r="C463" s="3">
        <v>12</v>
      </c>
      <c r="D463" s="3">
        <v>8</v>
      </c>
      <c r="E463" s="4">
        <v>0.1</v>
      </c>
      <c r="F463" s="5">
        <f t="shared" si="7"/>
        <v>86.4</v>
      </c>
    </row>
    <row r="464" spans="1:6" x14ac:dyDescent="0.45">
      <c r="A464" s="6">
        <v>10420</v>
      </c>
      <c r="B464" s="3">
        <v>73</v>
      </c>
      <c r="C464" s="3">
        <v>12</v>
      </c>
      <c r="D464" s="3">
        <v>20</v>
      </c>
      <c r="E464" s="4">
        <v>0.1</v>
      </c>
      <c r="F464" s="5">
        <f t="shared" si="7"/>
        <v>216</v>
      </c>
    </row>
    <row r="465" spans="1:6" x14ac:dyDescent="0.45">
      <c r="A465" s="6">
        <v>10421</v>
      </c>
      <c r="B465" s="3">
        <v>19</v>
      </c>
      <c r="C465" s="3">
        <v>7.3</v>
      </c>
      <c r="D465" s="3">
        <v>4</v>
      </c>
      <c r="E465" s="4">
        <v>0.15</v>
      </c>
      <c r="F465" s="5">
        <f t="shared" si="7"/>
        <v>24.82</v>
      </c>
    </row>
    <row r="466" spans="1:6" x14ac:dyDescent="0.45">
      <c r="A466" s="6">
        <v>10421</v>
      </c>
      <c r="B466" s="3">
        <v>26</v>
      </c>
      <c r="C466" s="3">
        <v>24.9</v>
      </c>
      <c r="D466" s="3">
        <v>30</v>
      </c>
      <c r="E466" s="4">
        <v>0</v>
      </c>
      <c r="F466" s="5">
        <f t="shared" si="7"/>
        <v>747</v>
      </c>
    </row>
    <row r="467" spans="1:6" x14ac:dyDescent="0.45">
      <c r="A467" s="6">
        <v>10421</v>
      </c>
      <c r="B467" s="3">
        <v>53</v>
      </c>
      <c r="C467" s="3">
        <v>26.2</v>
      </c>
      <c r="D467" s="3">
        <v>15</v>
      </c>
      <c r="E467" s="4">
        <v>0.15</v>
      </c>
      <c r="F467" s="5">
        <f t="shared" si="7"/>
        <v>334.05</v>
      </c>
    </row>
    <row r="468" spans="1:6" x14ac:dyDescent="0.45">
      <c r="A468" s="6">
        <v>10421</v>
      </c>
      <c r="B468" s="3">
        <v>77</v>
      </c>
      <c r="C468" s="3">
        <v>10.4</v>
      </c>
      <c r="D468" s="3">
        <v>10</v>
      </c>
      <c r="E468" s="4">
        <v>0.15</v>
      </c>
      <c r="F468" s="5">
        <f t="shared" si="7"/>
        <v>88.399999999999991</v>
      </c>
    </row>
    <row r="469" spans="1:6" x14ac:dyDescent="0.45">
      <c r="A469" s="6">
        <v>10422</v>
      </c>
      <c r="B469" s="3">
        <v>26</v>
      </c>
      <c r="C469" s="3">
        <v>24.9</v>
      </c>
      <c r="D469" s="3">
        <v>2</v>
      </c>
      <c r="E469" s="4">
        <v>0</v>
      </c>
      <c r="F469" s="5">
        <f t="shared" si="7"/>
        <v>49.8</v>
      </c>
    </row>
    <row r="470" spans="1:6" x14ac:dyDescent="0.45">
      <c r="A470" s="6">
        <v>10423</v>
      </c>
      <c r="B470" s="3">
        <v>31</v>
      </c>
      <c r="C470" s="3">
        <v>10</v>
      </c>
      <c r="D470" s="3">
        <v>14</v>
      </c>
      <c r="E470" s="4">
        <v>0</v>
      </c>
      <c r="F470" s="5">
        <f t="shared" si="7"/>
        <v>140</v>
      </c>
    </row>
    <row r="471" spans="1:6" x14ac:dyDescent="0.45">
      <c r="A471" s="6">
        <v>10423</v>
      </c>
      <c r="B471" s="3">
        <v>59</v>
      </c>
      <c r="C471" s="3">
        <v>44</v>
      </c>
      <c r="D471" s="3">
        <v>20</v>
      </c>
      <c r="E471" s="4">
        <v>0</v>
      </c>
      <c r="F471" s="5">
        <f t="shared" si="7"/>
        <v>880</v>
      </c>
    </row>
    <row r="472" spans="1:6" x14ac:dyDescent="0.45">
      <c r="A472" s="6">
        <v>10424</v>
      </c>
      <c r="B472" s="3">
        <v>35</v>
      </c>
      <c r="C472" s="3">
        <v>14.4</v>
      </c>
      <c r="D472" s="3">
        <v>60</v>
      </c>
      <c r="E472" s="4">
        <v>0.2</v>
      </c>
      <c r="F472" s="5">
        <f t="shared" si="7"/>
        <v>691.2</v>
      </c>
    </row>
    <row r="473" spans="1:6" x14ac:dyDescent="0.45">
      <c r="A473" s="6">
        <v>10424</v>
      </c>
      <c r="B473" s="3">
        <v>38</v>
      </c>
      <c r="C473" s="3">
        <v>210.8</v>
      </c>
      <c r="D473" s="3">
        <v>49</v>
      </c>
      <c r="E473" s="4">
        <v>0.2</v>
      </c>
      <c r="F473" s="5">
        <f t="shared" si="7"/>
        <v>8263.36</v>
      </c>
    </row>
    <row r="474" spans="1:6" x14ac:dyDescent="0.45">
      <c r="A474" s="6">
        <v>10424</v>
      </c>
      <c r="B474" s="3">
        <v>68</v>
      </c>
      <c r="C474" s="3">
        <v>10</v>
      </c>
      <c r="D474" s="3">
        <v>30</v>
      </c>
      <c r="E474" s="4">
        <v>0.2</v>
      </c>
      <c r="F474" s="5">
        <f t="shared" si="7"/>
        <v>240</v>
      </c>
    </row>
    <row r="475" spans="1:6" x14ac:dyDescent="0.45">
      <c r="A475" s="6">
        <v>10425</v>
      </c>
      <c r="B475" s="3">
        <v>55</v>
      </c>
      <c r="C475" s="3">
        <v>19.2</v>
      </c>
      <c r="D475" s="3">
        <v>10</v>
      </c>
      <c r="E475" s="4">
        <v>0.25</v>
      </c>
      <c r="F475" s="5">
        <f t="shared" si="7"/>
        <v>144</v>
      </c>
    </row>
    <row r="476" spans="1:6" x14ac:dyDescent="0.45">
      <c r="A476" s="6">
        <v>10425</v>
      </c>
      <c r="B476" s="3">
        <v>76</v>
      </c>
      <c r="C476" s="3">
        <v>14.4</v>
      </c>
      <c r="D476" s="3">
        <v>20</v>
      </c>
      <c r="E476" s="4">
        <v>0.25</v>
      </c>
      <c r="F476" s="5">
        <f t="shared" si="7"/>
        <v>216</v>
      </c>
    </row>
    <row r="477" spans="1:6" x14ac:dyDescent="0.45">
      <c r="A477" s="6">
        <v>10426</v>
      </c>
      <c r="B477" s="3">
        <v>56</v>
      </c>
      <c r="C477" s="3">
        <v>30.4</v>
      </c>
      <c r="D477" s="3">
        <v>5</v>
      </c>
      <c r="E477" s="4">
        <v>0</v>
      </c>
      <c r="F477" s="5">
        <f t="shared" si="7"/>
        <v>152</v>
      </c>
    </row>
    <row r="478" spans="1:6" x14ac:dyDescent="0.45">
      <c r="A478" s="6">
        <v>10426</v>
      </c>
      <c r="B478" s="3">
        <v>64</v>
      </c>
      <c r="C478" s="3">
        <v>26.6</v>
      </c>
      <c r="D478" s="3">
        <v>7</v>
      </c>
      <c r="E478" s="4">
        <v>0</v>
      </c>
      <c r="F478" s="5">
        <f t="shared" si="7"/>
        <v>186.20000000000002</v>
      </c>
    </row>
    <row r="479" spans="1:6" x14ac:dyDescent="0.45">
      <c r="A479" s="6">
        <v>10427</v>
      </c>
      <c r="B479" s="3">
        <v>14</v>
      </c>
      <c r="C479" s="3">
        <v>18.600000000000001</v>
      </c>
      <c r="D479" s="3">
        <v>35</v>
      </c>
      <c r="E479" s="4">
        <v>0</v>
      </c>
      <c r="F479" s="5">
        <f t="shared" si="7"/>
        <v>651</v>
      </c>
    </row>
    <row r="480" spans="1:6" x14ac:dyDescent="0.45">
      <c r="A480" s="6">
        <v>10428</v>
      </c>
      <c r="B480" s="3">
        <v>46</v>
      </c>
      <c r="C480" s="3">
        <v>9.6</v>
      </c>
      <c r="D480" s="3">
        <v>20</v>
      </c>
      <c r="E480" s="4">
        <v>0</v>
      </c>
      <c r="F480" s="5">
        <f t="shared" si="7"/>
        <v>192</v>
      </c>
    </row>
    <row r="481" spans="1:6" x14ac:dyDescent="0.45">
      <c r="A481" s="6">
        <v>10429</v>
      </c>
      <c r="B481" s="3">
        <v>50</v>
      </c>
      <c r="C481" s="3">
        <v>13</v>
      </c>
      <c r="D481" s="3">
        <v>40</v>
      </c>
      <c r="E481" s="4">
        <v>0</v>
      </c>
      <c r="F481" s="5">
        <f t="shared" si="7"/>
        <v>520</v>
      </c>
    </row>
    <row r="482" spans="1:6" x14ac:dyDescent="0.45">
      <c r="A482" s="6">
        <v>10429</v>
      </c>
      <c r="B482" s="3">
        <v>63</v>
      </c>
      <c r="C482" s="3">
        <v>35.1</v>
      </c>
      <c r="D482" s="3">
        <v>35</v>
      </c>
      <c r="E482" s="4">
        <v>0.25</v>
      </c>
      <c r="F482" s="5">
        <f t="shared" si="7"/>
        <v>921.375</v>
      </c>
    </row>
    <row r="483" spans="1:6" x14ac:dyDescent="0.45">
      <c r="A483" s="6">
        <v>10430</v>
      </c>
      <c r="B483" s="3">
        <v>17</v>
      </c>
      <c r="C483" s="3">
        <v>31.2</v>
      </c>
      <c r="D483" s="3">
        <v>45</v>
      </c>
      <c r="E483" s="4">
        <v>0.2</v>
      </c>
      <c r="F483" s="5">
        <f t="shared" si="7"/>
        <v>1123.2</v>
      </c>
    </row>
    <row r="484" spans="1:6" x14ac:dyDescent="0.45">
      <c r="A484" s="6">
        <v>10430</v>
      </c>
      <c r="B484" s="3">
        <v>21</v>
      </c>
      <c r="C484" s="3">
        <v>8</v>
      </c>
      <c r="D484" s="3">
        <v>50</v>
      </c>
      <c r="E484" s="4">
        <v>0</v>
      </c>
      <c r="F484" s="5">
        <f t="shared" si="7"/>
        <v>400</v>
      </c>
    </row>
    <row r="485" spans="1:6" x14ac:dyDescent="0.45">
      <c r="A485" s="6">
        <v>10430</v>
      </c>
      <c r="B485" s="3">
        <v>56</v>
      </c>
      <c r="C485" s="3">
        <v>30.4</v>
      </c>
      <c r="D485" s="3">
        <v>30</v>
      </c>
      <c r="E485" s="4">
        <v>0</v>
      </c>
      <c r="F485" s="5">
        <f t="shared" si="7"/>
        <v>912</v>
      </c>
    </row>
    <row r="486" spans="1:6" x14ac:dyDescent="0.45">
      <c r="A486" s="6">
        <v>10430</v>
      </c>
      <c r="B486" s="3">
        <v>59</v>
      </c>
      <c r="C486" s="3">
        <v>44</v>
      </c>
      <c r="D486" s="3">
        <v>70</v>
      </c>
      <c r="E486" s="4">
        <v>0.2</v>
      </c>
      <c r="F486" s="5">
        <f t="shared" si="7"/>
        <v>2464</v>
      </c>
    </row>
    <row r="487" spans="1:6" x14ac:dyDescent="0.45">
      <c r="A487" s="6">
        <v>10431</v>
      </c>
      <c r="B487" s="3">
        <v>17</v>
      </c>
      <c r="C487" s="3">
        <v>31.2</v>
      </c>
      <c r="D487" s="3">
        <v>50</v>
      </c>
      <c r="E487" s="4">
        <v>0.25</v>
      </c>
      <c r="F487" s="5">
        <f t="shared" si="7"/>
        <v>1170</v>
      </c>
    </row>
    <row r="488" spans="1:6" x14ac:dyDescent="0.45">
      <c r="A488" s="6">
        <v>10431</v>
      </c>
      <c r="B488" s="3">
        <v>40</v>
      </c>
      <c r="C488" s="3">
        <v>14.7</v>
      </c>
      <c r="D488" s="3">
        <v>50</v>
      </c>
      <c r="E488" s="4">
        <v>0.25</v>
      </c>
      <c r="F488" s="5">
        <f t="shared" si="7"/>
        <v>551.25</v>
      </c>
    </row>
    <row r="489" spans="1:6" x14ac:dyDescent="0.45">
      <c r="A489" s="6">
        <v>10431</v>
      </c>
      <c r="B489" s="3">
        <v>47</v>
      </c>
      <c r="C489" s="3">
        <v>7.6</v>
      </c>
      <c r="D489" s="3">
        <v>30</v>
      </c>
      <c r="E489" s="4">
        <v>0.25</v>
      </c>
      <c r="F489" s="5">
        <f t="shared" si="7"/>
        <v>171</v>
      </c>
    </row>
    <row r="490" spans="1:6" x14ac:dyDescent="0.45">
      <c r="A490" s="6">
        <v>10432</v>
      </c>
      <c r="B490" s="3">
        <v>26</v>
      </c>
      <c r="C490" s="3">
        <v>24.9</v>
      </c>
      <c r="D490" s="3">
        <v>10</v>
      </c>
      <c r="E490" s="4">
        <v>0</v>
      </c>
      <c r="F490" s="5">
        <f t="shared" si="7"/>
        <v>249</v>
      </c>
    </row>
    <row r="491" spans="1:6" x14ac:dyDescent="0.45">
      <c r="A491" s="6">
        <v>10432</v>
      </c>
      <c r="B491" s="3">
        <v>54</v>
      </c>
      <c r="C491" s="3">
        <v>5.9</v>
      </c>
      <c r="D491" s="3">
        <v>40</v>
      </c>
      <c r="E491" s="4">
        <v>0</v>
      </c>
      <c r="F491" s="5">
        <f t="shared" si="7"/>
        <v>236</v>
      </c>
    </row>
    <row r="492" spans="1:6" x14ac:dyDescent="0.45">
      <c r="A492" s="6">
        <v>10433</v>
      </c>
      <c r="B492" s="3">
        <v>56</v>
      </c>
      <c r="C492" s="3">
        <v>30.4</v>
      </c>
      <c r="D492" s="3">
        <v>28</v>
      </c>
      <c r="E492" s="4">
        <v>0</v>
      </c>
      <c r="F492" s="5">
        <f t="shared" si="7"/>
        <v>851.19999999999993</v>
      </c>
    </row>
    <row r="493" spans="1:6" x14ac:dyDescent="0.45">
      <c r="A493" s="6">
        <v>10434</v>
      </c>
      <c r="B493" s="3">
        <v>11</v>
      </c>
      <c r="C493" s="3">
        <v>16.8</v>
      </c>
      <c r="D493" s="3">
        <v>6</v>
      </c>
      <c r="E493" s="4">
        <v>0</v>
      </c>
      <c r="F493" s="5">
        <f t="shared" si="7"/>
        <v>100.80000000000001</v>
      </c>
    </row>
    <row r="494" spans="1:6" x14ac:dyDescent="0.45">
      <c r="A494" s="6">
        <v>10434</v>
      </c>
      <c r="B494" s="3">
        <v>76</v>
      </c>
      <c r="C494" s="3">
        <v>14.4</v>
      </c>
      <c r="D494" s="3">
        <v>18</v>
      </c>
      <c r="E494" s="4">
        <v>0.15</v>
      </c>
      <c r="F494" s="5">
        <f t="shared" si="7"/>
        <v>220.32</v>
      </c>
    </row>
    <row r="495" spans="1:6" x14ac:dyDescent="0.45">
      <c r="A495" s="6">
        <v>10435</v>
      </c>
      <c r="B495" s="3">
        <v>2</v>
      </c>
      <c r="C495" s="3">
        <v>15.2</v>
      </c>
      <c r="D495" s="3">
        <v>10</v>
      </c>
      <c r="E495" s="4">
        <v>0</v>
      </c>
      <c r="F495" s="5">
        <f t="shared" si="7"/>
        <v>152</v>
      </c>
    </row>
    <row r="496" spans="1:6" x14ac:dyDescent="0.45">
      <c r="A496" s="6">
        <v>10435</v>
      </c>
      <c r="B496" s="3">
        <v>22</v>
      </c>
      <c r="C496" s="3">
        <v>16.8</v>
      </c>
      <c r="D496" s="3">
        <v>12</v>
      </c>
      <c r="E496" s="4">
        <v>0</v>
      </c>
      <c r="F496" s="5">
        <f t="shared" si="7"/>
        <v>201.60000000000002</v>
      </c>
    </row>
    <row r="497" spans="1:6" x14ac:dyDescent="0.45">
      <c r="A497" s="6">
        <v>10435</v>
      </c>
      <c r="B497" s="3">
        <v>72</v>
      </c>
      <c r="C497" s="3">
        <v>27.8</v>
      </c>
      <c r="D497" s="3">
        <v>10</v>
      </c>
      <c r="E497" s="4">
        <v>0</v>
      </c>
      <c r="F497" s="5">
        <f t="shared" si="7"/>
        <v>278</v>
      </c>
    </row>
    <row r="498" spans="1:6" x14ac:dyDescent="0.45">
      <c r="A498" s="6">
        <v>10436</v>
      </c>
      <c r="B498" s="3">
        <v>46</v>
      </c>
      <c r="C498" s="3">
        <v>9.6</v>
      </c>
      <c r="D498" s="3">
        <v>5</v>
      </c>
      <c r="E498" s="4">
        <v>0</v>
      </c>
      <c r="F498" s="5">
        <f t="shared" si="7"/>
        <v>48</v>
      </c>
    </row>
    <row r="499" spans="1:6" x14ac:dyDescent="0.45">
      <c r="A499" s="6">
        <v>10436</v>
      </c>
      <c r="B499" s="3">
        <v>56</v>
      </c>
      <c r="C499" s="3">
        <v>30.4</v>
      </c>
      <c r="D499" s="3">
        <v>40</v>
      </c>
      <c r="E499" s="4">
        <v>0.1</v>
      </c>
      <c r="F499" s="5">
        <f t="shared" si="7"/>
        <v>1094.4000000000001</v>
      </c>
    </row>
    <row r="500" spans="1:6" x14ac:dyDescent="0.45">
      <c r="A500" s="6">
        <v>10436</v>
      </c>
      <c r="B500" s="3">
        <v>64</v>
      </c>
      <c r="C500" s="3">
        <v>26.6</v>
      </c>
      <c r="D500" s="3">
        <v>30</v>
      </c>
      <c r="E500" s="4">
        <v>0.1</v>
      </c>
      <c r="F500" s="5">
        <f t="shared" si="7"/>
        <v>718.2</v>
      </c>
    </row>
    <row r="501" spans="1:6" x14ac:dyDescent="0.45">
      <c r="A501" s="6">
        <v>10436</v>
      </c>
      <c r="B501" s="3">
        <v>75</v>
      </c>
      <c r="C501" s="3">
        <v>6.2</v>
      </c>
      <c r="D501" s="3">
        <v>24</v>
      </c>
      <c r="E501" s="4">
        <v>0.1</v>
      </c>
      <c r="F501" s="5">
        <f t="shared" si="7"/>
        <v>133.92000000000002</v>
      </c>
    </row>
    <row r="502" spans="1:6" x14ac:dyDescent="0.45">
      <c r="A502" s="6">
        <v>10437</v>
      </c>
      <c r="B502" s="3">
        <v>53</v>
      </c>
      <c r="C502" s="3">
        <v>26.2</v>
      </c>
      <c r="D502" s="3">
        <v>15</v>
      </c>
      <c r="E502" s="4">
        <v>0</v>
      </c>
      <c r="F502" s="5">
        <f t="shared" si="7"/>
        <v>393</v>
      </c>
    </row>
    <row r="503" spans="1:6" x14ac:dyDescent="0.45">
      <c r="A503" s="6">
        <v>10438</v>
      </c>
      <c r="B503" s="3">
        <v>19</v>
      </c>
      <c r="C503" s="3">
        <v>7.3</v>
      </c>
      <c r="D503" s="3">
        <v>15</v>
      </c>
      <c r="E503" s="4">
        <v>0.2</v>
      </c>
      <c r="F503" s="5">
        <f t="shared" si="7"/>
        <v>87.600000000000009</v>
      </c>
    </row>
    <row r="504" spans="1:6" x14ac:dyDescent="0.45">
      <c r="A504" s="6">
        <v>10438</v>
      </c>
      <c r="B504" s="3">
        <v>34</v>
      </c>
      <c r="C504" s="3">
        <v>11.2</v>
      </c>
      <c r="D504" s="3">
        <v>20</v>
      </c>
      <c r="E504" s="4">
        <v>0.2</v>
      </c>
      <c r="F504" s="5">
        <f t="shared" si="7"/>
        <v>179.20000000000002</v>
      </c>
    </row>
    <row r="505" spans="1:6" x14ac:dyDescent="0.45">
      <c r="A505" s="6">
        <v>10438</v>
      </c>
      <c r="B505" s="3">
        <v>57</v>
      </c>
      <c r="C505" s="3">
        <v>15.6</v>
      </c>
      <c r="D505" s="3">
        <v>15</v>
      </c>
      <c r="E505" s="4">
        <v>0.2</v>
      </c>
      <c r="F505" s="5">
        <f t="shared" si="7"/>
        <v>187.20000000000002</v>
      </c>
    </row>
    <row r="506" spans="1:6" x14ac:dyDescent="0.45">
      <c r="A506" s="6">
        <v>10439</v>
      </c>
      <c r="B506" s="3">
        <v>12</v>
      </c>
      <c r="C506" s="3">
        <v>30.4</v>
      </c>
      <c r="D506" s="3">
        <v>15</v>
      </c>
      <c r="E506" s="4">
        <v>0</v>
      </c>
      <c r="F506" s="5">
        <f t="shared" si="7"/>
        <v>456</v>
      </c>
    </row>
    <row r="507" spans="1:6" x14ac:dyDescent="0.45">
      <c r="A507" s="6">
        <v>10439</v>
      </c>
      <c r="B507" s="3">
        <v>16</v>
      </c>
      <c r="C507" s="3">
        <v>13.9</v>
      </c>
      <c r="D507" s="3">
        <v>16</v>
      </c>
      <c r="E507" s="4">
        <v>0</v>
      </c>
      <c r="F507" s="5">
        <f t="shared" si="7"/>
        <v>222.4</v>
      </c>
    </row>
    <row r="508" spans="1:6" x14ac:dyDescent="0.45">
      <c r="A508" s="6">
        <v>10439</v>
      </c>
      <c r="B508" s="3">
        <v>64</v>
      </c>
      <c r="C508" s="3">
        <v>26.6</v>
      </c>
      <c r="D508" s="3">
        <v>6</v>
      </c>
      <c r="E508" s="4">
        <v>0</v>
      </c>
      <c r="F508" s="5">
        <f t="shared" si="7"/>
        <v>159.60000000000002</v>
      </c>
    </row>
    <row r="509" spans="1:6" x14ac:dyDescent="0.45">
      <c r="A509" s="6">
        <v>10439</v>
      </c>
      <c r="B509" s="3">
        <v>74</v>
      </c>
      <c r="C509" s="3">
        <v>8</v>
      </c>
      <c r="D509" s="3">
        <v>30</v>
      </c>
      <c r="E509" s="4">
        <v>0</v>
      </c>
      <c r="F509" s="5">
        <f t="shared" si="7"/>
        <v>240</v>
      </c>
    </row>
    <row r="510" spans="1:6" x14ac:dyDescent="0.45">
      <c r="A510" s="6">
        <v>10440</v>
      </c>
      <c r="B510" s="3">
        <v>2</v>
      </c>
      <c r="C510" s="3">
        <v>15.2</v>
      </c>
      <c r="D510" s="3">
        <v>45</v>
      </c>
      <c r="E510" s="4">
        <v>0.15</v>
      </c>
      <c r="F510" s="5">
        <f t="shared" si="7"/>
        <v>581.4</v>
      </c>
    </row>
    <row r="511" spans="1:6" x14ac:dyDescent="0.45">
      <c r="A511" s="6">
        <v>10440</v>
      </c>
      <c r="B511" s="3">
        <v>16</v>
      </c>
      <c r="C511" s="3">
        <v>13.9</v>
      </c>
      <c r="D511" s="3">
        <v>49</v>
      </c>
      <c r="E511" s="4">
        <v>0.15</v>
      </c>
      <c r="F511" s="5">
        <f t="shared" si="7"/>
        <v>578.93500000000006</v>
      </c>
    </row>
    <row r="512" spans="1:6" x14ac:dyDescent="0.45">
      <c r="A512" s="6">
        <v>10440</v>
      </c>
      <c r="B512" s="3">
        <v>29</v>
      </c>
      <c r="C512" s="3">
        <v>99</v>
      </c>
      <c r="D512" s="3">
        <v>24</v>
      </c>
      <c r="E512" s="4">
        <v>0.15</v>
      </c>
      <c r="F512" s="5">
        <f t="shared" si="7"/>
        <v>2019.6</v>
      </c>
    </row>
    <row r="513" spans="1:6" x14ac:dyDescent="0.45">
      <c r="A513" s="6">
        <v>10440</v>
      </c>
      <c r="B513" s="3">
        <v>61</v>
      </c>
      <c r="C513" s="3">
        <v>22.8</v>
      </c>
      <c r="D513" s="3">
        <v>90</v>
      </c>
      <c r="E513" s="4">
        <v>0.15</v>
      </c>
      <c r="F513" s="5">
        <f t="shared" si="7"/>
        <v>1744.2</v>
      </c>
    </row>
    <row r="514" spans="1:6" x14ac:dyDescent="0.45">
      <c r="A514" s="6">
        <v>10441</v>
      </c>
      <c r="B514" s="3">
        <v>27</v>
      </c>
      <c r="C514" s="3">
        <v>35.1</v>
      </c>
      <c r="D514" s="3">
        <v>50</v>
      </c>
      <c r="E514" s="4">
        <v>0</v>
      </c>
      <c r="F514" s="5">
        <f t="shared" ref="F514:F577" si="8">C514*D514*(1-E514)</f>
        <v>1755</v>
      </c>
    </row>
    <row r="515" spans="1:6" x14ac:dyDescent="0.45">
      <c r="A515" s="6">
        <v>10442</v>
      </c>
      <c r="B515" s="3">
        <v>11</v>
      </c>
      <c r="C515" s="3">
        <v>16.8</v>
      </c>
      <c r="D515" s="3">
        <v>30</v>
      </c>
      <c r="E515" s="4">
        <v>0</v>
      </c>
      <c r="F515" s="5">
        <f t="shared" si="8"/>
        <v>504</v>
      </c>
    </row>
    <row r="516" spans="1:6" x14ac:dyDescent="0.45">
      <c r="A516" s="6">
        <v>10442</v>
      </c>
      <c r="B516" s="3">
        <v>54</v>
      </c>
      <c r="C516" s="3">
        <v>5.9</v>
      </c>
      <c r="D516" s="3">
        <v>80</v>
      </c>
      <c r="E516" s="4">
        <v>0</v>
      </c>
      <c r="F516" s="5">
        <f t="shared" si="8"/>
        <v>472</v>
      </c>
    </row>
    <row r="517" spans="1:6" x14ac:dyDescent="0.45">
      <c r="A517" s="6">
        <v>10442</v>
      </c>
      <c r="B517" s="3">
        <v>66</v>
      </c>
      <c r="C517" s="3">
        <v>13.6</v>
      </c>
      <c r="D517" s="3">
        <v>60</v>
      </c>
      <c r="E517" s="4">
        <v>0</v>
      </c>
      <c r="F517" s="5">
        <f t="shared" si="8"/>
        <v>816</v>
      </c>
    </row>
    <row r="518" spans="1:6" x14ac:dyDescent="0.45">
      <c r="A518" s="6">
        <v>10443</v>
      </c>
      <c r="B518" s="3">
        <v>11</v>
      </c>
      <c r="C518" s="3">
        <v>16.8</v>
      </c>
      <c r="D518" s="3">
        <v>6</v>
      </c>
      <c r="E518" s="4">
        <v>0.2</v>
      </c>
      <c r="F518" s="5">
        <f t="shared" si="8"/>
        <v>80.640000000000015</v>
      </c>
    </row>
    <row r="519" spans="1:6" x14ac:dyDescent="0.45">
      <c r="A519" s="6">
        <v>10443</v>
      </c>
      <c r="B519" s="3">
        <v>28</v>
      </c>
      <c r="C519" s="3">
        <v>36.4</v>
      </c>
      <c r="D519" s="3">
        <v>12</v>
      </c>
      <c r="E519" s="4">
        <v>0</v>
      </c>
      <c r="F519" s="5">
        <f t="shared" si="8"/>
        <v>436.79999999999995</v>
      </c>
    </row>
    <row r="520" spans="1:6" x14ac:dyDescent="0.45">
      <c r="A520" s="6">
        <v>10444</v>
      </c>
      <c r="B520" s="3">
        <v>17</v>
      </c>
      <c r="C520" s="3">
        <v>31.2</v>
      </c>
      <c r="D520" s="3">
        <v>10</v>
      </c>
      <c r="E520" s="4">
        <v>0</v>
      </c>
      <c r="F520" s="5">
        <f t="shared" si="8"/>
        <v>312</v>
      </c>
    </row>
    <row r="521" spans="1:6" x14ac:dyDescent="0.45">
      <c r="A521" s="6">
        <v>10444</v>
      </c>
      <c r="B521" s="3">
        <v>26</v>
      </c>
      <c r="C521" s="3">
        <v>24.9</v>
      </c>
      <c r="D521" s="3">
        <v>15</v>
      </c>
      <c r="E521" s="4">
        <v>0</v>
      </c>
      <c r="F521" s="5">
        <f t="shared" si="8"/>
        <v>373.5</v>
      </c>
    </row>
    <row r="522" spans="1:6" x14ac:dyDescent="0.45">
      <c r="A522" s="6">
        <v>10444</v>
      </c>
      <c r="B522" s="3">
        <v>35</v>
      </c>
      <c r="C522" s="3">
        <v>14.4</v>
      </c>
      <c r="D522" s="3">
        <v>8</v>
      </c>
      <c r="E522" s="4">
        <v>0</v>
      </c>
      <c r="F522" s="5">
        <f t="shared" si="8"/>
        <v>115.2</v>
      </c>
    </row>
    <row r="523" spans="1:6" x14ac:dyDescent="0.45">
      <c r="A523" s="6">
        <v>10444</v>
      </c>
      <c r="B523" s="3">
        <v>41</v>
      </c>
      <c r="C523" s="3">
        <v>7.7</v>
      </c>
      <c r="D523" s="3">
        <v>30</v>
      </c>
      <c r="E523" s="4">
        <v>0</v>
      </c>
      <c r="F523" s="5">
        <f t="shared" si="8"/>
        <v>231</v>
      </c>
    </row>
    <row r="524" spans="1:6" x14ac:dyDescent="0.45">
      <c r="A524" s="6">
        <v>10445</v>
      </c>
      <c r="B524" s="3">
        <v>39</v>
      </c>
      <c r="C524" s="3">
        <v>14.4</v>
      </c>
      <c r="D524" s="3">
        <v>6</v>
      </c>
      <c r="E524" s="4">
        <v>0</v>
      </c>
      <c r="F524" s="5">
        <f t="shared" si="8"/>
        <v>86.4</v>
      </c>
    </row>
    <row r="525" spans="1:6" x14ac:dyDescent="0.45">
      <c r="A525" s="6">
        <v>10445</v>
      </c>
      <c r="B525" s="3">
        <v>54</v>
      </c>
      <c r="C525" s="3">
        <v>5.9</v>
      </c>
      <c r="D525" s="3">
        <v>15</v>
      </c>
      <c r="E525" s="4">
        <v>0</v>
      </c>
      <c r="F525" s="5">
        <f t="shared" si="8"/>
        <v>88.5</v>
      </c>
    </row>
    <row r="526" spans="1:6" x14ac:dyDescent="0.45">
      <c r="A526" s="6">
        <v>10446</v>
      </c>
      <c r="B526" s="3">
        <v>19</v>
      </c>
      <c r="C526" s="3">
        <v>7.3</v>
      </c>
      <c r="D526" s="3">
        <v>12</v>
      </c>
      <c r="E526" s="4">
        <v>0.1</v>
      </c>
      <c r="F526" s="5">
        <f t="shared" si="8"/>
        <v>78.84</v>
      </c>
    </row>
    <row r="527" spans="1:6" x14ac:dyDescent="0.45">
      <c r="A527" s="6">
        <v>10446</v>
      </c>
      <c r="B527" s="3">
        <v>24</v>
      </c>
      <c r="C527" s="3">
        <v>3.6</v>
      </c>
      <c r="D527" s="3">
        <v>20</v>
      </c>
      <c r="E527" s="4">
        <v>0.1</v>
      </c>
      <c r="F527" s="5">
        <f t="shared" si="8"/>
        <v>64.8</v>
      </c>
    </row>
    <row r="528" spans="1:6" x14ac:dyDescent="0.45">
      <c r="A528" s="6">
        <v>10446</v>
      </c>
      <c r="B528" s="3">
        <v>31</v>
      </c>
      <c r="C528" s="3">
        <v>10</v>
      </c>
      <c r="D528" s="3">
        <v>3</v>
      </c>
      <c r="E528" s="4">
        <v>0.1</v>
      </c>
      <c r="F528" s="5">
        <f t="shared" si="8"/>
        <v>27</v>
      </c>
    </row>
    <row r="529" spans="1:6" x14ac:dyDescent="0.45">
      <c r="A529" s="6">
        <v>10446</v>
      </c>
      <c r="B529" s="3">
        <v>52</v>
      </c>
      <c r="C529" s="3">
        <v>5.6</v>
      </c>
      <c r="D529" s="3">
        <v>15</v>
      </c>
      <c r="E529" s="4">
        <v>0.1</v>
      </c>
      <c r="F529" s="5">
        <f t="shared" si="8"/>
        <v>75.600000000000009</v>
      </c>
    </row>
    <row r="530" spans="1:6" x14ac:dyDescent="0.45">
      <c r="A530" s="6">
        <v>10447</v>
      </c>
      <c r="B530" s="3">
        <v>19</v>
      </c>
      <c r="C530" s="3">
        <v>7.3</v>
      </c>
      <c r="D530" s="3">
        <v>40</v>
      </c>
      <c r="E530" s="4">
        <v>0</v>
      </c>
      <c r="F530" s="5">
        <f t="shared" si="8"/>
        <v>292</v>
      </c>
    </row>
    <row r="531" spans="1:6" x14ac:dyDescent="0.45">
      <c r="A531" s="6">
        <v>10447</v>
      </c>
      <c r="B531" s="3">
        <v>65</v>
      </c>
      <c r="C531" s="3">
        <v>16.8</v>
      </c>
      <c r="D531" s="3">
        <v>35</v>
      </c>
      <c r="E531" s="4">
        <v>0</v>
      </c>
      <c r="F531" s="5">
        <f t="shared" si="8"/>
        <v>588</v>
      </c>
    </row>
    <row r="532" spans="1:6" x14ac:dyDescent="0.45">
      <c r="A532" s="6">
        <v>10447</v>
      </c>
      <c r="B532" s="3">
        <v>71</v>
      </c>
      <c r="C532" s="3">
        <v>17.2</v>
      </c>
      <c r="D532" s="3">
        <v>2</v>
      </c>
      <c r="E532" s="4">
        <v>0</v>
      </c>
      <c r="F532" s="5">
        <f t="shared" si="8"/>
        <v>34.4</v>
      </c>
    </row>
    <row r="533" spans="1:6" x14ac:dyDescent="0.45">
      <c r="A533" s="6">
        <v>10448</v>
      </c>
      <c r="B533" s="3">
        <v>26</v>
      </c>
      <c r="C533" s="3">
        <v>24.9</v>
      </c>
      <c r="D533" s="3">
        <v>6</v>
      </c>
      <c r="E533" s="4">
        <v>0</v>
      </c>
      <c r="F533" s="5">
        <f t="shared" si="8"/>
        <v>149.39999999999998</v>
      </c>
    </row>
    <row r="534" spans="1:6" x14ac:dyDescent="0.45">
      <c r="A534" s="6">
        <v>10448</v>
      </c>
      <c r="B534" s="3">
        <v>40</v>
      </c>
      <c r="C534" s="3">
        <v>14.7</v>
      </c>
      <c r="D534" s="3">
        <v>20</v>
      </c>
      <c r="E534" s="4">
        <v>0</v>
      </c>
      <c r="F534" s="5">
        <f t="shared" si="8"/>
        <v>294</v>
      </c>
    </row>
    <row r="535" spans="1:6" x14ac:dyDescent="0.45">
      <c r="A535" s="6">
        <v>10449</v>
      </c>
      <c r="B535" s="3">
        <v>10</v>
      </c>
      <c r="C535" s="3">
        <v>24.8</v>
      </c>
      <c r="D535" s="3">
        <v>14</v>
      </c>
      <c r="E535" s="4">
        <v>0</v>
      </c>
      <c r="F535" s="5">
        <f t="shared" si="8"/>
        <v>347.2</v>
      </c>
    </row>
    <row r="536" spans="1:6" x14ac:dyDescent="0.45">
      <c r="A536" s="6">
        <v>10449</v>
      </c>
      <c r="B536" s="3">
        <v>52</v>
      </c>
      <c r="C536" s="3">
        <v>5.6</v>
      </c>
      <c r="D536" s="3">
        <v>20</v>
      </c>
      <c r="E536" s="4">
        <v>0</v>
      </c>
      <c r="F536" s="5">
        <f t="shared" si="8"/>
        <v>112</v>
      </c>
    </row>
    <row r="537" spans="1:6" x14ac:dyDescent="0.45">
      <c r="A537" s="6">
        <v>10449</v>
      </c>
      <c r="B537" s="3">
        <v>62</v>
      </c>
      <c r="C537" s="3">
        <v>39.4</v>
      </c>
      <c r="D537" s="3">
        <v>35</v>
      </c>
      <c r="E537" s="4">
        <v>0</v>
      </c>
      <c r="F537" s="5">
        <f t="shared" si="8"/>
        <v>1379</v>
      </c>
    </row>
    <row r="538" spans="1:6" x14ac:dyDescent="0.45">
      <c r="A538" s="6">
        <v>10450</v>
      </c>
      <c r="B538" s="3">
        <v>10</v>
      </c>
      <c r="C538" s="3">
        <v>24.8</v>
      </c>
      <c r="D538" s="3">
        <v>20</v>
      </c>
      <c r="E538" s="4">
        <v>0.2</v>
      </c>
      <c r="F538" s="5">
        <f t="shared" si="8"/>
        <v>396.8</v>
      </c>
    </row>
    <row r="539" spans="1:6" x14ac:dyDescent="0.45">
      <c r="A539" s="6">
        <v>10450</v>
      </c>
      <c r="B539" s="3">
        <v>54</v>
      </c>
      <c r="C539" s="3">
        <v>5.9</v>
      </c>
      <c r="D539" s="3">
        <v>6</v>
      </c>
      <c r="E539" s="4">
        <v>0.2</v>
      </c>
      <c r="F539" s="5">
        <f t="shared" si="8"/>
        <v>28.320000000000007</v>
      </c>
    </row>
    <row r="540" spans="1:6" x14ac:dyDescent="0.45">
      <c r="A540" s="6">
        <v>10451</v>
      </c>
      <c r="B540" s="3">
        <v>55</v>
      </c>
      <c r="C540" s="3">
        <v>19.2</v>
      </c>
      <c r="D540" s="3">
        <v>120</v>
      </c>
      <c r="E540" s="4">
        <v>0.1</v>
      </c>
      <c r="F540" s="5">
        <f t="shared" si="8"/>
        <v>2073.6</v>
      </c>
    </row>
    <row r="541" spans="1:6" x14ac:dyDescent="0.45">
      <c r="A541" s="6">
        <v>10451</v>
      </c>
      <c r="B541" s="3">
        <v>64</v>
      </c>
      <c r="C541" s="3">
        <v>26.6</v>
      </c>
      <c r="D541" s="3">
        <v>35</v>
      </c>
      <c r="E541" s="4">
        <v>0.1</v>
      </c>
      <c r="F541" s="5">
        <f t="shared" si="8"/>
        <v>837.9</v>
      </c>
    </row>
    <row r="542" spans="1:6" x14ac:dyDescent="0.45">
      <c r="A542" s="6">
        <v>10451</v>
      </c>
      <c r="B542" s="3">
        <v>65</v>
      </c>
      <c r="C542" s="3">
        <v>16.8</v>
      </c>
      <c r="D542" s="3">
        <v>28</v>
      </c>
      <c r="E542" s="4">
        <v>0.1</v>
      </c>
      <c r="F542" s="5">
        <f t="shared" si="8"/>
        <v>423.36</v>
      </c>
    </row>
    <row r="543" spans="1:6" x14ac:dyDescent="0.45">
      <c r="A543" s="6">
        <v>10451</v>
      </c>
      <c r="B543" s="3">
        <v>77</v>
      </c>
      <c r="C543" s="3">
        <v>10.4</v>
      </c>
      <c r="D543" s="3">
        <v>55</v>
      </c>
      <c r="E543" s="4">
        <v>0.1</v>
      </c>
      <c r="F543" s="5">
        <f t="shared" si="8"/>
        <v>514.80000000000007</v>
      </c>
    </row>
    <row r="544" spans="1:6" x14ac:dyDescent="0.45">
      <c r="A544" s="6">
        <v>10452</v>
      </c>
      <c r="B544" s="3">
        <v>28</v>
      </c>
      <c r="C544" s="3">
        <v>36.4</v>
      </c>
      <c r="D544" s="3">
        <v>15</v>
      </c>
      <c r="E544" s="4">
        <v>0</v>
      </c>
      <c r="F544" s="5">
        <f t="shared" si="8"/>
        <v>546</v>
      </c>
    </row>
    <row r="545" spans="1:6" x14ac:dyDescent="0.45">
      <c r="A545" s="6">
        <v>10452</v>
      </c>
      <c r="B545" s="3">
        <v>44</v>
      </c>
      <c r="C545" s="3">
        <v>15.5</v>
      </c>
      <c r="D545" s="3">
        <v>100</v>
      </c>
      <c r="E545" s="4">
        <v>0.05</v>
      </c>
      <c r="F545" s="5">
        <f t="shared" si="8"/>
        <v>1472.5</v>
      </c>
    </row>
    <row r="546" spans="1:6" x14ac:dyDescent="0.45">
      <c r="A546" s="6">
        <v>10453</v>
      </c>
      <c r="B546" s="3">
        <v>48</v>
      </c>
      <c r="C546" s="3">
        <v>10.199999999999999</v>
      </c>
      <c r="D546" s="3">
        <v>15</v>
      </c>
      <c r="E546" s="4">
        <v>0.1</v>
      </c>
      <c r="F546" s="5">
        <f t="shared" si="8"/>
        <v>137.70000000000002</v>
      </c>
    </row>
    <row r="547" spans="1:6" x14ac:dyDescent="0.45">
      <c r="A547" s="6">
        <v>10453</v>
      </c>
      <c r="B547" s="3">
        <v>70</v>
      </c>
      <c r="C547" s="3">
        <v>12</v>
      </c>
      <c r="D547" s="3">
        <v>25</v>
      </c>
      <c r="E547" s="4">
        <v>0.1</v>
      </c>
      <c r="F547" s="5">
        <f t="shared" si="8"/>
        <v>270</v>
      </c>
    </row>
    <row r="548" spans="1:6" x14ac:dyDescent="0.45">
      <c r="A548" s="6">
        <v>10454</v>
      </c>
      <c r="B548" s="3">
        <v>16</v>
      </c>
      <c r="C548" s="3">
        <v>13.9</v>
      </c>
      <c r="D548" s="3">
        <v>20</v>
      </c>
      <c r="E548" s="4">
        <v>0.2</v>
      </c>
      <c r="F548" s="5">
        <f t="shared" si="8"/>
        <v>222.4</v>
      </c>
    </row>
    <row r="549" spans="1:6" x14ac:dyDescent="0.45">
      <c r="A549" s="6">
        <v>10454</v>
      </c>
      <c r="B549" s="3">
        <v>33</v>
      </c>
      <c r="C549" s="3">
        <v>2</v>
      </c>
      <c r="D549" s="3">
        <v>20</v>
      </c>
      <c r="E549" s="4">
        <v>0.2</v>
      </c>
      <c r="F549" s="5">
        <f t="shared" si="8"/>
        <v>32</v>
      </c>
    </row>
    <row r="550" spans="1:6" x14ac:dyDescent="0.45">
      <c r="A550" s="6">
        <v>10454</v>
      </c>
      <c r="B550" s="3">
        <v>46</v>
      </c>
      <c r="C550" s="3">
        <v>9.6</v>
      </c>
      <c r="D550" s="3">
        <v>10</v>
      </c>
      <c r="E550" s="4">
        <v>0.2</v>
      </c>
      <c r="F550" s="5">
        <f t="shared" si="8"/>
        <v>76.800000000000011</v>
      </c>
    </row>
    <row r="551" spans="1:6" x14ac:dyDescent="0.45">
      <c r="A551" s="6">
        <v>10455</v>
      </c>
      <c r="B551" s="3">
        <v>39</v>
      </c>
      <c r="C551" s="3">
        <v>14.4</v>
      </c>
      <c r="D551" s="3">
        <v>20</v>
      </c>
      <c r="E551" s="4">
        <v>0</v>
      </c>
      <c r="F551" s="5">
        <f t="shared" si="8"/>
        <v>288</v>
      </c>
    </row>
    <row r="552" spans="1:6" x14ac:dyDescent="0.45">
      <c r="A552" s="6">
        <v>10455</v>
      </c>
      <c r="B552" s="3">
        <v>53</v>
      </c>
      <c r="C552" s="3">
        <v>26.2</v>
      </c>
      <c r="D552" s="3">
        <v>50</v>
      </c>
      <c r="E552" s="4">
        <v>0</v>
      </c>
      <c r="F552" s="5">
        <f t="shared" si="8"/>
        <v>1310</v>
      </c>
    </row>
    <row r="553" spans="1:6" x14ac:dyDescent="0.45">
      <c r="A553" s="6">
        <v>10455</v>
      </c>
      <c r="B553" s="3">
        <v>61</v>
      </c>
      <c r="C553" s="3">
        <v>22.8</v>
      </c>
      <c r="D553" s="3">
        <v>25</v>
      </c>
      <c r="E553" s="4">
        <v>0</v>
      </c>
      <c r="F553" s="5">
        <f t="shared" si="8"/>
        <v>570</v>
      </c>
    </row>
    <row r="554" spans="1:6" x14ac:dyDescent="0.45">
      <c r="A554" s="6">
        <v>10455</v>
      </c>
      <c r="B554" s="3">
        <v>71</v>
      </c>
      <c r="C554" s="3">
        <v>17.2</v>
      </c>
      <c r="D554" s="3">
        <v>30</v>
      </c>
      <c r="E554" s="4">
        <v>0</v>
      </c>
      <c r="F554" s="5">
        <f t="shared" si="8"/>
        <v>516</v>
      </c>
    </row>
    <row r="555" spans="1:6" x14ac:dyDescent="0.45">
      <c r="A555" s="6">
        <v>10456</v>
      </c>
      <c r="B555" s="3">
        <v>21</v>
      </c>
      <c r="C555" s="3">
        <v>8</v>
      </c>
      <c r="D555" s="3">
        <v>40</v>
      </c>
      <c r="E555" s="4">
        <v>0.15</v>
      </c>
      <c r="F555" s="5">
        <f t="shared" si="8"/>
        <v>272</v>
      </c>
    </row>
    <row r="556" spans="1:6" x14ac:dyDescent="0.45">
      <c r="A556" s="6">
        <v>10456</v>
      </c>
      <c r="B556" s="3">
        <v>49</v>
      </c>
      <c r="C556" s="3">
        <v>16</v>
      </c>
      <c r="D556" s="3">
        <v>21</v>
      </c>
      <c r="E556" s="4">
        <v>0.15</v>
      </c>
      <c r="F556" s="5">
        <f t="shared" si="8"/>
        <v>285.59999999999997</v>
      </c>
    </row>
    <row r="557" spans="1:6" x14ac:dyDescent="0.45">
      <c r="A557" s="6">
        <v>10457</v>
      </c>
      <c r="B557" s="3">
        <v>59</v>
      </c>
      <c r="C557" s="3">
        <v>44</v>
      </c>
      <c r="D557" s="3">
        <v>36</v>
      </c>
      <c r="E557" s="4">
        <v>0</v>
      </c>
      <c r="F557" s="5">
        <f t="shared" si="8"/>
        <v>1584</v>
      </c>
    </row>
    <row r="558" spans="1:6" x14ac:dyDescent="0.45">
      <c r="A558" s="6">
        <v>10458</v>
      </c>
      <c r="B558" s="3">
        <v>26</v>
      </c>
      <c r="C558" s="3">
        <v>24.9</v>
      </c>
      <c r="D558" s="3">
        <v>30</v>
      </c>
      <c r="E558" s="4">
        <v>0</v>
      </c>
      <c r="F558" s="5">
        <f t="shared" si="8"/>
        <v>747</v>
      </c>
    </row>
    <row r="559" spans="1:6" x14ac:dyDescent="0.45">
      <c r="A559" s="6">
        <v>10458</v>
      </c>
      <c r="B559" s="3">
        <v>28</v>
      </c>
      <c r="C559" s="3">
        <v>36.4</v>
      </c>
      <c r="D559" s="3">
        <v>30</v>
      </c>
      <c r="E559" s="4">
        <v>0</v>
      </c>
      <c r="F559" s="5">
        <f t="shared" si="8"/>
        <v>1092</v>
      </c>
    </row>
    <row r="560" spans="1:6" x14ac:dyDescent="0.45">
      <c r="A560" s="6">
        <v>10458</v>
      </c>
      <c r="B560" s="3">
        <v>43</v>
      </c>
      <c r="C560" s="3">
        <v>36.799999999999997</v>
      </c>
      <c r="D560" s="3">
        <v>20</v>
      </c>
      <c r="E560" s="4">
        <v>0</v>
      </c>
      <c r="F560" s="5">
        <f t="shared" si="8"/>
        <v>736</v>
      </c>
    </row>
    <row r="561" spans="1:6" x14ac:dyDescent="0.45">
      <c r="A561" s="6">
        <v>10458</v>
      </c>
      <c r="B561" s="3">
        <v>56</v>
      </c>
      <c r="C561" s="3">
        <v>30.4</v>
      </c>
      <c r="D561" s="3">
        <v>15</v>
      </c>
      <c r="E561" s="4">
        <v>0</v>
      </c>
      <c r="F561" s="5">
        <f t="shared" si="8"/>
        <v>456</v>
      </c>
    </row>
    <row r="562" spans="1:6" x14ac:dyDescent="0.45">
      <c r="A562" s="6">
        <v>10458</v>
      </c>
      <c r="B562" s="3">
        <v>71</v>
      </c>
      <c r="C562" s="3">
        <v>17.2</v>
      </c>
      <c r="D562" s="3">
        <v>50</v>
      </c>
      <c r="E562" s="4">
        <v>0</v>
      </c>
      <c r="F562" s="5">
        <f t="shared" si="8"/>
        <v>860</v>
      </c>
    </row>
    <row r="563" spans="1:6" x14ac:dyDescent="0.45">
      <c r="A563" s="6">
        <v>10459</v>
      </c>
      <c r="B563" s="3">
        <v>7</v>
      </c>
      <c r="C563" s="3">
        <v>24</v>
      </c>
      <c r="D563" s="3">
        <v>16</v>
      </c>
      <c r="E563" s="4">
        <v>0.05</v>
      </c>
      <c r="F563" s="5">
        <f t="shared" si="8"/>
        <v>364.79999999999995</v>
      </c>
    </row>
    <row r="564" spans="1:6" x14ac:dyDescent="0.45">
      <c r="A564" s="6">
        <v>10459</v>
      </c>
      <c r="B564" s="3">
        <v>46</v>
      </c>
      <c r="C564" s="3">
        <v>9.6</v>
      </c>
      <c r="D564" s="3">
        <v>20</v>
      </c>
      <c r="E564" s="4">
        <v>0.05</v>
      </c>
      <c r="F564" s="5">
        <f t="shared" si="8"/>
        <v>182.39999999999998</v>
      </c>
    </row>
    <row r="565" spans="1:6" x14ac:dyDescent="0.45">
      <c r="A565" s="6">
        <v>10459</v>
      </c>
      <c r="B565" s="3">
        <v>72</v>
      </c>
      <c r="C565" s="3">
        <v>27.8</v>
      </c>
      <c r="D565" s="3">
        <v>40</v>
      </c>
      <c r="E565" s="4">
        <v>0</v>
      </c>
      <c r="F565" s="5">
        <f t="shared" si="8"/>
        <v>1112</v>
      </c>
    </row>
    <row r="566" spans="1:6" x14ac:dyDescent="0.45">
      <c r="A566" s="6">
        <v>10460</v>
      </c>
      <c r="B566" s="3">
        <v>68</v>
      </c>
      <c r="C566" s="3">
        <v>10</v>
      </c>
      <c r="D566" s="3">
        <v>21</v>
      </c>
      <c r="E566" s="4">
        <v>0.25</v>
      </c>
      <c r="F566" s="5">
        <f t="shared" si="8"/>
        <v>157.5</v>
      </c>
    </row>
    <row r="567" spans="1:6" x14ac:dyDescent="0.45">
      <c r="A567" s="6">
        <v>10460</v>
      </c>
      <c r="B567" s="3">
        <v>75</v>
      </c>
      <c r="C567" s="3">
        <v>6.2</v>
      </c>
      <c r="D567" s="3">
        <v>4</v>
      </c>
      <c r="E567" s="4">
        <v>0.25</v>
      </c>
      <c r="F567" s="5">
        <f t="shared" si="8"/>
        <v>18.600000000000001</v>
      </c>
    </row>
    <row r="568" spans="1:6" x14ac:dyDescent="0.45">
      <c r="A568" s="6">
        <v>10461</v>
      </c>
      <c r="B568" s="3">
        <v>21</v>
      </c>
      <c r="C568" s="3">
        <v>8</v>
      </c>
      <c r="D568" s="3">
        <v>40</v>
      </c>
      <c r="E568" s="4">
        <v>0.25</v>
      </c>
      <c r="F568" s="5">
        <f t="shared" si="8"/>
        <v>240</v>
      </c>
    </row>
    <row r="569" spans="1:6" x14ac:dyDescent="0.45">
      <c r="A569" s="6">
        <v>10461</v>
      </c>
      <c r="B569" s="3">
        <v>30</v>
      </c>
      <c r="C569" s="3">
        <v>20.7</v>
      </c>
      <c r="D569" s="3">
        <v>28</v>
      </c>
      <c r="E569" s="4">
        <v>0.25</v>
      </c>
      <c r="F569" s="5">
        <f t="shared" si="8"/>
        <v>434.70000000000005</v>
      </c>
    </row>
    <row r="570" spans="1:6" x14ac:dyDescent="0.45">
      <c r="A570" s="6">
        <v>10461</v>
      </c>
      <c r="B570" s="3">
        <v>55</v>
      </c>
      <c r="C570" s="3">
        <v>19.2</v>
      </c>
      <c r="D570" s="3">
        <v>60</v>
      </c>
      <c r="E570" s="4">
        <v>0.25</v>
      </c>
      <c r="F570" s="5">
        <f t="shared" si="8"/>
        <v>864</v>
      </c>
    </row>
    <row r="571" spans="1:6" x14ac:dyDescent="0.45">
      <c r="A571" s="6">
        <v>10462</v>
      </c>
      <c r="B571" s="3">
        <v>13</v>
      </c>
      <c r="C571" s="3">
        <v>4.8</v>
      </c>
      <c r="D571" s="3">
        <v>1</v>
      </c>
      <c r="E571" s="4">
        <v>0</v>
      </c>
      <c r="F571" s="5">
        <f t="shared" si="8"/>
        <v>4.8</v>
      </c>
    </row>
    <row r="572" spans="1:6" x14ac:dyDescent="0.45">
      <c r="A572" s="6">
        <v>10462</v>
      </c>
      <c r="B572" s="3">
        <v>23</v>
      </c>
      <c r="C572" s="3">
        <v>7.2</v>
      </c>
      <c r="D572" s="3">
        <v>21</v>
      </c>
      <c r="E572" s="4">
        <v>0</v>
      </c>
      <c r="F572" s="5">
        <f t="shared" si="8"/>
        <v>151.20000000000002</v>
      </c>
    </row>
    <row r="573" spans="1:6" x14ac:dyDescent="0.45">
      <c r="A573" s="6">
        <v>10463</v>
      </c>
      <c r="B573" s="3">
        <v>19</v>
      </c>
      <c r="C573" s="3">
        <v>7.3</v>
      </c>
      <c r="D573" s="3">
        <v>21</v>
      </c>
      <c r="E573" s="4">
        <v>0</v>
      </c>
      <c r="F573" s="5">
        <f t="shared" si="8"/>
        <v>153.29999999999998</v>
      </c>
    </row>
    <row r="574" spans="1:6" x14ac:dyDescent="0.45">
      <c r="A574" s="6">
        <v>10463</v>
      </c>
      <c r="B574" s="3">
        <v>42</v>
      </c>
      <c r="C574" s="3">
        <v>11.2</v>
      </c>
      <c r="D574" s="3">
        <v>50</v>
      </c>
      <c r="E574" s="4">
        <v>0</v>
      </c>
      <c r="F574" s="5">
        <f t="shared" si="8"/>
        <v>560</v>
      </c>
    </row>
    <row r="575" spans="1:6" x14ac:dyDescent="0.45">
      <c r="A575" s="6">
        <v>10464</v>
      </c>
      <c r="B575" s="3">
        <v>4</v>
      </c>
      <c r="C575" s="3">
        <v>17.600000000000001</v>
      </c>
      <c r="D575" s="3">
        <v>16</v>
      </c>
      <c r="E575" s="4">
        <v>0.2</v>
      </c>
      <c r="F575" s="5">
        <f t="shared" si="8"/>
        <v>225.28000000000003</v>
      </c>
    </row>
    <row r="576" spans="1:6" x14ac:dyDescent="0.45">
      <c r="A576" s="6">
        <v>10464</v>
      </c>
      <c r="B576" s="3">
        <v>43</v>
      </c>
      <c r="C576" s="3">
        <v>36.799999999999997</v>
      </c>
      <c r="D576" s="3">
        <v>3</v>
      </c>
      <c r="E576" s="4">
        <v>0</v>
      </c>
      <c r="F576" s="5">
        <f t="shared" si="8"/>
        <v>110.39999999999999</v>
      </c>
    </row>
    <row r="577" spans="1:6" x14ac:dyDescent="0.45">
      <c r="A577" s="6">
        <v>10464</v>
      </c>
      <c r="B577" s="3">
        <v>56</v>
      </c>
      <c r="C577" s="3">
        <v>30.4</v>
      </c>
      <c r="D577" s="3">
        <v>30</v>
      </c>
      <c r="E577" s="4">
        <v>0.2</v>
      </c>
      <c r="F577" s="5">
        <f t="shared" si="8"/>
        <v>729.6</v>
      </c>
    </row>
    <row r="578" spans="1:6" x14ac:dyDescent="0.45">
      <c r="A578" s="6">
        <v>10464</v>
      </c>
      <c r="B578" s="3">
        <v>60</v>
      </c>
      <c r="C578" s="3">
        <v>27.2</v>
      </c>
      <c r="D578" s="3">
        <v>20</v>
      </c>
      <c r="E578" s="4">
        <v>0</v>
      </c>
      <c r="F578" s="5">
        <f t="shared" ref="F578:F641" si="9">C578*D578*(1-E578)</f>
        <v>544</v>
      </c>
    </row>
    <row r="579" spans="1:6" x14ac:dyDescent="0.45">
      <c r="A579" s="6">
        <v>10465</v>
      </c>
      <c r="B579" s="3">
        <v>24</v>
      </c>
      <c r="C579" s="3">
        <v>3.6</v>
      </c>
      <c r="D579" s="3">
        <v>25</v>
      </c>
      <c r="E579" s="4">
        <v>0</v>
      </c>
      <c r="F579" s="5">
        <f t="shared" si="9"/>
        <v>90</v>
      </c>
    </row>
    <row r="580" spans="1:6" x14ac:dyDescent="0.45">
      <c r="A580" s="6">
        <v>10465</v>
      </c>
      <c r="B580" s="3">
        <v>29</v>
      </c>
      <c r="C580" s="3">
        <v>99</v>
      </c>
      <c r="D580" s="3">
        <v>18</v>
      </c>
      <c r="E580" s="4">
        <v>0.1</v>
      </c>
      <c r="F580" s="5">
        <f t="shared" si="9"/>
        <v>1603.8</v>
      </c>
    </row>
    <row r="581" spans="1:6" x14ac:dyDescent="0.45">
      <c r="A581" s="6">
        <v>10465</v>
      </c>
      <c r="B581" s="3">
        <v>40</v>
      </c>
      <c r="C581" s="3">
        <v>14.7</v>
      </c>
      <c r="D581" s="3">
        <v>20</v>
      </c>
      <c r="E581" s="4">
        <v>0</v>
      </c>
      <c r="F581" s="5">
        <f t="shared" si="9"/>
        <v>294</v>
      </c>
    </row>
    <row r="582" spans="1:6" x14ac:dyDescent="0.45">
      <c r="A582" s="6">
        <v>10465</v>
      </c>
      <c r="B582" s="3">
        <v>45</v>
      </c>
      <c r="C582" s="3">
        <v>7.6</v>
      </c>
      <c r="D582" s="3">
        <v>30</v>
      </c>
      <c r="E582" s="4">
        <v>0.1</v>
      </c>
      <c r="F582" s="5">
        <f t="shared" si="9"/>
        <v>205.20000000000002</v>
      </c>
    </row>
    <row r="583" spans="1:6" x14ac:dyDescent="0.45">
      <c r="A583" s="6">
        <v>10465</v>
      </c>
      <c r="B583" s="3">
        <v>50</v>
      </c>
      <c r="C583" s="3">
        <v>13</v>
      </c>
      <c r="D583" s="3">
        <v>25</v>
      </c>
      <c r="E583" s="4">
        <v>0</v>
      </c>
      <c r="F583" s="5">
        <f t="shared" si="9"/>
        <v>325</v>
      </c>
    </row>
    <row r="584" spans="1:6" x14ac:dyDescent="0.45">
      <c r="A584" s="6">
        <v>10466</v>
      </c>
      <c r="B584" s="3">
        <v>11</v>
      </c>
      <c r="C584" s="3">
        <v>16.8</v>
      </c>
      <c r="D584" s="3">
        <v>10</v>
      </c>
      <c r="E584" s="4">
        <v>0</v>
      </c>
      <c r="F584" s="5">
        <f t="shared" si="9"/>
        <v>168</v>
      </c>
    </row>
    <row r="585" spans="1:6" x14ac:dyDescent="0.45">
      <c r="A585" s="6">
        <v>10466</v>
      </c>
      <c r="B585" s="3">
        <v>46</v>
      </c>
      <c r="C585" s="3">
        <v>9.6</v>
      </c>
      <c r="D585" s="3">
        <v>5</v>
      </c>
      <c r="E585" s="4">
        <v>0</v>
      </c>
      <c r="F585" s="5">
        <f t="shared" si="9"/>
        <v>48</v>
      </c>
    </row>
    <row r="586" spans="1:6" x14ac:dyDescent="0.45">
      <c r="A586" s="6">
        <v>10467</v>
      </c>
      <c r="B586" s="3">
        <v>24</v>
      </c>
      <c r="C586" s="3">
        <v>3.6</v>
      </c>
      <c r="D586" s="3">
        <v>28</v>
      </c>
      <c r="E586" s="4">
        <v>0</v>
      </c>
      <c r="F586" s="5">
        <f t="shared" si="9"/>
        <v>100.8</v>
      </c>
    </row>
    <row r="587" spans="1:6" x14ac:dyDescent="0.45">
      <c r="A587" s="6">
        <v>10467</v>
      </c>
      <c r="B587" s="3">
        <v>25</v>
      </c>
      <c r="C587" s="3">
        <v>11.2</v>
      </c>
      <c r="D587" s="3">
        <v>12</v>
      </c>
      <c r="E587" s="4">
        <v>0</v>
      </c>
      <c r="F587" s="5">
        <f t="shared" si="9"/>
        <v>134.39999999999998</v>
      </c>
    </row>
    <row r="588" spans="1:6" x14ac:dyDescent="0.45">
      <c r="A588" s="6">
        <v>10468</v>
      </c>
      <c r="B588" s="3">
        <v>30</v>
      </c>
      <c r="C588" s="3">
        <v>20.7</v>
      </c>
      <c r="D588" s="3">
        <v>8</v>
      </c>
      <c r="E588" s="4">
        <v>0</v>
      </c>
      <c r="F588" s="5">
        <f t="shared" si="9"/>
        <v>165.6</v>
      </c>
    </row>
    <row r="589" spans="1:6" x14ac:dyDescent="0.45">
      <c r="A589" s="6">
        <v>10468</v>
      </c>
      <c r="B589" s="3">
        <v>43</v>
      </c>
      <c r="C589" s="3">
        <v>36.799999999999997</v>
      </c>
      <c r="D589" s="3">
        <v>15</v>
      </c>
      <c r="E589" s="4">
        <v>0</v>
      </c>
      <c r="F589" s="5">
        <f t="shared" si="9"/>
        <v>552</v>
      </c>
    </row>
    <row r="590" spans="1:6" x14ac:dyDescent="0.45">
      <c r="A590" s="6">
        <v>10469</v>
      </c>
      <c r="B590" s="3">
        <v>2</v>
      </c>
      <c r="C590" s="3">
        <v>15.2</v>
      </c>
      <c r="D590" s="3">
        <v>40</v>
      </c>
      <c r="E590" s="4">
        <v>0.15</v>
      </c>
      <c r="F590" s="5">
        <f t="shared" si="9"/>
        <v>516.79999999999995</v>
      </c>
    </row>
    <row r="591" spans="1:6" x14ac:dyDescent="0.45">
      <c r="A591" s="6">
        <v>10469</v>
      </c>
      <c r="B591" s="3">
        <v>16</v>
      </c>
      <c r="C591" s="3">
        <v>13.9</v>
      </c>
      <c r="D591" s="3">
        <v>35</v>
      </c>
      <c r="E591" s="4">
        <v>0.15</v>
      </c>
      <c r="F591" s="5">
        <f t="shared" si="9"/>
        <v>413.52499999999998</v>
      </c>
    </row>
    <row r="592" spans="1:6" x14ac:dyDescent="0.45">
      <c r="A592" s="6">
        <v>10469</v>
      </c>
      <c r="B592" s="3">
        <v>44</v>
      </c>
      <c r="C592" s="3">
        <v>15.5</v>
      </c>
      <c r="D592" s="3">
        <v>2</v>
      </c>
      <c r="E592" s="4">
        <v>0.15</v>
      </c>
      <c r="F592" s="5">
        <f t="shared" si="9"/>
        <v>26.349999999999998</v>
      </c>
    </row>
    <row r="593" spans="1:6" x14ac:dyDescent="0.45">
      <c r="A593" s="6">
        <v>10470</v>
      </c>
      <c r="B593" s="3">
        <v>18</v>
      </c>
      <c r="C593" s="3">
        <v>50</v>
      </c>
      <c r="D593" s="3">
        <v>30</v>
      </c>
      <c r="E593" s="4">
        <v>0</v>
      </c>
      <c r="F593" s="5">
        <f t="shared" si="9"/>
        <v>1500</v>
      </c>
    </row>
    <row r="594" spans="1:6" x14ac:dyDescent="0.45">
      <c r="A594" s="6">
        <v>10470</v>
      </c>
      <c r="B594" s="3">
        <v>23</v>
      </c>
      <c r="C594" s="3">
        <v>7.2</v>
      </c>
      <c r="D594" s="3">
        <v>15</v>
      </c>
      <c r="E594" s="4">
        <v>0</v>
      </c>
      <c r="F594" s="5">
        <f t="shared" si="9"/>
        <v>108</v>
      </c>
    </row>
    <row r="595" spans="1:6" x14ac:dyDescent="0.45">
      <c r="A595" s="6">
        <v>10470</v>
      </c>
      <c r="B595" s="3">
        <v>64</v>
      </c>
      <c r="C595" s="3">
        <v>26.6</v>
      </c>
      <c r="D595" s="3">
        <v>8</v>
      </c>
      <c r="E595" s="4">
        <v>0</v>
      </c>
      <c r="F595" s="5">
        <f t="shared" si="9"/>
        <v>212.8</v>
      </c>
    </row>
    <row r="596" spans="1:6" x14ac:dyDescent="0.45">
      <c r="A596" s="6">
        <v>10471</v>
      </c>
      <c r="B596" s="3">
        <v>7</v>
      </c>
      <c r="C596" s="3">
        <v>24</v>
      </c>
      <c r="D596" s="3">
        <v>30</v>
      </c>
      <c r="E596" s="4">
        <v>0</v>
      </c>
      <c r="F596" s="5">
        <f t="shared" si="9"/>
        <v>720</v>
      </c>
    </row>
    <row r="597" spans="1:6" x14ac:dyDescent="0.45">
      <c r="A597" s="6">
        <v>10471</v>
      </c>
      <c r="B597" s="3">
        <v>56</v>
      </c>
      <c r="C597" s="3">
        <v>30.4</v>
      </c>
      <c r="D597" s="3">
        <v>20</v>
      </c>
      <c r="E597" s="4">
        <v>0</v>
      </c>
      <c r="F597" s="5">
        <f t="shared" si="9"/>
        <v>608</v>
      </c>
    </row>
    <row r="598" spans="1:6" x14ac:dyDescent="0.45">
      <c r="A598" s="6">
        <v>10472</v>
      </c>
      <c r="B598" s="3">
        <v>24</v>
      </c>
      <c r="C598" s="3">
        <v>3.6</v>
      </c>
      <c r="D598" s="3">
        <v>80</v>
      </c>
      <c r="E598" s="4">
        <v>0.05</v>
      </c>
      <c r="F598" s="5">
        <f t="shared" si="9"/>
        <v>273.59999999999997</v>
      </c>
    </row>
    <row r="599" spans="1:6" x14ac:dyDescent="0.45">
      <c r="A599" s="6">
        <v>10472</v>
      </c>
      <c r="B599" s="3">
        <v>51</v>
      </c>
      <c r="C599" s="3">
        <v>42.4</v>
      </c>
      <c r="D599" s="3">
        <v>18</v>
      </c>
      <c r="E599" s="4">
        <v>0</v>
      </c>
      <c r="F599" s="5">
        <f t="shared" si="9"/>
        <v>763.19999999999993</v>
      </c>
    </row>
    <row r="600" spans="1:6" x14ac:dyDescent="0.45">
      <c r="A600" s="6">
        <v>10473</v>
      </c>
      <c r="B600" s="3">
        <v>33</v>
      </c>
      <c r="C600" s="3">
        <v>2</v>
      </c>
      <c r="D600" s="3">
        <v>12</v>
      </c>
      <c r="E600" s="4">
        <v>0</v>
      </c>
      <c r="F600" s="5">
        <f t="shared" si="9"/>
        <v>24</v>
      </c>
    </row>
    <row r="601" spans="1:6" x14ac:dyDescent="0.45">
      <c r="A601" s="6">
        <v>10473</v>
      </c>
      <c r="B601" s="3">
        <v>71</v>
      </c>
      <c r="C601" s="3">
        <v>17.2</v>
      </c>
      <c r="D601" s="3">
        <v>12</v>
      </c>
      <c r="E601" s="4">
        <v>0</v>
      </c>
      <c r="F601" s="5">
        <f t="shared" si="9"/>
        <v>206.39999999999998</v>
      </c>
    </row>
    <row r="602" spans="1:6" x14ac:dyDescent="0.45">
      <c r="A602" s="6">
        <v>10474</v>
      </c>
      <c r="B602" s="3">
        <v>14</v>
      </c>
      <c r="C602" s="3">
        <v>18.600000000000001</v>
      </c>
      <c r="D602" s="3">
        <v>12</v>
      </c>
      <c r="E602" s="4">
        <v>0</v>
      </c>
      <c r="F602" s="5">
        <f t="shared" si="9"/>
        <v>223.20000000000002</v>
      </c>
    </row>
    <row r="603" spans="1:6" x14ac:dyDescent="0.45">
      <c r="A603" s="6">
        <v>10474</v>
      </c>
      <c r="B603" s="3">
        <v>28</v>
      </c>
      <c r="C603" s="3">
        <v>36.4</v>
      </c>
      <c r="D603" s="3">
        <v>18</v>
      </c>
      <c r="E603" s="4">
        <v>0</v>
      </c>
      <c r="F603" s="5">
        <f t="shared" si="9"/>
        <v>655.19999999999993</v>
      </c>
    </row>
    <row r="604" spans="1:6" x14ac:dyDescent="0.45">
      <c r="A604" s="6">
        <v>10474</v>
      </c>
      <c r="B604" s="3">
        <v>40</v>
      </c>
      <c r="C604" s="3">
        <v>14.7</v>
      </c>
      <c r="D604" s="3">
        <v>21</v>
      </c>
      <c r="E604" s="4">
        <v>0</v>
      </c>
      <c r="F604" s="5">
        <f t="shared" si="9"/>
        <v>308.7</v>
      </c>
    </row>
    <row r="605" spans="1:6" x14ac:dyDescent="0.45">
      <c r="A605" s="6">
        <v>10474</v>
      </c>
      <c r="B605" s="3">
        <v>75</v>
      </c>
      <c r="C605" s="3">
        <v>6.2</v>
      </c>
      <c r="D605" s="3">
        <v>10</v>
      </c>
      <c r="E605" s="4">
        <v>0</v>
      </c>
      <c r="F605" s="5">
        <f t="shared" si="9"/>
        <v>62</v>
      </c>
    </row>
    <row r="606" spans="1:6" x14ac:dyDescent="0.45">
      <c r="A606" s="6">
        <v>10475</v>
      </c>
      <c r="B606" s="3">
        <v>31</v>
      </c>
      <c r="C606" s="3">
        <v>10</v>
      </c>
      <c r="D606" s="3">
        <v>35</v>
      </c>
      <c r="E606" s="4">
        <v>0.15</v>
      </c>
      <c r="F606" s="5">
        <f t="shared" si="9"/>
        <v>297.5</v>
      </c>
    </row>
    <row r="607" spans="1:6" x14ac:dyDescent="0.45">
      <c r="A607" s="6">
        <v>10475</v>
      </c>
      <c r="B607" s="3">
        <v>66</v>
      </c>
      <c r="C607" s="3">
        <v>13.6</v>
      </c>
      <c r="D607" s="3">
        <v>60</v>
      </c>
      <c r="E607" s="4">
        <v>0.15</v>
      </c>
      <c r="F607" s="5">
        <f t="shared" si="9"/>
        <v>693.6</v>
      </c>
    </row>
    <row r="608" spans="1:6" x14ac:dyDescent="0.45">
      <c r="A608" s="6">
        <v>10475</v>
      </c>
      <c r="B608" s="3">
        <v>76</v>
      </c>
      <c r="C608" s="3">
        <v>14.4</v>
      </c>
      <c r="D608" s="3">
        <v>42</v>
      </c>
      <c r="E608" s="4">
        <v>0.15</v>
      </c>
      <c r="F608" s="5">
        <f t="shared" si="9"/>
        <v>514.08000000000004</v>
      </c>
    </row>
    <row r="609" spans="1:6" x14ac:dyDescent="0.45">
      <c r="A609" s="6">
        <v>10476</v>
      </c>
      <c r="B609" s="3">
        <v>55</v>
      </c>
      <c r="C609" s="3">
        <v>19.2</v>
      </c>
      <c r="D609" s="3">
        <v>2</v>
      </c>
      <c r="E609" s="4">
        <v>0.05</v>
      </c>
      <c r="F609" s="5">
        <f t="shared" si="9"/>
        <v>36.479999999999997</v>
      </c>
    </row>
    <row r="610" spans="1:6" x14ac:dyDescent="0.45">
      <c r="A610" s="6">
        <v>10476</v>
      </c>
      <c r="B610" s="3">
        <v>70</v>
      </c>
      <c r="C610" s="3">
        <v>12</v>
      </c>
      <c r="D610" s="3">
        <v>12</v>
      </c>
      <c r="E610" s="4">
        <v>0</v>
      </c>
      <c r="F610" s="5">
        <f t="shared" si="9"/>
        <v>144</v>
      </c>
    </row>
    <row r="611" spans="1:6" x14ac:dyDescent="0.45">
      <c r="A611" s="6">
        <v>10477</v>
      </c>
      <c r="B611" s="3">
        <v>1</v>
      </c>
      <c r="C611" s="3">
        <v>14.4</v>
      </c>
      <c r="D611" s="3">
        <v>15</v>
      </c>
      <c r="E611" s="4">
        <v>0</v>
      </c>
      <c r="F611" s="5">
        <f t="shared" si="9"/>
        <v>216</v>
      </c>
    </row>
    <row r="612" spans="1:6" x14ac:dyDescent="0.45">
      <c r="A612" s="6">
        <v>10477</v>
      </c>
      <c r="B612" s="3">
        <v>21</v>
      </c>
      <c r="C612" s="3">
        <v>8</v>
      </c>
      <c r="D612" s="3">
        <v>21</v>
      </c>
      <c r="E612" s="4">
        <v>0.25</v>
      </c>
      <c r="F612" s="5">
        <f t="shared" si="9"/>
        <v>126</v>
      </c>
    </row>
    <row r="613" spans="1:6" x14ac:dyDescent="0.45">
      <c r="A613" s="6">
        <v>10477</v>
      </c>
      <c r="B613" s="3">
        <v>39</v>
      </c>
      <c r="C613" s="3">
        <v>14.4</v>
      </c>
      <c r="D613" s="3">
        <v>20</v>
      </c>
      <c r="E613" s="4">
        <v>0.25</v>
      </c>
      <c r="F613" s="5">
        <f t="shared" si="9"/>
        <v>216</v>
      </c>
    </row>
    <row r="614" spans="1:6" x14ac:dyDescent="0.45">
      <c r="A614" s="6">
        <v>10478</v>
      </c>
      <c r="B614" s="3">
        <v>10</v>
      </c>
      <c r="C614" s="3">
        <v>24.8</v>
      </c>
      <c r="D614" s="3">
        <v>20</v>
      </c>
      <c r="E614" s="4">
        <v>0.05</v>
      </c>
      <c r="F614" s="5">
        <f t="shared" si="9"/>
        <v>471.2</v>
      </c>
    </row>
    <row r="615" spans="1:6" x14ac:dyDescent="0.45">
      <c r="A615" s="6">
        <v>10479</v>
      </c>
      <c r="B615" s="3">
        <v>38</v>
      </c>
      <c r="C615" s="3">
        <v>210.8</v>
      </c>
      <c r="D615" s="3">
        <v>30</v>
      </c>
      <c r="E615" s="4">
        <v>0</v>
      </c>
      <c r="F615" s="5">
        <f t="shared" si="9"/>
        <v>6324</v>
      </c>
    </row>
    <row r="616" spans="1:6" x14ac:dyDescent="0.45">
      <c r="A616" s="6">
        <v>10479</v>
      </c>
      <c r="B616" s="3">
        <v>53</v>
      </c>
      <c r="C616" s="3">
        <v>26.2</v>
      </c>
      <c r="D616" s="3">
        <v>28</v>
      </c>
      <c r="E616" s="4">
        <v>0</v>
      </c>
      <c r="F616" s="5">
        <f t="shared" si="9"/>
        <v>733.6</v>
      </c>
    </row>
    <row r="617" spans="1:6" x14ac:dyDescent="0.45">
      <c r="A617" s="6">
        <v>10479</v>
      </c>
      <c r="B617" s="3">
        <v>59</v>
      </c>
      <c r="C617" s="3">
        <v>44</v>
      </c>
      <c r="D617" s="3">
        <v>60</v>
      </c>
      <c r="E617" s="4">
        <v>0</v>
      </c>
      <c r="F617" s="5">
        <f t="shared" si="9"/>
        <v>2640</v>
      </c>
    </row>
    <row r="618" spans="1:6" x14ac:dyDescent="0.45">
      <c r="A618" s="6">
        <v>10479</v>
      </c>
      <c r="B618" s="3">
        <v>64</v>
      </c>
      <c r="C618" s="3">
        <v>26.6</v>
      </c>
      <c r="D618" s="3">
        <v>30</v>
      </c>
      <c r="E618" s="4">
        <v>0</v>
      </c>
      <c r="F618" s="5">
        <f t="shared" si="9"/>
        <v>798</v>
      </c>
    </row>
    <row r="619" spans="1:6" x14ac:dyDescent="0.45">
      <c r="A619" s="6">
        <v>10480</v>
      </c>
      <c r="B619" s="3">
        <v>47</v>
      </c>
      <c r="C619" s="3">
        <v>7.6</v>
      </c>
      <c r="D619" s="3">
        <v>30</v>
      </c>
      <c r="E619" s="4">
        <v>0</v>
      </c>
      <c r="F619" s="5">
        <f t="shared" si="9"/>
        <v>228</v>
      </c>
    </row>
    <row r="620" spans="1:6" x14ac:dyDescent="0.45">
      <c r="A620" s="6">
        <v>10480</v>
      </c>
      <c r="B620" s="3">
        <v>59</v>
      </c>
      <c r="C620" s="3">
        <v>44</v>
      </c>
      <c r="D620" s="3">
        <v>12</v>
      </c>
      <c r="E620" s="4">
        <v>0</v>
      </c>
      <c r="F620" s="5">
        <f t="shared" si="9"/>
        <v>528</v>
      </c>
    </row>
    <row r="621" spans="1:6" x14ac:dyDescent="0.45">
      <c r="A621" s="6">
        <v>10481</v>
      </c>
      <c r="B621" s="3">
        <v>49</v>
      </c>
      <c r="C621" s="3">
        <v>16</v>
      </c>
      <c r="D621" s="3">
        <v>24</v>
      </c>
      <c r="E621" s="4">
        <v>0</v>
      </c>
      <c r="F621" s="5">
        <f t="shared" si="9"/>
        <v>384</v>
      </c>
    </row>
    <row r="622" spans="1:6" x14ac:dyDescent="0.45">
      <c r="A622" s="6">
        <v>10481</v>
      </c>
      <c r="B622" s="3">
        <v>60</v>
      </c>
      <c r="C622" s="3">
        <v>27.2</v>
      </c>
      <c r="D622" s="3">
        <v>40</v>
      </c>
      <c r="E622" s="4">
        <v>0</v>
      </c>
      <c r="F622" s="5">
        <f t="shared" si="9"/>
        <v>1088</v>
      </c>
    </row>
    <row r="623" spans="1:6" x14ac:dyDescent="0.45">
      <c r="A623" s="6">
        <v>10482</v>
      </c>
      <c r="B623" s="3">
        <v>40</v>
      </c>
      <c r="C623" s="3">
        <v>14.7</v>
      </c>
      <c r="D623" s="3">
        <v>10</v>
      </c>
      <c r="E623" s="4">
        <v>0</v>
      </c>
      <c r="F623" s="5">
        <f t="shared" si="9"/>
        <v>147</v>
      </c>
    </row>
    <row r="624" spans="1:6" x14ac:dyDescent="0.45">
      <c r="A624" s="6">
        <v>10483</v>
      </c>
      <c r="B624" s="3">
        <v>34</v>
      </c>
      <c r="C624" s="3">
        <v>11.2</v>
      </c>
      <c r="D624" s="3">
        <v>35</v>
      </c>
      <c r="E624" s="4">
        <v>0.05</v>
      </c>
      <c r="F624" s="5">
        <f t="shared" si="9"/>
        <v>372.4</v>
      </c>
    </row>
    <row r="625" spans="1:6" x14ac:dyDescent="0.45">
      <c r="A625" s="6">
        <v>10483</v>
      </c>
      <c r="B625" s="3">
        <v>77</v>
      </c>
      <c r="C625" s="3">
        <v>10.4</v>
      </c>
      <c r="D625" s="3">
        <v>30</v>
      </c>
      <c r="E625" s="4">
        <v>0.05</v>
      </c>
      <c r="F625" s="5">
        <f t="shared" si="9"/>
        <v>296.39999999999998</v>
      </c>
    </row>
    <row r="626" spans="1:6" x14ac:dyDescent="0.45">
      <c r="A626" s="6">
        <v>10484</v>
      </c>
      <c r="B626" s="3">
        <v>21</v>
      </c>
      <c r="C626" s="3">
        <v>8</v>
      </c>
      <c r="D626" s="3">
        <v>14</v>
      </c>
      <c r="E626" s="4">
        <v>0</v>
      </c>
      <c r="F626" s="5">
        <f t="shared" si="9"/>
        <v>112</v>
      </c>
    </row>
    <row r="627" spans="1:6" x14ac:dyDescent="0.45">
      <c r="A627" s="6">
        <v>10484</v>
      </c>
      <c r="B627" s="3">
        <v>40</v>
      </c>
      <c r="C627" s="3">
        <v>14.7</v>
      </c>
      <c r="D627" s="3">
        <v>10</v>
      </c>
      <c r="E627" s="4">
        <v>0</v>
      </c>
      <c r="F627" s="5">
        <f t="shared" si="9"/>
        <v>147</v>
      </c>
    </row>
    <row r="628" spans="1:6" x14ac:dyDescent="0.45">
      <c r="A628" s="6">
        <v>10484</v>
      </c>
      <c r="B628" s="3">
        <v>51</v>
      </c>
      <c r="C628" s="3">
        <v>42.4</v>
      </c>
      <c r="D628" s="3">
        <v>3</v>
      </c>
      <c r="E628" s="4">
        <v>0</v>
      </c>
      <c r="F628" s="5">
        <f t="shared" si="9"/>
        <v>127.19999999999999</v>
      </c>
    </row>
    <row r="629" spans="1:6" x14ac:dyDescent="0.45">
      <c r="A629" s="6">
        <v>10485</v>
      </c>
      <c r="B629" s="3">
        <v>2</v>
      </c>
      <c r="C629" s="3">
        <v>15.2</v>
      </c>
      <c r="D629" s="3">
        <v>20</v>
      </c>
      <c r="E629" s="4">
        <v>0.1</v>
      </c>
      <c r="F629" s="5">
        <f t="shared" si="9"/>
        <v>273.60000000000002</v>
      </c>
    </row>
    <row r="630" spans="1:6" x14ac:dyDescent="0.45">
      <c r="A630" s="6">
        <v>10485</v>
      </c>
      <c r="B630" s="3">
        <v>3</v>
      </c>
      <c r="C630" s="3">
        <v>8</v>
      </c>
      <c r="D630" s="3">
        <v>20</v>
      </c>
      <c r="E630" s="4">
        <v>0.1</v>
      </c>
      <c r="F630" s="5">
        <f t="shared" si="9"/>
        <v>144</v>
      </c>
    </row>
    <row r="631" spans="1:6" x14ac:dyDescent="0.45">
      <c r="A631" s="6">
        <v>10485</v>
      </c>
      <c r="B631" s="3">
        <v>55</v>
      </c>
      <c r="C631" s="3">
        <v>19.2</v>
      </c>
      <c r="D631" s="3">
        <v>30</v>
      </c>
      <c r="E631" s="4">
        <v>0.1</v>
      </c>
      <c r="F631" s="5">
        <f t="shared" si="9"/>
        <v>518.4</v>
      </c>
    </row>
    <row r="632" spans="1:6" x14ac:dyDescent="0.45">
      <c r="A632" s="6">
        <v>10485</v>
      </c>
      <c r="B632" s="3">
        <v>70</v>
      </c>
      <c r="C632" s="3">
        <v>12</v>
      </c>
      <c r="D632" s="3">
        <v>60</v>
      </c>
      <c r="E632" s="4">
        <v>0.1</v>
      </c>
      <c r="F632" s="5">
        <f t="shared" si="9"/>
        <v>648</v>
      </c>
    </row>
    <row r="633" spans="1:6" x14ac:dyDescent="0.45">
      <c r="A633" s="6">
        <v>10486</v>
      </c>
      <c r="B633" s="3">
        <v>11</v>
      </c>
      <c r="C633" s="3">
        <v>16.8</v>
      </c>
      <c r="D633" s="3">
        <v>5</v>
      </c>
      <c r="E633" s="4">
        <v>0</v>
      </c>
      <c r="F633" s="5">
        <f t="shared" si="9"/>
        <v>84</v>
      </c>
    </row>
    <row r="634" spans="1:6" x14ac:dyDescent="0.45">
      <c r="A634" s="6">
        <v>10486</v>
      </c>
      <c r="B634" s="3">
        <v>51</v>
      </c>
      <c r="C634" s="3">
        <v>42.4</v>
      </c>
      <c r="D634" s="3">
        <v>25</v>
      </c>
      <c r="E634" s="4">
        <v>0</v>
      </c>
      <c r="F634" s="5">
        <f t="shared" si="9"/>
        <v>1060</v>
      </c>
    </row>
    <row r="635" spans="1:6" x14ac:dyDescent="0.45">
      <c r="A635" s="6">
        <v>10486</v>
      </c>
      <c r="B635" s="3">
        <v>74</v>
      </c>
      <c r="C635" s="3">
        <v>8</v>
      </c>
      <c r="D635" s="3">
        <v>16</v>
      </c>
      <c r="E635" s="4">
        <v>0</v>
      </c>
      <c r="F635" s="5">
        <f t="shared" si="9"/>
        <v>128</v>
      </c>
    </row>
    <row r="636" spans="1:6" x14ac:dyDescent="0.45">
      <c r="A636" s="6">
        <v>10487</v>
      </c>
      <c r="B636" s="3">
        <v>19</v>
      </c>
      <c r="C636" s="3">
        <v>7.3</v>
      </c>
      <c r="D636" s="3">
        <v>5</v>
      </c>
      <c r="E636" s="4">
        <v>0</v>
      </c>
      <c r="F636" s="5">
        <f t="shared" si="9"/>
        <v>36.5</v>
      </c>
    </row>
    <row r="637" spans="1:6" x14ac:dyDescent="0.45">
      <c r="A637" s="6">
        <v>10487</v>
      </c>
      <c r="B637" s="3">
        <v>26</v>
      </c>
      <c r="C637" s="3">
        <v>24.9</v>
      </c>
      <c r="D637" s="3">
        <v>30</v>
      </c>
      <c r="E637" s="4">
        <v>0</v>
      </c>
      <c r="F637" s="5">
        <f t="shared" si="9"/>
        <v>747</v>
      </c>
    </row>
    <row r="638" spans="1:6" x14ac:dyDescent="0.45">
      <c r="A638" s="6">
        <v>10487</v>
      </c>
      <c r="B638" s="3">
        <v>54</v>
      </c>
      <c r="C638" s="3">
        <v>5.9</v>
      </c>
      <c r="D638" s="3">
        <v>24</v>
      </c>
      <c r="E638" s="4">
        <v>0.25</v>
      </c>
      <c r="F638" s="5">
        <f t="shared" si="9"/>
        <v>106.20000000000002</v>
      </c>
    </row>
    <row r="639" spans="1:6" x14ac:dyDescent="0.45">
      <c r="A639" s="6">
        <v>10488</v>
      </c>
      <c r="B639" s="3">
        <v>59</v>
      </c>
      <c r="C639" s="3">
        <v>44</v>
      </c>
      <c r="D639" s="3">
        <v>30</v>
      </c>
      <c r="E639" s="4">
        <v>0</v>
      </c>
      <c r="F639" s="5">
        <f t="shared" si="9"/>
        <v>1320</v>
      </c>
    </row>
    <row r="640" spans="1:6" x14ac:dyDescent="0.45">
      <c r="A640" s="6">
        <v>10488</v>
      </c>
      <c r="B640" s="3">
        <v>73</v>
      </c>
      <c r="C640" s="3">
        <v>12</v>
      </c>
      <c r="D640" s="3">
        <v>20</v>
      </c>
      <c r="E640" s="4">
        <v>0.2</v>
      </c>
      <c r="F640" s="5">
        <f t="shared" si="9"/>
        <v>192</v>
      </c>
    </row>
    <row r="641" spans="1:6" x14ac:dyDescent="0.45">
      <c r="A641" s="6">
        <v>10489</v>
      </c>
      <c r="B641" s="3">
        <v>11</v>
      </c>
      <c r="C641" s="3">
        <v>16.8</v>
      </c>
      <c r="D641" s="3">
        <v>15</v>
      </c>
      <c r="E641" s="4">
        <v>0.25</v>
      </c>
      <c r="F641" s="5">
        <f t="shared" si="9"/>
        <v>189</v>
      </c>
    </row>
    <row r="642" spans="1:6" x14ac:dyDescent="0.45">
      <c r="A642" s="6">
        <v>10489</v>
      </c>
      <c r="B642" s="3">
        <v>16</v>
      </c>
      <c r="C642" s="3">
        <v>13.9</v>
      </c>
      <c r="D642" s="3">
        <v>18</v>
      </c>
      <c r="E642" s="4">
        <v>0</v>
      </c>
      <c r="F642" s="5">
        <f t="shared" ref="F642:F705" si="10">C642*D642*(1-E642)</f>
        <v>250.20000000000002</v>
      </c>
    </row>
    <row r="643" spans="1:6" x14ac:dyDescent="0.45">
      <c r="A643" s="6">
        <v>10490</v>
      </c>
      <c r="B643" s="3">
        <v>59</v>
      </c>
      <c r="C643" s="3">
        <v>44</v>
      </c>
      <c r="D643" s="3">
        <v>60</v>
      </c>
      <c r="E643" s="4">
        <v>0</v>
      </c>
      <c r="F643" s="5">
        <f t="shared" si="10"/>
        <v>2640</v>
      </c>
    </row>
    <row r="644" spans="1:6" x14ac:dyDescent="0.45">
      <c r="A644" s="6">
        <v>10490</v>
      </c>
      <c r="B644" s="3">
        <v>68</v>
      </c>
      <c r="C644" s="3">
        <v>10</v>
      </c>
      <c r="D644" s="3">
        <v>30</v>
      </c>
      <c r="E644" s="4">
        <v>0</v>
      </c>
      <c r="F644" s="5">
        <f t="shared" si="10"/>
        <v>300</v>
      </c>
    </row>
    <row r="645" spans="1:6" x14ac:dyDescent="0.45">
      <c r="A645" s="6">
        <v>10490</v>
      </c>
      <c r="B645" s="3">
        <v>75</v>
      </c>
      <c r="C645" s="3">
        <v>6.2</v>
      </c>
      <c r="D645" s="3">
        <v>36</v>
      </c>
      <c r="E645" s="4">
        <v>0</v>
      </c>
      <c r="F645" s="5">
        <f t="shared" si="10"/>
        <v>223.20000000000002</v>
      </c>
    </row>
    <row r="646" spans="1:6" x14ac:dyDescent="0.45">
      <c r="A646" s="6">
        <v>10491</v>
      </c>
      <c r="B646" s="3">
        <v>44</v>
      </c>
      <c r="C646" s="3">
        <v>15.5</v>
      </c>
      <c r="D646" s="3">
        <v>15</v>
      </c>
      <c r="E646" s="4">
        <v>0.15</v>
      </c>
      <c r="F646" s="5">
        <f t="shared" si="10"/>
        <v>197.625</v>
      </c>
    </row>
    <row r="647" spans="1:6" x14ac:dyDescent="0.45">
      <c r="A647" s="6">
        <v>10491</v>
      </c>
      <c r="B647" s="3">
        <v>77</v>
      </c>
      <c r="C647" s="3">
        <v>10.4</v>
      </c>
      <c r="D647" s="3">
        <v>7</v>
      </c>
      <c r="E647" s="4">
        <v>0.15</v>
      </c>
      <c r="F647" s="5">
        <f t="shared" si="10"/>
        <v>61.879999999999995</v>
      </c>
    </row>
    <row r="648" spans="1:6" x14ac:dyDescent="0.45">
      <c r="A648" s="6">
        <v>10492</v>
      </c>
      <c r="B648" s="3">
        <v>25</v>
      </c>
      <c r="C648" s="3">
        <v>11.2</v>
      </c>
      <c r="D648" s="3">
        <v>60</v>
      </c>
      <c r="E648" s="4">
        <v>0.05</v>
      </c>
      <c r="F648" s="5">
        <f t="shared" si="10"/>
        <v>638.4</v>
      </c>
    </row>
    <row r="649" spans="1:6" x14ac:dyDescent="0.45">
      <c r="A649" s="6">
        <v>10492</v>
      </c>
      <c r="B649" s="3">
        <v>42</v>
      </c>
      <c r="C649" s="3">
        <v>11.2</v>
      </c>
      <c r="D649" s="3">
        <v>20</v>
      </c>
      <c r="E649" s="4">
        <v>0.05</v>
      </c>
      <c r="F649" s="5">
        <f t="shared" si="10"/>
        <v>212.79999999999998</v>
      </c>
    </row>
    <row r="650" spans="1:6" x14ac:dyDescent="0.45">
      <c r="A650" s="6">
        <v>10493</v>
      </c>
      <c r="B650" s="3">
        <v>65</v>
      </c>
      <c r="C650" s="3">
        <v>16.8</v>
      </c>
      <c r="D650" s="3">
        <v>15</v>
      </c>
      <c r="E650" s="4">
        <v>0.1</v>
      </c>
      <c r="F650" s="5">
        <f t="shared" si="10"/>
        <v>226.8</v>
      </c>
    </row>
    <row r="651" spans="1:6" x14ac:dyDescent="0.45">
      <c r="A651" s="6">
        <v>10493</v>
      </c>
      <c r="B651" s="3">
        <v>66</v>
      </c>
      <c r="C651" s="3">
        <v>13.6</v>
      </c>
      <c r="D651" s="3">
        <v>10</v>
      </c>
      <c r="E651" s="4">
        <v>0.1</v>
      </c>
      <c r="F651" s="5">
        <f t="shared" si="10"/>
        <v>122.4</v>
      </c>
    </row>
    <row r="652" spans="1:6" x14ac:dyDescent="0.45">
      <c r="A652" s="6">
        <v>10493</v>
      </c>
      <c r="B652" s="3">
        <v>69</v>
      </c>
      <c r="C652" s="3">
        <v>28.8</v>
      </c>
      <c r="D652" s="3">
        <v>10</v>
      </c>
      <c r="E652" s="4">
        <v>0.1</v>
      </c>
      <c r="F652" s="5">
        <f t="shared" si="10"/>
        <v>259.2</v>
      </c>
    </row>
    <row r="653" spans="1:6" x14ac:dyDescent="0.45">
      <c r="A653" s="6">
        <v>10494</v>
      </c>
      <c r="B653" s="3">
        <v>56</v>
      </c>
      <c r="C653" s="3">
        <v>30.4</v>
      </c>
      <c r="D653" s="3">
        <v>30</v>
      </c>
      <c r="E653" s="4">
        <v>0</v>
      </c>
      <c r="F653" s="5">
        <f t="shared" si="10"/>
        <v>912</v>
      </c>
    </row>
    <row r="654" spans="1:6" x14ac:dyDescent="0.45">
      <c r="A654" s="6">
        <v>10495</v>
      </c>
      <c r="B654" s="3">
        <v>23</v>
      </c>
      <c r="C654" s="3">
        <v>7.2</v>
      </c>
      <c r="D654" s="3">
        <v>10</v>
      </c>
      <c r="E654" s="4">
        <v>0</v>
      </c>
      <c r="F654" s="5">
        <f t="shared" si="10"/>
        <v>72</v>
      </c>
    </row>
    <row r="655" spans="1:6" x14ac:dyDescent="0.45">
      <c r="A655" s="6">
        <v>10495</v>
      </c>
      <c r="B655" s="3">
        <v>41</v>
      </c>
      <c r="C655" s="3">
        <v>7.7</v>
      </c>
      <c r="D655" s="3">
        <v>20</v>
      </c>
      <c r="E655" s="4">
        <v>0</v>
      </c>
      <c r="F655" s="5">
        <f t="shared" si="10"/>
        <v>154</v>
      </c>
    </row>
    <row r="656" spans="1:6" x14ac:dyDescent="0.45">
      <c r="A656" s="6">
        <v>10495</v>
      </c>
      <c r="B656" s="3">
        <v>77</v>
      </c>
      <c r="C656" s="3">
        <v>10.4</v>
      </c>
      <c r="D656" s="3">
        <v>5</v>
      </c>
      <c r="E656" s="4">
        <v>0</v>
      </c>
      <c r="F656" s="5">
        <f t="shared" si="10"/>
        <v>52</v>
      </c>
    </row>
    <row r="657" spans="1:6" x14ac:dyDescent="0.45">
      <c r="A657" s="6">
        <v>10496</v>
      </c>
      <c r="B657" s="3">
        <v>31</v>
      </c>
      <c r="C657" s="3">
        <v>10</v>
      </c>
      <c r="D657" s="3">
        <v>20</v>
      </c>
      <c r="E657" s="4">
        <v>0.05</v>
      </c>
      <c r="F657" s="5">
        <f t="shared" si="10"/>
        <v>190</v>
      </c>
    </row>
    <row r="658" spans="1:6" x14ac:dyDescent="0.45">
      <c r="A658" s="6">
        <v>10497</v>
      </c>
      <c r="B658" s="3">
        <v>56</v>
      </c>
      <c r="C658" s="3">
        <v>30.4</v>
      </c>
      <c r="D658" s="3">
        <v>14</v>
      </c>
      <c r="E658" s="4">
        <v>0</v>
      </c>
      <c r="F658" s="5">
        <f t="shared" si="10"/>
        <v>425.59999999999997</v>
      </c>
    </row>
    <row r="659" spans="1:6" x14ac:dyDescent="0.45">
      <c r="A659" s="6">
        <v>10497</v>
      </c>
      <c r="B659" s="3">
        <v>72</v>
      </c>
      <c r="C659" s="3">
        <v>27.8</v>
      </c>
      <c r="D659" s="3">
        <v>25</v>
      </c>
      <c r="E659" s="4">
        <v>0</v>
      </c>
      <c r="F659" s="5">
        <f t="shared" si="10"/>
        <v>695</v>
      </c>
    </row>
    <row r="660" spans="1:6" x14ac:dyDescent="0.45">
      <c r="A660" s="6">
        <v>10497</v>
      </c>
      <c r="B660" s="3">
        <v>77</v>
      </c>
      <c r="C660" s="3">
        <v>10.4</v>
      </c>
      <c r="D660" s="3">
        <v>25</v>
      </c>
      <c r="E660" s="4">
        <v>0</v>
      </c>
      <c r="F660" s="5">
        <f t="shared" si="10"/>
        <v>260</v>
      </c>
    </row>
    <row r="661" spans="1:6" x14ac:dyDescent="0.45">
      <c r="A661" s="6">
        <v>10498</v>
      </c>
      <c r="B661" s="3">
        <v>24</v>
      </c>
      <c r="C661" s="3">
        <v>4.5</v>
      </c>
      <c r="D661" s="3">
        <v>14</v>
      </c>
      <c r="E661" s="4">
        <v>0</v>
      </c>
      <c r="F661" s="5">
        <f t="shared" si="10"/>
        <v>63</v>
      </c>
    </row>
    <row r="662" spans="1:6" x14ac:dyDescent="0.45">
      <c r="A662" s="6">
        <v>10498</v>
      </c>
      <c r="B662" s="3">
        <v>40</v>
      </c>
      <c r="C662" s="3">
        <v>18.399999999999999</v>
      </c>
      <c r="D662" s="3">
        <v>5</v>
      </c>
      <c r="E662" s="4">
        <v>0</v>
      </c>
      <c r="F662" s="5">
        <f t="shared" si="10"/>
        <v>92</v>
      </c>
    </row>
    <row r="663" spans="1:6" x14ac:dyDescent="0.45">
      <c r="A663" s="6">
        <v>10498</v>
      </c>
      <c r="B663" s="3">
        <v>42</v>
      </c>
      <c r="C663" s="3">
        <v>14</v>
      </c>
      <c r="D663" s="3">
        <v>30</v>
      </c>
      <c r="E663" s="4">
        <v>0</v>
      </c>
      <c r="F663" s="5">
        <f t="shared" si="10"/>
        <v>420</v>
      </c>
    </row>
    <row r="664" spans="1:6" x14ac:dyDescent="0.45">
      <c r="A664" s="6">
        <v>10499</v>
      </c>
      <c r="B664" s="3">
        <v>28</v>
      </c>
      <c r="C664" s="3">
        <v>45.6</v>
      </c>
      <c r="D664" s="3">
        <v>20</v>
      </c>
      <c r="E664" s="4">
        <v>0</v>
      </c>
      <c r="F664" s="5">
        <f t="shared" si="10"/>
        <v>912</v>
      </c>
    </row>
    <row r="665" spans="1:6" x14ac:dyDescent="0.45">
      <c r="A665" s="6">
        <v>10499</v>
      </c>
      <c r="B665" s="3">
        <v>49</v>
      </c>
      <c r="C665" s="3">
        <v>20</v>
      </c>
      <c r="D665" s="3">
        <v>25</v>
      </c>
      <c r="E665" s="4">
        <v>0</v>
      </c>
      <c r="F665" s="5">
        <f t="shared" si="10"/>
        <v>500</v>
      </c>
    </row>
    <row r="666" spans="1:6" x14ac:dyDescent="0.45">
      <c r="A666" s="6">
        <v>10500</v>
      </c>
      <c r="B666" s="3">
        <v>15</v>
      </c>
      <c r="C666" s="3">
        <v>15.5</v>
      </c>
      <c r="D666" s="3">
        <v>12</v>
      </c>
      <c r="E666" s="4">
        <v>0.05</v>
      </c>
      <c r="F666" s="5">
        <f t="shared" si="10"/>
        <v>176.7</v>
      </c>
    </row>
    <row r="667" spans="1:6" x14ac:dyDescent="0.45">
      <c r="A667" s="6">
        <v>10500</v>
      </c>
      <c r="B667" s="3">
        <v>28</v>
      </c>
      <c r="C667" s="3">
        <v>45.6</v>
      </c>
      <c r="D667" s="3">
        <v>8</v>
      </c>
      <c r="E667" s="4">
        <v>0.05</v>
      </c>
      <c r="F667" s="5">
        <f t="shared" si="10"/>
        <v>346.56</v>
      </c>
    </row>
    <row r="668" spans="1:6" x14ac:dyDescent="0.45">
      <c r="A668" s="6">
        <v>10501</v>
      </c>
      <c r="B668" s="3">
        <v>54</v>
      </c>
      <c r="C668" s="3">
        <v>7.45</v>
      </c>
      <c r="D668" s="3">
        <v>20</v>
      </c>
      <c r="E668" s="4">
        <v>0</v>
      </c>
      <c r="F668" s="5">
        <f t="shared" si="10"/>
        <v>149</v>
      </c>
    </row>
    <row r="669" spans="1:6" x14ac:dyDescent="0.45">
      <c r="A669" s="6">
        <v>10502</v>
      </c>
      <c r="B669" s="3">
        <v>45</v>
      </c>
      <c r="C669" s="3">
        <v>9.5</v>
      </c>
      <c r="D669" s="3">
        <v>21</v>
      </c>
      <c r="E669" s="4">
        <v>0</v>
      </c>
      <c r="F669" s="5">
        <f t="shared" si="10"/>
        <v>199.5</v>
      </c>
    </row>
    <row r="670" spans="1:6" x14ac:dyDescent="0.45">
      <c r="A670" s="6">
        <v>10502</v>
      </c>
      <c r="B670" s="3">
        <v>53</v>
      </c>
      <c r="C670" s="3">
        <v>32.799999999999997</v>
      </c>
      <c r="D670" s="3">
        <v>6</v>
      </c>
      <c r="E670" s="4">
        <v>0</v>
      </c>
      <c r="F670" s="5">
        <f t="shared" si="10"/>
        <v>196.79999999999998</v>
      </c>
    </row>
    <row r="671" spans="1:6" x14ac:dyDescent="0.45">
      <c r="A671" s="6">
        <v>10502</v>
      </c>
      <c r="B671" s="3">
        <v>67</v>
      </c>
      <c r="C671" s="3">
        <v>14</v>
      </c>
      <c r="D671" s="3">
        <v>30</v>
      </c>
      <c r="E671" s="4">
        <v>0</v>
      </c>
      <c r="F671" s="5">
        <f t="shared" si="10"/>
        <v>420</v>
      </c>
    </row>
    <row r="672" spans="1:6" x14ac:dyDescent="0.45">
      <c r="A672" s="6">
        <v>10503</v>
      </c>
      <c r="B672" s="3">
        <v>14</v>
      </c>
      <c r="C672" s="3">
        <v>23.25</v>
      </c>
      <c r="D672" s="3">
        <v>70</v>
      </c>
      <c r="E672" s="4">
        <v>0</v>
      </c>
      <c r="F672" s="5">
        <f t="shared" si="10"/>
        <v>1627.5</v>
      </c>
    </row>
    <row r="673" spans="1:6" x14ac:dyDescent="0.45">
      <c r="A673" s="6">
        <v>10503</v>
      </c>
      <c r="B673" s="3">
        <v>65</v>
      </c>
      <c r="C673" s="3">
        <v>21.05</v>
      </c>
      <c r="D673" s="3">
        <v>20</v>
      </c>
      <c r="E673" s="4">
        <v>0</v>
      </c>
      <c r="F673" s="5">
        <f t="shared" si="10"/>
        <v>421</v>
      </c>
    </row>
    <row r="674" spans="1:6" x14ac:dyDescent="0.45">
      <c r="A674" s="6">
        <v>10504</v>
      </c>
      <c r="B674" s="3">
        <v>2</v>
      </c>
      <c r="C674" s="3">
        <v>19</v>
      </c>
      <c r="D674" s="3">
        <v>12</v>
      </c>
      <c r="E674" s="4">
        <v>0</v>
      </c>
      <c r="F674" s="5">
        <f t="shared" si="10"/>
        <v>228</v>
      </c>
    </row>
    <row r="675" spans="1:6" x14ac:dyDescent="0.45">
      <c r="A675" s="6">
        <v>10504</v>
      </c>
      <c r="B675" s="3">
        <v>21</v>
      </c>
      <c r="C675" s="3">
        <v>10</v>
      </c>
      <c r="D675" s="3">
        <v>12</v>
      </c>
      <c r="E675" s="4">
        <v>0</v>
      </c>
      <c r="F675" s="5">
        <f t="shared" si="10"/>
        <v>120</v>
      </c>
    </row>
    <row r="676" spans="1:6" x14ac:dyDescent="0.45">
      <c r="A676" s="6">
        <v>10504</v>
      </c>
      <c r="B676" s="3">
        <v>53</v>
      </c>
      <c r="C676" s="3">
        <v>32.799999999999997</v>
      </c>
      <c r="D676" s="3">
        <v>10</v>
      </c>
      <c r="E676" s="4">
        <v>0</v>
      </c>
      <c r="F676" s="5">
        <f t="shared" si="10"/>
        <v>328</v>
      </c>
    </row>
    <row r="677" spans="1:6" x14ac:dyDescent="0.45">
      <c r="A677" s="6">
        <v>10504</v>
      </c>
      <c r="B677" s="3">
        <v>61</v>
      </c>
      <c r="C677" s="3">
        <v>28.5</v>
      </c>
      <c r="D677" s="3">
        <v>25</v>
      </c>
      <c r="E677" s="4">
        <v>0</v>
      </c>
      <c r="F677" s="5">
        <f t="shared" si="10"/>
        <v>712.5</v>
      </c>
    </row>
    <row r="678" spans="1:6" x14ac:dyDescent="0.45">
      <c r="A678" s="6">
        <v>10505</v>
      </c>
      <c r="B678" s="3">
        <v>62</v>
      </c>
      <c r="C678" s="3">
        <v>49.3</v>
      </c>
      <c r="D678" s="3">
        <v>3</v>
      </c>
      <c r="E678" s="4">
        <v>0</v>
      </c>
      <c r="F678" s="5">
        <f t="shared" si="10"/>
        <v>147.89999999999998</v>
      </c>
    </row>
    <row r="679" spans="1:6" x14ac:dyDescent="0.45">
      <c r="A679" s="6">
        <v>10506</v>
      </c>
      <c r="B679" s="3">
        <v>25</v>
      </c>
      <c r="C679" s="3">
        <v>14</v>
      </c>
      <c r="D679" s="3">
        <v>18</v>
      </c>
      <c r="E679" s="4">
        <v>0.1</v>
      </c>
      <c r="F679" s="5">
        <f t="shared" si="10"/>
        <v>226.8</v>
      </c>
    </row>
    <row r="680" spans="1:6" x14ac:dyDescent="0.45">
      <c r="A680" s="6">
        <v>10506</v>
      </c>
      <c r="B680" s="3">
        <v>70</v>
      </c>
      <c r="C680" s="3">
        <v>15</v>
      </c>
      <c r="D680" s="3">
        <v>14</v>
      </c>
      <c r="E680" s="4">
        <v>0.1</v>
      </c>
      <c r="F680" s="5">
        <f t="shared" si="10"/>
        <v>189</v>
      </c>
    </row>
    <row r="681" spans="1:6" x14ac:dyDescent="0.45">
      <c r="A681" s="6">
        <v>10507</v>
      </c>
      <c r="B681" s="3">
        <v>43</v>
      </c>
      <c r="C681" s="3">
        <v>46</v>
      </c>
      <c r="D681" s="3">
        <v>15</v>
      </c>
      <c r="E681" s="4">
        <v>0.15</v>
      </c>
      <c r="F681" s="5">
        <f t="shared" si="10"/>
        <v>586.5</v>
      </c>
    </row>
    <row r="682" spans="1:6" x14ac:dyDescent="0.45">
      <c r="A682" s="6">
        <v>10507</v>
      </c>
      <c r="B682" s="3">
        <v>48</v>
      </c>
      <c r="C682" s="3">
        <v>12.75</v>
      </c>
      <c r="D682" s="3">
        <v>15</v>
      </c>
      <c r="E682" s="4">
        <v>0.15</v>
      </c>
      <c r="F682" s="5">
        <f t="shared" si="10"/>
        <v>162.5625</v>
      </c>
    </row>
    <row r="683" spans="1:6" x14ac:dyDescent="0.45">
      <c r="A683" s="6">
        <v>10508</v>
      </c>
      <c r="B683" s="3">
        <v>13</v>
      </c>
      <c r="C683" s="3">
        <v>6</v>
      </c>
      <c r="D683" s="3">
        <v>10</v>
      </c>
      <c r="E683" s="4">
        <v>0</v>
      </c>
      <c r="F683" s="5">
        <f t="shared" si="10"/>
        <v>60</v>
      </c>
    </row>
    <row r="684" spans="1:6" x14ac:dyDescent="0.45">
      <c r="A684" s="6">
        <v>10508</v>
      </c>
      <c r="B684" s="3">
        <v>39</v>
      </c>
      <c r="C684" s="3">
        <v>18</v>
      </c>
      <c r="D684" s="3">
        <v>10</v>
      </c>
      <c r="E684" s="4">
        <v>0</v>
      </c>
      <c r="F684" s="5">
        <f t="shared" si="10"/>
        <v>180</v>
      </c>
    </row>
    <row r="685" spans="1:6" x14ac:dyDescent="0.45">
      <c r="A685" s="6">
        <v>10509</v>
      </c>
      <c r="B685" s="3">
        <v>28</v>
      </c>
      <c r="C685" s="3">
        <v>45.6</v>
      </c>
      <c r="D685" s="3">
        <v>3</v>
      </c>
      <c r="E685" s="4">
        <v>0</v>
      </c>
      <c r="F685" s="5">
        <f t="shared" si="10"/>
        <v>136.80000000000001</v>
      </c>
    </row>
    <row r="686" spans="1:6" x14ac:dyDescent="0.45">
      <c r="A686" s="6">
        <v>10510</v>
      </c>
      <c r="B686" s="3">
        <v>29</v>
      </c>
      <c r="C686" s="3">
        <v>123.79</v>
      </c>
      <c r="D686" s="3">
        <v>36</v>
      </c>
      <c r="E686" s="4">
        <v>0</v>
      </c>
      <c r="F686" s="5">
        <f t="shared" si="10"/>
        <v>4456.4400000000005</v>
      </c>
    </row>
    <row r="687" spans="1:6" x14ac:dyDescent="0.45">
      <c r="A687" s="6">
        <v>10510</v>
      </c>
      <c r="B687" s="3">
        <v>75</v>
      </c>
      <c r="C687" s="3">
        <v>7.75</v>
      </c>
      <c r="D687" s="3">
        <v>36</v>
      </c>
      <c r="E687" s="4">
        <v>0.1</v>
      </c>
      <c r="F687" s="5">
        <f t="shared" si="10"/>
        <v>251.1</v>
      </c>
    </row>
    <row r="688" spans="1:6" x14ac:dyDescent="0.45">
      <c r="A688" s="6">
        <v>10511</v>
      </c>
      <c r="B688" s="3">
        <v>4</v>
      </c>
      <c r="C688" s="3">
        <v>22</v>
      </c>
      <c r="D688" s="3">
        <v>50</v>
      </c>
      <c r="E688" s="4">
        <v>0.15</v>
      </c>
      <c r="F688" s="5">
        <f t="shared" si="10"/>
        <v>935</v>
      </c>
    </row>
    <row r="689" spans="1:6" x14ac:dyDescent="0.45">
      <c r="A689" s="6">
        <v>10511</v>
      </c>
      <c r="B689" s="3">
        <v>7</v>
      </c>
      <c r="C689" s="3">
        <v>30</v>
      </c>
      <c r="D689" s="3">
        <v>50</v>
      </c>
      <c r="E689" s="4">
        <v>0.15</v>
      </c>
      <c r="F689" s="5">
        <f t="shared" si="10"/>
        <v>1275</v>
      </c>
    </row>
    <row r="690" spans="1:6" x14ac:dyDescent="0.45">
      <c r="A690" s="6">
        <v>10511</v>
      </c>
      <c r="B690" s="3">
        <v>8</v>
      </c>
      <c r="C690" s="3">
        <v>40</v>
      </c>
      <c r="D690" s="3">
        <v>10</v>
      </c>
      <c r="E690" s="4">
        <v>0.15</v>
      </c>
      <c r="F690" s="5">
        <f t="shared" si="10"/>
        <v>340</v>
      </c>
    </row>
    <row r="691" spans="1:6" x14ac:dyDescent="0.45">
      <c r="A691" s="6">
        <v>10512</v>
      </c>
      <c r="B691" s="3">
        <v>24</v>
      </c>
      <c r="C691" s="3">
        <v>4.5</v>
      </c>
      <c r="D691" s="3">
        <v>10</v>
      </c>
      <c r="E691" s="4">
        <v>0.15</v>
      </c>
      <c r="F691" s="5">
        <f t="shared" si="10"/>
        <v>38.25</v>
      </c>
    </row>
    <row r="692" spans="1:6" x14ac:dyDescent="0.45">
      <c r="A692" s="6">
        <v>10512</v>
      </c>
      <c r="B692" s="3">
        <v>46</v>
      </c>
      <c r="C692" s="3">
        <v>12</v>
      </c>
      <c r="D692" s="3">
        <v>9</v>
      </c>
      <c r="E692" s="4">
        <v>0.15</v>
      </c>
      <c r="F692" s="5">
        <f t="shared" si="10"/>
        <v>91.8</v>
      </c>
    </row>
    <row r="693" spans="1:6" x14ac:dyDescent="0.45">
      <c r="A693" s="6">
        <v>10512</v>
      </c>
      <c r="B693" s="3">
        <v>47</v>
      </c>
      <c r="C693" s="3">
        <v>9.5</v>
      </c>
      <c r="D693" s="3">
        <v>6</v>
      </c>
      <c r="E693" s="4">
        <v>0.15</v>
      </c>
      <c r="F693" s="5">
        <f t="shared" si="10"/>
        <v>48.449999999999996</v>
      </c>
    </row>
    <row r="694" spans="1:6" x14ac:dyDescent="0.45">
      <c r="A694" s="6">
        <v>10512</v>
      </c>
      <c r="B694" s="3">
        <v>60</v>
      </c>
      <c r="C694" s="3">
        <v>34</v>
      </c>
      <c r="D694" s="3">
        <v>12</v>
      </c>
      <c r="E694" s="4">
        <v>0.15</v>
      </c>
      <c r="F694" s="5">
        <f t="shared" si="10"/>
        <v>346.8</v>
      </c>
    </row>
    <row r="695" spans="1:6" x14ac:dyDescent="0.45">
      <c r="A695" s="6">
        <v>10513</v>
      </c>
      <c r="B695" s="3">
        <v>21</v>
      </c>
      <c r="C695" s="3">
        <v>10</v>
      </c>
      <c r="D695" s="3">
        <v>40</v>
      </c>
      <c r="E695" s="4">
        <v>0.2</v>
      </c>
      <c r="F695" s="5">
        <f t="shared" si="10"/>
        <v>320</v>
      </c>
    </row>
    <row r="696" spans="1:6" x14ac:dyDescent="0.45">
      <c r="A696" s="6">
        <v>10513</v>
      </c>
      <c r="B696" s="3">
        <v>32</v>
      </c>
      <c r="C696" s="3">
        <v>32</v>
      </c>
      <c r="D696" s="3">
        <v>50</v>
      </c>
      <c r="E696" s="4">
        <v>0.2</v>
      </c>
      <c r="F696" s="5">
        <f t="shared" si="10"/>
        <v>1280</v>
      </c>
    </row>
    <row r="697" spans="1:6" x14ac:dyDescent="0.45">
      <c r="A697" s="6">
        <v>10513</v>
      </c>
      <c r="B697" s="3">
        <v>61</v>
      </c>
      <c r="C697" s="3">
        <v>28.5</v>
      </c>
      <c r="D697" s="3">
        <v>15</v>
      </c>
      <c r="E697" s="4">
        <v>0.2</v>
      </c>
      <c r="F697" s="5">
        <f t="shared" si="10"/>
        <v>342</v>
      </c>
    </row>
    <row r="698" spans="1:6" x14ac:dyDescent="0.45">
      <c r="A698" s="6">
        <v>10514</v>
      </c>
      <c r="B698" s="3">
        <v>20</v>
      </c>
      <c r="C698" s="3">
        <v>81</v>
      </c>
      <c r="D698" s="3">
        <v>39</v>
      </c>
      <c r="E698" s="4">
        <v>0</v>
      </c>
      <c r="F698" s="5">
        <f t="shared" si="10"/>
        <v>3159</v>
      </c>
    </row>
    <row r="699" spans="1:6" x14ac:dyDescent="0.45">
      <c r="A699" s="6">
        <v>10514</v>
      </c>
      <c r="B699" s="3">
        <v>28</v>
      </c>
      <c r="C699" s="3">
        <v>45.6</v>
      </c>
      <c r="D699" s="3">
        <v>35</v>
      </c>
      <c r="E699" s="4">
        <v>0</v>
      </c>
      <c r="F699" s="5">
        <f t="shared" si="10"/>
        <v>1596</v>
      </c>
    </row>
    <row r="700" spans="1:6" x14ac:dyDescent="0.45">
      <c r="A700" s="6">
        <v>10514</v>
      </c>
      <c r="B700" s="3">
        <v>56</v>
      </c>
      <c r="C700" s="3">
        <v>38</v>
      </c>
      <c r="D700" s="3">
        <v>70</v>
      </c>
      <c r="E700" s="4">
        <v>0</v>
      </c>
      <c r="F700" s="5">
        <f t="shared" si="10"/>
        <v>2660</v>
      </c>
    </row>
    <row r="701" spans="1:6" x14ac:dyDescent="0.45">
      <c r="A701" s="6">
        <v>10514</v>
      </c>
      <c r="B701" s="3">
        <v>65</v>
      </c>
      <c r="C701" s="3">
        <v>21.05</v>
      </c>
      <c r="D701" s="3">
        <v>39</v>
      </c>
      <c r="E701" s="4">
        <v>0</v>
      </c>
      <c r="F701" s="5">
        <f t="shared" si="10"/>
        <v>820.95</v>
      </c>
    </row>
    <row r="702" spans="1:6" x14ac:dyDescent="0.45">
      <c r="A702" s="6">
        <v>10514</v>
      </c>
      <c r="B702" s="3">
        <v>75</v>
      </c>
      <c r="C702" s="3">
        <v>7.75</v>
      </c>
      <c r="D702" s="3">
        <v>50</v>
      </c>
      <c r="E702" s="4">
        <v>0</v>
      </c>
      <c r="F702" s="5">
        <f t="shared" si="10"/>
        <v>387.5</v>
      </c>
    </row>
    <row r="703" spans="1:6" x14ac:dyDescent="0.45">
      <c r="A703" s="6">
        <v>10515</v>
      </c>
      <c r="B703" s="3">
        <v>9</v>
      </c>
      <c r="C703" s="3">
        <v>97</v>
      </c>
      <c r="D703" s="3">
        <v>16</v>
      </c>
      <c r="E703" s="4">
        <v>0.15</v>
      </c>
      <c r="F703" s="5">
        <f t="shared" si="10"/>
        <v>1319.2</v>
      </c>
    </row>
    <row r="704" spans="1:6" x14ac:dyDescent="0.45">
      <c r="A704" s="6">
        <v>10515</v>
      </c>
      <c r="B704" s="3">
        <v>16</v>
      </c>
      <c r="C704" s="3">
        <v>17.45</v>
      </c>
      <c r="D704" s="3">
        <v>50</v>
      </c>
      <c r="E704" s="4">
        <v>0</v>
      </c>
      <c r="F704" s="5">
        <f t="shared" si="10"/>
        <v>872.5</v>
      </c>
    </row>
    <row r="705" spans="1:6" x14ac:dyDescent="0.45">
      <c r="A705" s="6">
        <v>10515</v>
      </c>
      <c r="B705" s="3">
        <v>27</v>
      </c>
      <c r="C705" s="3">
        <v>43.9</v>
      </c>
      <c r="D705" s="3">
        <v>120</v>
      </c>
      <c r="E705" s="4">
        <v>0</v>
      </c>
      <c r="F705" s="5">
        <f t="shared" si="10"/>
        <v>5268</v>
      </c>
    </row>
    <row r="706" spans="1:6" x14ac:dyDescent="0.45">
      <c r="A706" s="6">
        <v>10515</v>
      </c>
      <c r="B706" s="3">
        <v>33</v>
      </c>
      <c r="C706" s="3">
        <v>2.5</v>
      </c>
      <c r="D706" s="3">
        <v>16</v>
      </c>
      <c r="E706" s="4">
        <v>0.15</v>
      </c>
      <c r="F706" s="5">
        <f t="shared" ref="F706:F769" si="11">C706*D706*(1-E706)</f>
        <v>34</v>
      </c>
    </row>
    <row r="707" spans="1:6" x14ac:dyDescent="0.45">
      <c r="A707" s="6">
        <v>10515</v>
      </c>
      <c r="B707" s="3">
        <v>60</v>
      </c>
      <c r="C707" s="3">
        <v>34</v>
      </c>
      <c r="D707" s="3">
        <v>84</v>
      </c>
      <c r="E707" s="4">
        <v>0.15</v>
      </c>
      <c r="F707" s="5">
        <f t="shared" si="11"/>
        <v>2427.6</v>
      </c>
    </row>
    <row r="708" spans="1:6" x14ac:dyDescent="0.45">
      <c r="A708" s="6">
        <v>10516</v>
      </c>
      <c r="B708" s="3">
        <v>18</v>
      </c>
      <c r="C708" s="3">
        <v>62.5</v>
      </c>
      <c r="D708" s="3">
        <v>25</v>
      </c>
      <c r="E708" s="4">
        <v>0.1</v>
      </c>
      <c r="F708" s="5">
        <f t="shared" si="11"/>
        <v>1406.25</v>
      </c>
    </row>
    <row r="709" spans="1:6" x14ac:dyDescent="0.45">
      <c r="A709" s="6">
        <v>10516</v>
      </c>
      <c r="B709" s="3">
        <v>41</v>
      </c>
      <c r="C709" s="3">
        <v>9.65</v>
      </c>
      <c r="D709" s="3">
        <v>80</v>
      </c>
      <c r="E709" s="4">
        <v>0.1</v>
      </c>
      <c r="F709" s="5">
        <f t="shared" si="11"/>
        <v>694.80000000000007</v>
      </c>
    </row>
    <row r="710" spans="1:6" x14ac:dyDescent="0.45">
      <c r="A710" s="6">
        <v>10516</v>
      </c>
      <c r="B710" s="3">
        <v>42</v>
      </c>
      <c r="C710" s="3">
        <v>14</v>
      </c>
      <c r="D710" s="3">
        <v>20</v>
      </c>
      <c r="E710" s="4">
        <v>0</v>
      </c>
      <c r="F710" s="5">
        <f t="shared" si="11"/>
        <v>280</v>
      </c>
    </row>
    <row r="711" spans="1:6" x14ac:dyDescent="0.45">
      <c r="A711" s="6">
        <v>10517</v>
      </c>
      <c r="B711" s="3">
        <v>52</v>
      </c>
      <c r="C711" s="3">
        <v>7</v>
      </c>
      <c r="D711" s="3">
        <v>6</v>
      </c>
      <c r="E711" s="4">
        <v>0</v>
      </c>
      <c r="F711" s="5">
        <f t="shared" si="11"/>
        <v>42</v>
      </c>
    </row>
    <row r="712" spans="1:6" x14ac:dyDescent="0.45">
      <c r="A712" s="6">
        <v>10517</v>
      </c>
      <c r="B712" s="3">
        <v>59</v>
      </c>
      <c r="C712" s="3">
        <v>55</v>
      </c>
      <c r="D712" s="3">
        <v>4</v>
      </c>
      <c r="E712" s="4">
        <v>0</v>
      </c>
      <c r="F712" s="5">
        <f t="shared" si="11"/>
        <v>220</v>
      </c>
    </row>
    <row r="713" spans="1:6" x14ac:dyDescent="0.45">
      <c r="A713" s="6">
        <v>10517</v>
      </c>
      <c r="B713" s="3">
        <v>70</v>
      </c>
      <c r="C713" s="3">
        <v>15</v>
      </c>
      <c r="D713" s="3">
        <v>6</v>
      </c>
      <c r="E713" s="4">
        <v>0</v>
      </c>
      <c r="F713" s="5">
        <f t="shared" si="11"/>
        <v>90</v>
      </c>
    </row>
    <row r="714" spans="1:6" x14ac:dyDescent="0.45">
      <c r="A714" s="6">
        <v>10518</v>
      </c>
      <c r="B714" s="3">
        <v>24</v>
      </c>
      <c r="C714" s="3">
        <v>4.5</v>
      </c>
      <c r="D714" s="3">
        <v>5</v>
      </c>
      <c r="E714" s="4">
        <v>0</v>
      </c>
      <c r="F714" s="5">
        <f t="shared" si="11"/>
        <v>22.5</v>
      </c>
    </row>
    <row r="715" spans="1:6" x14ac:dyDescent="0.45">
      <c r="A715" s="6">
        <v>10518</v>
      </c>
      <c r="B715" s="3">
        <v>38</v>
      </c>
      <c r="C715" s="3">
        <v>263.5</v>
      </c>
      <c r="D715" s="3">
        <v>15</v>
      </c>
      <c r="E715" s="4">
        <v>0</v>
      </c>
      <c r="F715" s="5">
        <f t="shared" si="11"/>
        <v>3952.5</v>
      </c>
    </row>
    <row r="716" spans="1:6" x14ac:dyDescent="0.45">
      <c r="A716" s="6">
        <v>10518</v>
      </c>
      <c r="B716" s="3">
        <v>44</v>
      </c>
      <c r="C716" s="3">
        <v>19.45</v>
      </c>
      <c r="D716" s="3">
        <v>9</v>
      </c>
      <c r="E716" s="4">
        <v>0</v>
      </c>
      <c r="F716" s="5">
        <f t="shared" si="11"/>
        <v>175.04999999999998</v>
      </c>
    </row>
    <row r="717" spans="1:6" x14ac:dyDescent="0.45">
      <c r="A717" s="6">
        <v>10519</v>
      </c>
      <c r="B717" s="3">
        <v>10</v>
      </c>
      <c r="C717" s="3">
        <v>31</v>
      </c>
      <c r="D717" s="3">
        <v>16</v>
      </c>
      <c r="E717" s="4">
        <v>0.05</v>
      </c>
      <c r="F717" s="5">
        <f t="shared" si="11"/>
        <v>471.2</v>
      </c>
    </row>
    <row r="718" spans="1:6" x14ac:dyDescent="0.45">
      <c r="A718" s="6">
        <v>10519</v>
      </c>
      <c r="B718" s="3">
        <v>56</v>
      </c>
      <c r="C718" s="3">
        <v>38</v>
      </c>
      <c r="D718" s="3">
        <v>40</v>
      </c>
      <c r="E718" s="4">
        <v>0</v>
      </c>
      <c r="F718" s="5">
        <f t="shared" si="11"/>
        <v>1520</v>
      </c>
    </row>
    <row r="719" spans="1:6" x14ac:dyDescent="0.45">
      <c r="A719" s="6">
        <v>10519</v>
      </c>
      <c r="B719" s="3">
        <v>60</v>
      </c>
      <c r="C719" s="3">
        <v>34</v>
      </c>
      <c r="D719" s="3">
        <v>10</v>
      </c>
      <c r="E719" s="4">
        <v>0.05</v>
      </c>
      <c r="F719" s="5">
        <f t="shared" si="11"/>
        <v>323</v>
      </c>
    </row>
    <row r="720" spans="1:6" x14ac:dyDescent="0.45">
      <c r="A720" s="6">
        <v>10520</v>
      </c>
      <c r="B720" s="3">
        <v>24</v>
      </c>
      <c r="C720" s="3">
        <v>4.5</v>
      </c>
      <c r="D720" s="3">
        <v>8</v>
      </c>
      <c r="E720" s="4">
        <v>0</v>
      </c>
      <c r="F720" s="5">
        <f t="shared" si="11"/>
        <v>36</v>
      </c>
    </row>
    <row r="721" spans="1:6" x14ac:dyDescent="0.45">
      <c r="A721" s="6">
        <v>10520</v>
      </c>
      <c r="B721" s="3">
        <v>53</v>
      </c>
      <c r="C721" s="3">
        <v>32.799999999999997</v>
      </c>
      <c r="D721" s="3">
        <v>5</v>
      </c>
      <c r="E721" s="4">
        <v>0</v>
      </c>
      <c r="F721" s="5">
        <f t="shared" si="11"/>
        <v>164</v>
      </c>
    </row>
    <row r="722" spans="1:6" x14ac:dyDescent="0.45">
      <c r="A722" s="6">
        <v>10521</v>
      </c>
      <c r="B722" s="3">
        <v>35</v>
      </c>
      <c r="C722" s="3">
        <v>18</v>
      </c>
      <c r="D722" s="3">
        <v>3</v>
      </c>
      <c r="E722" s="4">
        <v>0</v>
      </c>
      <c r="F722" s="5">
        <f t="shared" si="11"/>
        <v>54</v>
      </c>
    </row>
    <row r="723" spans="1:6" x14ac:dyDescent="0.45">
      <c r="A723" s="6">
        <v>10521</v>
      </c>
      <c r="B723" s="3">
        <v>41</v>
      </c>
      <c r="C723" s="3">
        <v>9.65</v>
      </c>
      <c r="D723" s="3">
        <v>10</v>
      </c>
      <c r="E723" s="4">
        <v>0</v>
      </c>
      <c r="F723" s="5">
        <f t="shared" si="11"/>
        <v>96.5</v>
      </c>
    </row>
    <row r="724" spans="1:6" x14ac:dyDescent="0.45">
      <c r="A724" s="6">
        <v>10521</v>
      </c>
      <c r="B724" s="3">
        <v>68</v>
      </c>
      <c r="C724" s="3">
        <v>12.5</v>
      </c>
      <c r="D724" s="3">
        <v>6</v>
      </c>
      <c r="E724" s="4">
        <v>0</v>
      </c>
      <c r="F724" s="5">
        <f t="shared" si="11"/>
        <v>75</v>
      </c>
    </row>
    <row r="725" spans="1:6" x14ac:dyDescent="0.45">
      <c r="A725" s="6">
        <v>10522</v>
      </c>
      <c r="B725" s="3">
        <v>1</v>
      </c>
      <c r="C725" s="3">
        <v>18</v>
      </c>
      <c r="D725" s="3">
        <v>40</v>
      </c>
      <c r="E725" s="4">
        <v>0.2</v>
      </c>
      <c r="F725" s="5">
        <f t="shared" si="11"/>
        <v>576</v>
      </c>
    </row>
    <row r="726" spans="1:6" x14ac:dyDescent="0.45">
      <c r="A726" s="6">
        <v>10522</v>
      </c>
      <c r="B726" s="3">
        <v>8</v>
      </c>
      <c r="C726" s="3">
        <v>40</v>
      </c>
      <c r="D726" s="3">
        <v>24</v>
      </c>
      <c r="E726" s="4">
        <v>0</v>
      </c>
      <c r="F726" s="5">
        <f t="shared" si="11"/>
        <v>960</v>
      </c>
    </row>
    <row r="727" spans="1:6" x14ac:dyDescent="0.45">
      <c r="A727" s="6">
        <v>10522</v>
      </c>
      <c r="B727" s="3">
        <v>30</v>
      </c>
      <c r="C727" s="3">
        <v>25.89</v>
      </c>
      <c r="D727" s="3">
        <v>20</v>
      </c>
      <c r="E727" s="4">
        <v>0.2</v>
      </c>
      <c r="F727" s="5">
        <f t="shared" si="11"/>
        <v>414.24</v>
      </c>
    </row>
    <row r="728" spans="1:6" x14ac:dyDescent="0.45">
      <c r="A728" s="6">
        <v>10522</v>
      </c>
      <c r="B728" s="3">
        <v>40</v>
      </c>
      <c r="C728" s="3">
        <v>18.399999999999999</v>
      </c>
      <c r="D728" s="3">
        <v>25</v>
      </c>
      <c r="E728" s="4">
        <v>0.2</v>
      </c>
      <c r="F728" s="5">
        <f t="shared" si="11"/>
        <v>368</v>
      </c>
    </row>
    <row r="729" spans="1:6" x14ac:dyDescent="0.45">
      <c r="A729" s="6">
        <v>10523</v>
      </c>
      <c r="B729" s="3">
        <v>17</v>
      </c>
      <c r="C729" s="3">
        <v>39</v>
      </c>
      <c r="D729" s="3">
        <v>25</v>
      </c>
      <c r="E729" s="4">
        <v>0.1</v>
      </c>
      <c r="F729" s="5">
        <f t="shared" si="11"/>
        <v>877.5</v>
      </c>
    </row>
    <row r="730" spans="1:6" x14ac:dyDescent="0.45">
      <c r="A730" s="6">
        <v>10523</v>
      </c>
      <c r="B730" s="3">
        <v>20</v>
      </c>
      <c r="C730" s="3">
        <v>81</v>
      </c>
      <c r="D730" s="3">
        <v>15</v>
      </c>
      <c r="E730" s="4">
        <v>0.1</v>
      </c>
      <c r="F730" s="5">
        <f t="shared" si="11"/>
        <v>1093.5</v>
      </c>
    </row>
    <row r="731" spans="1:6" x14ac:dyDescent="0.45">
      <c r="A731" s="6">
        <v>10523</v>
      </c>
      <c r="B731" s="3">
        <v>37</v>
      </c>
      <c r="C731" s="3">
        <v>26</v>
      </c>
      <c r="D731" s="3">
        <v>18</v>
      </c>
      <c r="E731" s="4">
        <v>0.1</v>
      </c>
      <c r="F731" s="5">
        <f t="shared" si="11"/>
        <v>421.2</v>
      </c>
    </row>
    <row r="732" spans="1:6" x14ac:dyDescent="0.45">
      <c r="A732" s="6">
        <v>10523</v>
      </c>
      <c r="B732" s="3">
        <v>41</v>
      </c>
      <c r="C732" s="3">
        <v>9.65</v>
      </c>
      <c r="D732" s="3">
        <v>6</v>
      </c>
      <c r="E732" s="4">
        <v>0.1</v>
      </c>
      <c r="F732" s="5">
        <f t="shared" si="11"/>
        <v>52.110000000000007</v>
      </c>
    </row>
    <row r="733" spans="1:6" x14ac:dyDescent="0.45">
      <c r="A733" s="6">
        <v>10524</v>
      </c>
      <c r="B733" s="3">
        <v>10</v>
      </c>
      <c r="C733" s="3">
        <v>31</v>
      </c>
      <c r="D733" s="3">
        <v>2</v>
      </c>
      <c r="E733" s="4">
        <v>0</v>
      </c>
      <c r="F733" s="5">
        <f t="shared" si="11"/>
        <v>62</v>
      </c>
    </row>
    <row r="734" spans="1:6" x14ac:dyDescent="0.45">
      <c r="A734" s="6">
        <v>10524</v>
      </c>
      <c r="B734" s="3">
        <v>30</v>
      </c>
      <c r="C734" s="3">
        <v>25.89</v>
      </c>
      <c r="D734" s="3">
        <v>10</v>
      </c>
      <c r="E734" s="4">
        <v>0</v>
      </c>
      <c r="F734" s="5">
        <f t="shared" si="11"/>
        <v>258.89999999999998</v>
      </c>
    </row>
    <row r="735" spans="1:6" x14ac:dyDescent="0.45">
      <c r="A735" s="6">
        <v>10524</v>
      </c>
      <c r="B735" s="3">
        <v>43</v>
      </c>
      <c r="C735" s="3">
        <v>46</v>
      </c>
      <c r="D735" s="3">
        <v>60</v>
      </c>
      <c r="E735" s="4">
        <v>0</v>
      </c>
      <c r="F735" s="5">
        <f t="shared" si="11"/>
        <v>2760</v>
      </c>
    </row>
    <row r="736" spans="1:6" x14ac:dyDescent="0.45">
      <c r="A736" s="6">
        <v>10524</v>
      </c>
      <c r="B736" s="3">
        <v>54</v>
      </c>
      <c r="C736" s="3">
        <v>7.45</v>
      </c>
      <c r="D736" s="3">
        <v>15</v>
      </c>
      <c r="E736" s="4">
        <v>0</v>
      </c>
      <c r="F736" s="5">
        <f t="shared" si="11"/>
        <v>111.75</v>
      </c>
    </row>
    <row r="737" spans="1:6" x14ac:dyDescent="0.45">
      <c r="A737" s="6">
        <v>10525</v>
      </c>
      <c r="B737" s="3">
        <v>36</v>
      </c>
      <c r="C737" s="3">
        <v>19</v>
      </c>
      <c r="D737" s="3">
        <v>30</v>
      </c>
      <c r="E737" s="4">
        <v>0</v>
      </c>
      <c r="F737" s="5">
        <f t="shared" si="11"/>
        <v>570</v>
      </c>
    </row>
    <row r="738" spans="1:6" x14ac:dyDescent="0.45">
      <c r="A738" s="6">
        <v>10525</v>
      </c>
      <c r="B738" s="3">
        <v>40</v>
      </c>
      <c r="C738" s="3">
        <v>18.399999999999999</v>
      </c>
      <c r="D738" s="3">
        <v>15</v>
      </c>
      <c r="E738" s="4">
        <v>0.1</v>
      </c>
      <c r="F738" s="5">
        <f t="shared" si="11"/>
        <v>248.4</v>
      </c>
    </row>
    <row r="739" spans="1:6" x14ac:dyDescent="0.45">
      <c r="A739" s="6">
        <v>10526</v>
      </c>
      <c r="B739" s="3">
        <v>1</v>
      </c>
      <c r="C739" s="3">
        <v>18</v>
      </c>
      <c r="D739" s="3">
        <v>8</v>
      </c>
      <c r="E739" s="4">
        <v>0.15</v>
      </c>
      <c r="F739" s="5">
        <f t="shared" si="11"/>
        <v>122.39999999999999</v>
      </c>
    </row>
    <row r="740" spans="1:6" x14ac:dyDescent="0.45">
      <c r="A740" s="6">
        <v>10526</v>
      </c>
      <c r="B740" s="3">
        <v>13</v>
      </c>
      <c r="C740" s="3">
        <v>6</v>
      </c>
      <c r="D740" s="3">
        <v>10</v>
      </c>
      <c r="E740" s="4">
        <v>0</v>
      </c>
      <c r="F740" s="5">
        <f t="shared" si="11"/>
        <v>60</v>
      </c>
    </row>
    <row r="741" spans="1:6" x14ac:dyDescent="0.45">
      <c r="A741" s="6">
        <v>10526</v>
      </c>
      <c r="B741" s="3">
        <v>56</v>
      </c>
      <c r="C741" s="3">
        <v>38</v>
      </c>
      <c r="D741" s="3">
        <v>30</v>
      </c>
      <c r="E741" s="4">
        <v>0.15</v>
      </c>
      <c r="F741" s="5">
        <f t="shared" si="11"/>
        <v>969</v>
      </c>
    </row>
    <row r="742" spans="1:6" x14ac:dyDescent="0.45">
      <c r="A742" s="6">
        <v>10527</v>
      </c>
      <c r="B742" s="3">
        <v>4</v>
      </c>
      <c r="C742" s="3">
        <v>22</v>
      </c>
      <c r="D742" s="3">
        <v>50</v>
      </c>
      <c r="E742" s="4">
        <v>0.1</v>
      </c>
      <c r="F742" s="5">
        <f t="shared" si="11"/>
        <v>990</v>
      </c>
    </row>
    <row r="743" spans="1:6" x14ac:dyDescent="0.45">
      <c r="A743" s="6">
        <v>10527</v>
      </c>
      <c r="B743" s="3">
        <v>36</v>
      </c>
      <c r="C743" s="3">
        <v>19</v>
      </c>
      <c r="D743" s="3">
        <v>30</v>
      </c>
      <c r="E743" s="4">
        <v>0.1</v>
      </c>
      <c r="F743" s="5">
        <f t="shared" si="11"/>
        <v>513</v>
      </c>
    </row>
    <row r="744" spans="1:6" x14ac:dyDescent="0.45">
      <c r="A744" s="6">
        <v>10528</v>
      </c>
      <c r="B744" s="3">
        <v>11</v>
      </c>
      <c r="C744" s="3">
        <v>21</v>
      </c>
      <c r="D744" s="3">
        <v>3</v>
      </c>
      <c r="E744" s="4">
        <v>0</v>
      </c>
      <c r="F744" s="5">
        <f t="shared" si="11"/>
        <v>63</v>
      </c>
    </row>
    <row r="745" spans="1:6" x14ac:dyDescent="0.45">
      <c r="A745" s="6">
        <v>10528</v>
      </c>
      <c r="B745" s="3">
        <v>33</v>
      </c>
      <c r="C745" s="3">
        <v>2.5</v>
      </c>
      <c r="D745" s="3">
        <v>8</v>
      </c>
      <c r="E745" s="4">
        <v>0.2</v>
      </c>
      <c r="F745" s="5">
        <f t="shared" si="11"/>
        <v>16</v>
      </c>
    </row>
    <row r="746" spans="1:6" x14ac:dyDescent="0.45">
      <c r="A746" s="6">
        <v>10528</v>
      </c>
      <c r="B746" s="3">
        <v>72</v>
      </c>
      <c r="C746" s="3">
        <v>34.799999999999997</v>
      </c>
      <c r="D746" s="3">
        <v>9</v>
      </c>
      <c r="E746" s="4">
        <v>0</v>
      </c>
      <c r="F746" s="5">
        <f t="shared" si="11"/>
        <v>313.2</v>
      </c>
    </row>
    <row r="747" spans="1:6" x14ac:dyDescent="0.45">
      <c r="A747" s="6">
        <v>10529</v>
      </c>
      <c r="B747" s="3">
        <v>55</v>
      </c>
      <c r="C747" s="3">
        <v>24</v>
      </c>
      <c r="D747" s="3">
        <v>14</v>
      </c>
      <c r="E747" s="4">
        <v>0</v>
      </c>
      <c r="F747" s="5">
        <f t="shared" si="11"/>
        <v>336</v>
      </c>
    </row>
    <row r="748" spans="1:6" x14ac:dyDescent="0.45">
      <c r="A748" s="6">
        <v>10529</v>
      </c>
      <c r="B748" s="3">
        <v>68</v>
      </c>
      <c r="C748" s="3">
        <v>12.5</v>
      </c>
      <c r="D748" s="3">
        <v>20</v>
      </c>
      <c r="E748" s="4">
        <v>0</v>
      </c>
      <c r="F748" s="5">
        <f t="shared" si="11"/>
        <v>250</v>
      </c>
    </row>
    <row r="749" spans="1:6" x14ac:dyDescent="0.45">
      <c r="A749" s="6">
        <v>10529</v>
      </c>
      <c r="B749" s="3">
        <v>69</v>
      </c>
      <c r="C749" s="3">
        <v>36</v>
      </c>
      <c r="D749" s="3">
        <v>10</v>
      </c>
      <c r="E749" s="4">
        <v>0</v>
      </c>
      <c r="F749" s="5">
        <f t="shared" si="11"/>
        <v>360</v>
      </c>
    </row>
    <row r="750" spans="1:6" x14ac:dyDescent="0.45">
      <c r="A750" s="6">
        <v>10530</v>
      </c>
      <c r="B750" s="3">
        <v>17</v>
      </c>
      <c r="C750" s="3">
        <v>39</v>
      </c>
      <c r="D750" s="3">
        <v>40</v>
      </c>
      <c r="E750" s="4">
        <v>0</v>
      </c>
      <c r="F750" s="5">
        <f t="shared" si="11"/>
        <v>1560</v>
      </c>
    </row>
    <row r="751" spans="1:6" x14ac:dyDescent="0.45">
      <c r="A751" s="6">
        <v>10530</v>
      </c>
      <c r="B751" s="3">
        <v>43</v>
      </c>
      <c r="C751" s="3">
        <v>46</v>
      </c>
      <c r="D751" s="3">
        <v>25</v>
      </c>
      <c r="E751" s="4">
        <v>0</v>
      </c>
      <c r="F751" s="5">
        <f t="shared" si="11"/>
        <v>1150</v>
      </c>
    </row>
    <row r="752" spans="1:6" x14ac:dyDescent="0.45">
      <c r="A752" s="6">
        <v>10530</v>
      </c>
      <c r="B752" s="3">
        <v>61</v>
      </c>
      <c r="C752" s="3">
        <v>28.5</v>
      </c>
      <c r="D752" s="3">
        <v>20</v>
      </c>
      <c r="E752" s="4">
        <v>0</v>
      </c>
      <c r="F752" s="5">
        <f t="shared" si="11"/>
        <v>570</v>
      </c>
    </row>
    <row r="753" spans="1:6" x14ac:dyDescent="0.45">
      <c r="A753" s="6">
        <v>10530</v>
      </c>
      <c r="B753" s="3">
        <v>76</v>
      </c>
      <c r="C753" s="3">
        <v>18</v>
      </c>
      <c r="D753" s="3">
        <v>50</v>
      </c>
      <c r="E753" s="4">
        <v>0</v>
      </c>
      <c r="F753" s="5">
        <f t="shared" si="11"/>
        <v>900</v>
      </c>
    </row>
    <row r="754" spans="1:6" x14ac:dyDescent="0.45">
      <c r="A754" s="6">
        <v>10531</v>
      </c>
      <c r="B754" s="3">
        <v>59</v>
      </c>
      <c r="C754" s="3">
        <v>55</v>
      </c>
      <c r="D754" s="3">
        <v>2</v>
      </c>
      <c r="E754" s="4">
        <v>0</v>
      </c>
      <c r="F754" s="5">
        <f t="shared" si="11"/>
        <v>110</v>
      </c>
    </row>
    <row r="755" spans="1:6" x14ac:dyDescent="0.45">
      <c r="A755" s="6">
        <v>10532</v>
      </c>
      <c r="B755" s="3">
        <v>30</v>
      </c>
      <c r="C755" s="3">
        <v>25.89</v>
      </c>
      <c r="D755" s="3">
        <v>15</v>
      </c>
      <c r="E755" s="4">
        <v>0</v>
      </c>
      <c r="F755" s="5">
        <f t="shared" si="11"/>
        <v>388.35</v>
      </c>
    </row>
    <row r="756" spans="1:6" x14ac:dyDescent="0.45">
      <c r="A756" s="6">
        <v>10532</v>
      </c>
      <c r="B756" s="3">
        <v>66</v>
      </c>
      <c r="C756" s="3">
        <v>17</v>
      </c>
      <c r="D756" s="3">
        <v>24</v>
      </c>
      <c r="E756" s="4">
        <v>0</v>
      </c>
      <c r="F756" s="5">
        <f t="shared" si="11"/>
        <v>408</v>
      </c>
    </row>
    <row r="757" spans="1:6" x14ac:dyDescent="0.45">
      <c r="A757" s="6">
        <v>10533</v>
      </c>
      <c r="B757" s="3">
        <v>4</v>
      </c>
      <c r="C757" s="3">
        <v>22</v>
      </c>
      <c r="D757" s="3">
        <v>50</v>
      </c>
      <c r="E757" s="4">
        <v>0.05</v>
      </c>
      <c r="F757" s="5">
        <f t="shared" si="11"/>
        <v>1045</v>
      </c>
    </row>
    <row r="758" spans="1:6" x14ac:dyDescent="0.45">
      <c r="A758" s="6">
        <v>10533</v>
      </c>
      <c r="B758" s="3">
        <v>72</v>
      </c>
      <c r="C758" s="3">
        <v>34.799999999999997</v>
      </c>
      <c r="D758" s="3">
        <v>24</v>
      </c>
      <c r="E758" s="4">
        <v>0</v>
      </c>
      <c r="F758" s="5">
        <f t="shared" si="11"/>
        <v>835.19999999999993</v>
      </c>
    </row>
    <row r="759" spans="1:6" x14ac:dyDescent="0.45">
      <c r="A759" s="6">
        <v>10533</v>
      </c>
      <c r="B759" s="3">
        <v>73</v>
      </c>
      <c r="C759" s="3">
        <v>15</v>
      </c>
      <c r="D759" s="3">
        <v>24</v>
      </c>
      <c r="E759" s="4">
        <v>0.05</v>
      </c>
      <c r="F759" s="5">
        <f t="shared" si="11"/>
        <v>342</v>
      </c>
    </row>
    <row r="760" spans="1:6" x14ac:dyDescent="0.45">
      <c r="A760" s="6">
        <v>10534</v>
      </c>
      <c r="B760" s="3">
        <v>30</v>
      </c>
      <c r="C760" s="3">
        <v>25.89</v>
      </c>
      <c r="D760" s="3">
        <v>10</v>
      </c>
      <c r="E760" s="4">
        <v>0</v>
      </c>
      <c r="F760" s="5">
        <f t="shared" si="11"/>
        <v>258.89999999999998</v>
      </c>
    </row>
    <row r="761" spans="1:6" x14ac:dyDescent="0.45">
      <c r="A761" s="6">
        <v>10534</v>
      </c>
      <c r="B761" s="3">
        <v>40</v>
      </c>
      <c r="C761" s="3">
        <v>18.399999999999999</v>
      </c>
      <c r="D761" s="3">
        <v>10</v>
      </c>
      <c r="E761" s="4">
        <v>0.2</v>
      </c>
      <c r="F761" s="5">
        <f t="shared" si="11"/>
        <v>147.20000000000002</v>
      </c>
    </row>
    <row r="762" spans="1:6" x14ac:dyDescent="0.45">
      <c r="A762" s="6">
        <v>10534</v>
      </c>
      <c r="B762" s="3">
        <v>54</v>
      </c>
      <c r="C762" s="3">
        <v>7.45</v>
      </c>
      <c r="D762" s="3">
        <v>10</v>
      </c>
      <c r="E762" s="4">
        <v>0.2</v>
      </c>
      <c r="F762" s="5">
        <f t="shared" si="11"/>
        <v>59.6</v>
      </c>
    </row>
    <row r="763" spans="1:6" x14ac:dyDescent="0.45">
      <c r="A763" s="6">
        <v>10535</v>
      </c>
      <c r="B763" s="3">
        <v>11</v>
      </c>
      <c r="C763" s="3">
        <v>21</v>
      </c>
      <c r="D763" s="3">
        <v>50</v>
      </c>
      <c r="E763" s="4">
        <v>0.1</v>
      </c>
      <c r="F763" s="5">
        <f t="shared" si="11"/>
        <v>945</v>
      </c>
    </row>
    <row r="764" spans="1:6" x14ac:dyDescent="0.45">
      <c r="A764" s="6">
        <v>10535</v>
      </c>
      <c r="B764" s="3">
        <v>40</v>
      </c>
      <c r="C764" s="3">
        <v>18.399999999999999</v>
      </c>
      <c r="D764" s="3">
        <v>10</v>
      </c>
      <c r="E764" s="4">
        <v>0.1</v>
      </c>
      <c r="F764" s="5">
        <f t="shared" si="11"/>
        <v>165.6</v>
      </c>
    </row>
    <row r="765" spans="1:6" x14ac:dyDescent="0.45">
      <c r="A765" s="6">
        <v>10535</v>
      </c>
      <c r="B765" s="3">
        <v>57</v>
      </c>
      <c r="C765" s="3">
        <v>19.5</v>
      </c>
      <c r="D765" s="3">
        <v>5</v>
      </c>
      <c r="E765" s="4">
        <v>0.1</v>
      </c>
      <c r="F765" s="5">
        <f t="shared" si="11"/>
        <v>87.75</v>
      </c>
    </row>
    <row r="766" spans="1:6" x14ac:dyDescent="0.45">
      <c r="A766" s="6">
        <v>10535</v>
      </c>
      <c r="B766" s="3">
        <v>59</v>
      </c>
      <c r="C766" s="3">
        <v>55</v>
      </c>
      <c r="D766" s="3">
        <v>15</v>
      </c>
      <c r="E766" s="4">
        <v>0.1</v>
      </c>
      <c r="F766" s="5">
        <f t="shared" si="11"/>
        <v>742.5</v>
      </c>
    </row>
    <row r="767" spans="1:6" x14ac:dyDescent="0.45">
      <c r="A767" s="6">
        <v>10536</v>
      </c>
      <c r="B767" s="3">
        <v>12</v>
      </c>
      <c r="C767" s="3">
        <v>38</v>
      </c>
      <c r="D767" s="3">
        <v>15</v>
      </c>
      <c r="E767" s="4">
        <v>0.25</v>
      </c>
      <c r="F767" s="5">
        <f t="shared" si="11"/>
        <v>427.5</v>
      </c>
    </row>
    <row r="768" spans="1:6" x14ac:dyDescent="0.45">
      <c r="A768" s="6">
        <v>10536</v>
      </c>
      <c r="B768" s="3">
        <v>31</v>
      </c>
      <c r="C768" s="3">
        <v>12.5</v>
      </c>
      <c r="D768" s="3">
        <v>20</v>
      </c>
      <c r="E768" s="4">
        <v>0</v>
      </c>
      <c r="F768" s="5">
        <f t="shared" si="11"/>
        <v>250</v>
      </c>
    </row>
    <row r="769" spans="1:6" x14ac:dyDescent="0.45">
      <c r="A769" s="6">
        <v>10536</v>
      </c>
      <c r="B769" s="3">
        <v>33</v>
      </c>
      <c r="C769" s="3">
        <v>2.5</v>
      </c>
      <c r="D769" s="3">
        <v>30</v>
      </c>
      <c r="E769" s="4">
        <v>0</v>
      </c>
      <c r="F769" s="5">
        <f t="shared" si="11"/>
        <v>75</v>
      </c>
    </row>
    <row r="770" spans="1:6" x14ac:dyDescent="0.45">
      <c r="A770" s="6">
        <v>10536</v>
      </c>
      <c r="B770" s="3">
        <v>60</v>
      </c>
      <c r="C770" s="3">
        <v>34</v>
      </c>
      <c r="D770" s="3">
        <v>35</v>
      </c>
      <c r="E770" s="4">
        <v>0.25</v>
      </c>
      <c r="F770" s="5">
        <f t="shared" ref="F770:F833" si="12">C770*D770*(1-E770)</f>
        <v>892.5</v>
      </c>
    </row>
    <row r="771" spans="1:6" x14ac:dyDescent="0.45">
      <c r="A771" s="6">
        <v>10537</v>
      </c>
      <c r="B771" s="3">
        <v>31</v>
      </c>
      <c r="C771" s="3">
        <v>12.5</v>
      </c>
      <c r="D771" s="3">
        <v>30</v>
      </c>
      <c r="E771" s="4">
        <v>0</v>
      </c>
      <c r="F771" s="5">
        <f t="shared" si="12"/>
        <v>375</v>
      </c>
    </row>
    <row r="772" spans="1:6" x14ac:dyDescent="0.45">
      <c r="A772" s="6">
        <v>10537</v>
      </c>
      <c r="B772" s="3">
        <v>51</v>
      </c>
      <c r="C772" s="3">
        <v>53</v>
      </c>
      <c r="D772" s="3">
        <v>6</v>
      </c>
      <c r="E772" s="4">
        <v>0</v>
      </c>
      <c r="F772" s="5">
        <f t="shared" si="12"/>
        <v>318</v>
      </c>
    </row>
    <row r="773" spans="1:6" x14ac:dyDescent="0.45">
      <c r="A773" s="6">
        <v>10537</v>
      </c>
      <c r="B773" s="3">
        <v>58</v>
      </c>
      <c r="C773" s="3">
        <v>13.25</v>
      </c>
      <c r="D773" s="3">
        <v>20</v>
      </c>
      <c r="E773" s="4">
        <v>0</v>
      </c>
      <c r="F773" s="5">
        <f t="shared" si="12"/>
        <v>265</v>
      </c>
    </row>
    <row r="774" spans="1:6" x14ac:dyDescent="0.45">
      <c r="A774" s="6">
        <v>10537</v>
      </c>
      <c r="B774" s="3">
        <v>72</v>
      </c>
      <c r="C774" s="3">
        <v>34.799999999999997</v>
      </c>
      <c r="D774" s="3">
        <v>21</v>
      </c>
      <c r="E774" s="4">
        <v>0</v>
      </c>
      <c r="F774" s="5">
        <f t="shared" si="12"/>
        <v>730.8</v>
      </c>
    </row>
    <row r="775" spans="1:6" x14ac:dyDescent="0.45">
      <c r="A775" s="6">
        <v>10537</v>
      </c>
      <c r="B775" s="3">
        <v>73</v>
      </c>
      <c r="C775" s="3">
        <v>15</v>
      </c>
      <c r="D775" s="3">
        <v>9</v>
      </c>
      <c r="E775" s="4">
        <v>0</v>
      </c>
      <c r="F775" s="5">
        <f t="shared" si="12"/>
        <v>135</v>
      </c>
    </row>
    <row r="776" spans="1:6" x14ac:dyDescent="0.45">
      <c r="A776" s="6">
        <v>10538</v>
      </c>
      <c r="B776" s="3">
        <v>70</v>
      </c>
      <c r="C776" s="3">
        <v>15</v>
      </c>
      <c r="D776" s="3">
        <v>7</v>
      </c>
      <c r="E776" s="4">
        <v>0</v>
      </c>
      <c r="F776" s="5">
        <f t="shared" si="12"/>
        <v>105</v>
      </c>
    </row>
    <row r="777" spans="1:6" x14ac:dyDescent="0.45">
      <c r="A777" s="6">
        <v>10538</v>
      </c>
      <c r="B777" s="3">
        <v>72</v>
      </c>
      <c r="C777" s="3">
        <v>34.799999999999997</v>
      </c>
      <c r="D777" s="3">
        <v>1</v>
      </c>
      <c r="E777" s="4">
        <v>0</v>
      </c>
      <c r="F777" s="5">
        <f t="shared" si="12"/>
        <v>34.799999999999997</v>
      </c>
    </row>
    <row r="778" spans="1:6" x14ac:dyDescent="0.45">
      <c r="A778" s="6">
        <v>10539</v>
      </c>
      <c r="B778" s="3">
        <v>13</v>
      </c>
      <c r="C778" s="3">
        <v>6</v>
      </c>
      <c r="D778" s="3">
        <v>8</v>
      </c>
      <c r="E778" s="4">
        <v>0</v>
      </c>
      <c r="F778" s="5">
        <f t="shared" si="12"/>
        <v>48</v>
      </c>
    </row>
    <row r="779" spans="1:6" x14ac:dyDescent="0.45">
      <c r="A779" s="6">
        <v>10539</v>
      </c>
      <c r="B779" s="3">
        <v>21</v>
      </c>
      <c r="C779" s="3">
        <v>10</v>
      </c>
      <c r="D779" s="3">
        <v>15</v>
      </c>
      <c r="E779" s="4">
        <v>0</v>
      </c>
      <c r="F779" s="5">
        <f t="shared" si="12"/>
        <v>150</v>
      </c>
    </row>
    <row r="780" spans="1:6" x14ac:dyDescent="0.45">
      <c r="A780" s="6">
        <v>10539</v>
      </c>
      <c r="B780" s="3">
        <v>33</v>
      </c>
      <c r="C780" s="3">
        <v>2.5</v>
      </c>
      <c r="D780" s="3">
        <v>15</v>
      </c>
      <c r="E780" s="4">
        <v>0</v>
      </c>
      <c r="F780" s="5">
        <f t="shared" si="12"/>
        <v>37.5</v>
      </c>
    </row>
    <row r="781" spans="1:6" x14ac:dyDescent="0.45">
      <c r="A781" s="6">
        <v>10539</v>
      </c>
      <c r="B781" s="3">
        <v>49</v>
      </c>
      <c r="C781" s="3">
        <v>20</v>
      </c>
      <c r="D781" s="3">
        <v>6</v>
      </c>
      <c r="E781" s="4">
        <v>0</v>
      </c>
      <c r="F781" s="5">
        <f t="shared" si="12"/>
        <v>120</v>
      </c>
    </row>
    <row r="782" spans="1:6" x14ac:dyDescent="0.45">
      <c r="A782" s="6">
        <v>10540</v>
      </c>
      <c r="B782" s="3">
        <v>3</v>
      </c>
      <c r="C782" s="3">
        <v>10</v>
      </c>
      <c r="D782" s="3">
        <v>60</v>
      </c>
      <c r="E782" s="4">
        <v>0</v>
      </c>
      <c r="F782" s="5">
        <f t="shared" si="12"/>
        <v>600</v>
      </c>
    </row>
    <row r="783" spans="1:6" x14ac:dyDescent="0.45">
      <c r="A783" s="6">
        <v>10540</v>
      </c>
      <c r="B783" s="3">
        <v>26</v>
      </c>
      <c r="C783" s="3">
        <v>31.23</v>
      </c>
      <c r="D783" s="3">
        <v>40</v>
      </c>
      <c r="E783" s="4">
        <v>0</v>
      </c>
      <c r="F783" s="5">
        <f t="shared" si="12"/>
        <v>1249.2</v>
      </c>
    </row>
    <row r="784" spans="1:6" x14ac:dyDescent="0.45">
      <c r="A784" s="6">
        <v>10540</v>
      </c>
      <c r="B784" s="3">
        <v>38</v>
      </c>
      <c r="C784" s="3">
        <v>263.5</v>
      </c>
      <c r="D784" s="3">
        <v>30</v>
      </c>
      <c r="E784" s="4">
        <v>0</v>
      </c>
      <c r="F784" s="5">
        <f t="shared" si="12"/>
        <v>7905</v>
      </c>
    </row>
    <row r="785" spans="1:6" x14ac:dyDescent="0.45">
      <c r="A785" s="6">
        <v>10540</v>
      </c>
      <c r="B785" s="3">
        <v>68</v>
      </c>
      <c r="C785" s="3">
        <v>12.5</v>
      </c>
      <c r="D785" s="3">
        <v>35</v>
      </c>
      <c r="E785" s="4">
        <v>0</v>
      </c>
      <c r="F785" s="5">
        <f t="shared" si="12"/>
        <v>437.5</v>
      </c>
    </row>
    <row r="786" spans="1:6" x14ac:dyDescent="0.45">
      <c r="A786" s="6">
        <v>10541</v>
      </c>
      <c r="B786" s="3">
        <v>24</v>
      </c>
      <c r="C786" s="3">
        <v>4.5</v>
      </c>
      <c r="D786" s="3">
        <v>35</v>
      </c>
      <c r="E786" s="4">
        <v>0.1</v>
      </c>
      <c r="F786" s="5">
        <f t="shared" si="12"/>
        <v>141.75</v>
      </c>
    </row>
    <row r="787" spans="1:6" x14ac:dyDescent="0.45">
      <c r="A787" s="6">
        <v>10541</v>
      </c>
      <c r="B787" s="3">
        <v>38</v>
      </c>
      <c r="C787" s="3">
        <v>263.5</v>
      </c>
      <c r="D787" s="3">
        <v>4</v>
      </c>
      <c r="E787" s="4">
        <v>0.1</v>
      </c>
      <c r="F787" s="5">
        <f t="shared" si="12"/>
        <v>948.6</v>
      </c>
    </row>
    <row r="788" spans="1:6" x14ac:dyDescent="0.45">
      <c r="A788" s="6">
        <v>10541</v>
      </c>
      <c r="B788" s="3">
        <v>65</v>
      </c>
      <c r="C788" s="3">
        <v>21.05</v>
      </c>
      <c r="D788" s="3">
        <v>36</v>
      </c>
      <c r="E788" s="4">
        <v>0.1</v>
      </c>
      <c r="F788" s="5">
        <f t="shared" si="12"/>
        <v>682.0200000000001</v>
      </c>
    </row>
    <row r="789" spans="1:6" x14ac:dyDescent="0.45">
      <c r="A789" s="6">
        <v>10541</v>
      </c>
      <c r="B789" s="3">
        <v>71</v>
      </c>
      <c r="C789" s="3">
        <v>21.5</v>
      </c>
      <c r="D789" s="3">
        <v>9</v>
      </c>
      <c r="E789" s="4">
        <v>0.1</v>
      </c>
      <c r="F789" s="5">
        <f t="shared" si="12"/>
        <v>174.15</v>
      </c>
    </row>
    <row r="790" spans="1:6" x14ac:dyDescent="0.45">
      <c r="A790" s="6">
        <v>10542</v>
      </c>
      <c r="B790" s="3">
        <v>11</v>
      </c>
      <c r="C790" s="3">
        <v>21</v>
      </c>
      <c r="D790" s="3">
        <v>15</v>
      </c>
      <c r="E790" s="4">
        <v>0.05</v>
      </c>
      <c r="F790" s="5">
        <f t="shared" si="12"/>
        <v>299.25</v>
      </c>
    </row>
    <row r="791" spans="1:6" x14ac:dyDescent="0.45">
      <c r="A791" s="6">
        <v>10542</v>
      </c>
      <c r="B791" s="3">
        <v>54</v>
      </c>
      <c r="C791" s="3">
        <v>7.45</v>
      </c>
      <c r="D791" s="3">
        <v>24</v>
      </c>
      <c r="E791" s="4">
        <v>0.05</v>
      </c>
      <c r="F791" s="5">
        <f t="shared" si="12"/>
        <v>169.86</v>
      </c>
    </row>
    <row r="792" spans="1:6" x14ac:dyDescent="0.45">
      <c r="A792" s="6">
        <v>10543</v>
      </c>
      <c r="B792" s="3">
        <v>12</v>
      </c>
      <c r="C792" s="3">
        <v>38</v>
      </c>
      <c r="D792" s="3">
        <v>30</v>
      </c>
      <c r="E792" s="4">
        <v>0.15</v>
      </c>
      <c r="F792" s="5">
        <f t="shared" si="12"/>
        <v>969</v>
      </c>
    </row>
    <row r="793" spans="1:6" x14ac:dyDescent="0.45">
      <c r="A793" s="6">
        <v>10543</v>
      </c>
      <c r="B793" s="3">
        <v>23</v>
      </c>
      <c r="C793" s="3">
        <v>9</v>
      </c>
      <c r="D793" s="3">
        <v>70</v>
      </c>
      <c r="E793" s="4">
        <v>0.15</v>
      </c>
      <c r="F793" s="5">
        <f t="shared" si="12"/>
        <v>535.5</v>
      </c>
    </row>
    <row r="794" spans="1:6" x14ac:dyDescent="0.45">
      <c r="A794" s="6">
        <v>10544</v>
      </c>
      <c r="B794" s="3">
        <v>28</v>
      </c>
      <c r="C794" s="3">
        <v>45.6</v>
      </c>
      <c r="D794" s="3">
        <v>7</v>
      </c>
      <c r="E794" s="4">
        <v>0</v>
      </c>
      <c r="F794" s="5">
        <f t="shared" si="12"/>
        <v>319.2</v>
      </c>
    </row>
    <row r="795" spans="1:6" x14ac:dyDescent="0.45">
      <c r="A795" s="6">
        <v>10544</v>
      </c>
      <c r="B795" s="3">
        <v>67</v>
      </c>
      <c r="C795" s="3">
        <v>14</v>
      </c>
      <c r="D795" s="3">
        <v>7</v>
      </c>
      <c r="E795" s="4">
        <v>0</v>
      </c>
      <c r="F795" s="5">
        <f t="shared" si="12"/>
        <v>98</v>
      </c>
    </row>
    <row r="796" spans="1:6" x14ac:dyDescent="0.45">
      <c r="A796" s="6">
        <v>10545</v>
      </c>
      <c r="B796" s="3">
        <v>11</v>
      </c>
      <c r="C796" s="3">
        <v>21</v>
      </c>
      <c r="D796" s="3">
        <v>10</v>
      </c>
      <c r="E796" s="4">
        <v>0</v>
      </c>
      <c r="F796" s="5">
        <f t="shared" si="12"/>
        <v>210</v>
      </c>
    </row>
    <row r="797" spans="1:6" x14ac:dyDescent="0.45">
      <c r="A797" s="6">
        <v>10546</v>
      </c>
      <c r="B797" s="3">
        <v>7</v>
      </c>
      <c r="C797" s="3">
        <v>30</v>
      </c>
      <c r="D797" s="3">
        <v>10</v>
      </c>
      <c r="E797" s="4">
        <v>0</v>
      </c>
      <c r="F797" s="5">
        <f t="shared" si="12"/>
        <v>300</v>
      </c>
    </row>
    <row r="798" spans="1:6" x14ac:dyDescent="0.45">
      <c r="A798" s="6">
        <v>10546</v>
      </c>
      <c r="B798" s="3">
        <v>35</v>
      </c>
      <c r="C798" s="3">
        <v>18</v>
      </c>
      <c r="D798" s="3">
        <v>30</v>
      </c>
      <c r="E798" s="4">
        <v>0</v>
      </c>
      <c r="F798" s="5">
        <f t="shared" si="12"/>
        <v>540</v>
      </c>
    </row>
    <row r="799" spans="1:6" x14ac:dyDescent="0.45">
      <c r="A799" s="6">
        <v>10546</v>
      </c>
      <c r="B799" s="3">
        <v>62</v>
      </c>
      <c r="C799" s="3">
        <v>49.3</v>
      </c>
      <c r="D799" s="3">
        <v>40</v>
      </c>
      <c r="E799" s="4">
        <v>0</v>
      </c>
      <c r="F799" s="5">
        <f t="shared" si="12"/>
        <v>1972</v>
      </c>
    </row>
    <row r="800" spans="1:6" x14ac:dyDescent="0.45">
      <c r="A800" s="6">
        <v>10547</v>
      </c>
      <c r="B800" s="3">
        <v>32</v>
      </c>
      <c r="C800" s="3">
        <v>32</v>
      </c>
      <c r="D800" s="3">
        <v>24</v>
      </c>
      <c r="E800" s="4">
        <v>0.15</v>
      </c>
      <c r="F800" s="5">
        <f t="shared" si="12"/>
        <v>652.79999999999995</v>
      </c>
    </row>
    <row r="801" spans="1:6" x14ac:dyDescent="0.45">
      <c r="A801" s="6">
        <v>10547</v>
      </c>
      <c r="B801" s="3">
        <v>36</v>
      </c>
      <c r="C801" s="3">
        <v>19</v>
      </c>
      <c r="D801" s="3">
        <v>60</v>
      </c>
      <c r="E801" s="4">
        <v>0</v>
      </c>
      <c r="F801" s="5">
        <f t="shared" si="12"/>
        <v>1140</v>
      </c>
    </row>
    <row r="802" spans="1:6" x14ac:dyDescent="0.45">
      <c r="A802" s="6">
        <v>10548</v>
      </c>
      <c r="B802" s="3">
        <v>34</v>
      </c>
      <c r="C802" s="3">
        <v>14</v>
      </c>
      <c r="D802" s="3">
        <v>10</v>
      </c>
      <c r="E802" s="4">
        <v>0.25</v>
      </c>
      <c r="F802" s="5">
        <f t="shared" si="12"/>
        <v>105</v>
      </c>
    </row>
    <row r="803" spans="1:6" x14ac:dyDescent="0.45">
      <c r="A803" s="6">
        <v>10548</v>
      </c>
      <c r="B803" s="3">
        <v>41</v>
      </c>
      <c r="C803" s="3">
        <v>9.65</v>
      </c>
      <c r="D803" s="3">
        <v>14</v>
      </c>
      <c r="E803" s="4">
        <v>0</v>
      </c>
      <c r="F803" s="5">
        <f t="shared" si="12"/>
        <v>135.1</v>
      </c>
    </row>
    <row r="804" spans="1:6" x14ac:dyDescent="0.45">
      <c r="A804" s="6">
        <v>10549</v>
      </c>
      <c r="B804" s="3">
        <v>31</v>
      </c>
      <c r="C804" s="3">
        <v>12.5</v>
      </c>
      <c r="D804" s="3">
        <v>55</v>
      </c>
      <c r="E804" s="4">
        <v>0.15</v>
      </c>
      <c r="F804" s="5">
        <f t="shared" si="12"/>
        <v>584.375</v>
      </c>
    </row>
    <row r="805" spans="1:6" x14ac:dyDescent="0.45">
      <c r="A805" s="6">
        <v>10549</v>
      </c>
      <c r="B805" s="3">
        <v>45</v>
      </c>
      <c r="C805" s="3">
        <v>9.5</v>
      </c>
      <c r="D805" s="3">
        <v>100</v>
      </c>
      <c r="E805" s="4">
        <v>0.15</v>
      </c>
      <c r="F805" s="5">
        <f t="shared" si="12"/>
        <v>807.5</v>
      </c>
    </row>
    <row r="806" spans="1:6" x14ac:dyDescent="0.45">
      <c r="A806" s="6">
        <v>10549</v>
      </c>
      <c r="B806" s="3">
        <v>51</v>
      </c>
      <c r="C806" s="3">
        <v>53</v>
      </c>
      <c r="D806" s="3">
        <v>48</v>
      </c>
      <c r="E806" s="4">
        <v>0.15</v>
      </c>
      <c r="F806" s="5">
        <f t="shared" si="12"/>
        <v>2162.4</v>
      </c>
    </row>
    <row r="807" spans="1:6" x14ac:dyDescent="0.45">
      <c r="A807" s="6">
        <v>10550</v>
      </c>
      <c r="B807" s="3">
        <v>17</v>
      </c>
      <c r="C807" s="3">
        <v>39</v>
      </c>
      <c r="D807" s="3">
        <v>8</v>
      </c>
      <c r="E807" s="4">
        <v>0.1</v>
      </c>
      <c r="F807" s="5">
        <f t="shared" si="12"/>
        <v>280.8</v>
      </c>
    </row>
    <row r="808" spans="1:6" x14ac:dyDescent="0.45">
      <c r="A808" s="6">
        <v>10550</v>
      </c>
      <c r="B808" s="3">
        <v>19</v>
      </c>
      <c r="C808" s="3">
        <v>9.1999999999999993</v>
      </c>
      <c r="D808" s="3">
        <v>10</v>
      </c>
      <c r="E808" s="4">
        <v>0</v>
      </c>
      <c r="F808" s="5">
        <f t="shared" si="12"/>
        <v>92</v>
      </c>
    </row>
    <row r="809" spans="1:6" x14ac:dyDescent="0.45">
      <c r="A809" s="6">
        <v>10550</v>
      </c>
      <c r="B809" s="3">
        <v>21</v>
      </c>
      <c r="C809" s="3">
        <v>10</v>
      </c>
      <c r="D809" s="3">
        <v>6</v>
      </c>
      <c r="E809" s="4">
        <v>0.1</v>
      </c>
      <c r="F809" s="5">
        <f t="shared" si="12"/>
        <v>54</v>
      </c>
    </row>
    <row r="810" spans="1:6" x14ac:dyDescent="0.45">
      <c r="A810" s="6">
        <v>10550</v>
      </c>
      <c r="B810" s="3">
        <v>61</v>
      </c>
      <c r="C810" s="3">
        <v>28.5</v>
      </c>
      <c r="D810" s="3">
        <v>10</v>
      </c>
      <c r="E810" s="4">
        <v>0.1</v>
      </c>
      <c r="F810" s="5">
        <f t="shared" si="12"/>
        <v>256.5</v>
      </c>
    </row>
    <row r="811" spans="1:6" x14ac:dyDescent="0.45">
      <c r="A811" s="6">
        <v>10551</v>
      </c>
      <c r="B811" s="3">
        <v>16</v>
      </c>
      <c r="C811" s="3">
        <v>17.45</v>
      </c>
      <c r="D811" s="3">
        <v>40</v>
      </c>
      <c r="E811" s="4">
        <v>0.15</v>
      </c>
      <c r="F811" s="5">
        <f t="shared" si="12"/>
        <v>593.29999999999995</v>
      </c>
    </row>
    <row r="812" spans="1:6" x14ac:dyDescent="0.45">
      <c r="A812" s="6">
        <v>10551</v>
      </c>
      <c r="B812" s="3">
        <v>35</v>
      </c>
      <c r="C812" s="3">
        <v>18</v>
      </c>
      <c r="D812" s="3">
        <v>20</v>
      </c>
      <c r="E812" s="4">
        <v>0.15</v>
      </c>
      <c r="F812" s="5">
        <f t="shared" si="12"/>
        <v>306</v>
      </c>
    </row>
    <row r="813" spans="1:6" x14ac:dyDescent="0.45">
      <c r="A813" s="6">
        <v>10551</v>
      </c>
      <c r="B813" s="3">
        <v>44</v>
      </c>
      <c r="C813" s="3">
        <v>19.45</v>
      </c>
      <c r="D813" s="3">
        <v>40</v>
      </c>
      <c r="E813" s="4">
        <v>0</v>
      </c>
      <c r="F813" s="5">
        <f t="shared" si="12"/>
        <v>778</v>
      </c>
    </row>
    <row r="814" spans="1:6" x14ac:dyDescent="0.45">
      <c r="A814" s="6">
        <v>10552</v>
      </c>
      <c r="B814" s="3">
        <v>69</v>
      </c>
      <c r="C814" s="3">
        <v>36</v>
      </c>
      <c r="D814" s="3">
        <v>18</v>
      </c>
      <c r="E814" s="4">
        <v>0</v>
      </c>
      <c r="F814" s="5">
        <f t="shared" si="12"/>
        <v>648</v>
      </c>
    </row>
    <row r="815" spans="1:6" x14ac:dyDescent="0.45">
      <c r="A815" s="6">
        <v>10552</v>
      </c>
      <c r="B815" s="3">
        <v>75</v>
      </c>
      <c r="C815" s="3">
        <v>7.75</v>
      </c>
      <c r="D815" s="3">
        <v>30</v>
      </c>
      <c r="E815" s="4">
        <v>0</v>
      </c>
      <c r="F815" s="5">
        <f t="shared" si="12"/>
        <v>232.5</v>
      </c>
    </row>
    <row r="816" spans="1:6" x14ac:dyDescent="0.45">
      <c r="A816" s="6">
        <v>10553</v>
      </c>
      <c r="B816" s="3">
        <v>11</v>
      </c>
      <c r="C816" s="3">
        <v>21</v>
      </c>
      <c r="D816" s="3">
        <v>15</v>
      </c>
      <c r="E816" s="4">
        <v>0</v>
      </c>
      <c r="F816" s="5">
        <f t="shared" si="12"/>
        <v>315</v>
      </c>
    </row>
    <row r="817" spans="1:6" x14ac:dyDescent="0.45">
      <c r="A817" s="6">
        <v>10553</v>
      </c>
      <c r="B817" s="3">
        <v>16</v>
      </c>
      <c r="C817" s="3">
        <v>17.45</v>
      </c>
      <c r="D817" s="3">
        <v>14</v>
      </c>
      <c r="E817" s="4">
        <v>0</v>
      </c>
      <c r="F817" s="5">
        <f t="shared" si="12"/>
        <v>244.29999999999998</v>
      </c>
    </row>
    <row r="818" spans="1:6" x14ac:dyDescent="0.45">
      <c r="A818" s="6">
        <v>10553</v>
      </c>
      <c r="B818" s="3">
        <v>22</v>
      </c>
      <c r="C818" s="3">
        <v>21</v>
      </c>
      <c r="D818" s="3">
        <v>24</v>
      </c>
      <c r="E818" s="4">
        <v>0</v>
      </c>
      <c r="F818" s="5">
        <f t="shared" si="12"/>
        <v>504</v>
      </c>
    </row>
    <row r="819" spans="1:6" x14ac:dyDescent="0.45">
      <c r="A819" s="6">
        <v>10553</v>
      </c>
      <c r="B819" s="3">
        <v>31</v>
      </c>
      <c r="C819" s="3">
        <v>12.5</v>
      </c>
      <c r="D819" s="3">
        <v>30</v>
      </c>
      <c r="E819" s="4">
        <v>0</v>
      </c>
      <c r="F819" s="5">
        <f t="shared" si="12"/>
        <v>375</v>
      </c>
    </row>
    <row r="820" spans="1:6" x14ac:dyDescent="0.45">
      <c r="A820" s="6">
        <v>10553</v>
      </c>
      <c r="B820" s="3">
        <v>35</v>
      </c>
      <c r="C820" s="3">
        <v>18</v>
      </c>
      <c r="D820" s="3">
        <v>6</v>
      </c>
      <c r="E820" s="4">
        <v>0</v>
      </c>
      <c r="F820" s="5">
        <f t="shared" si="12"/>
        <v>108</v>
      </c>
    </row>
    <row r="821" spans="1:6" x14ac:dyDescent="0.45">
      <c r="A821" s="6">
        <v>10554</v>
      </c>
      <c r="B821" s="3">
        <v>16</v>
      </c>
      <c r="C821" s="3">
        <v>17.45</v>
      </c>
      <c r="D821" s="3">
        <v>30</v>
      </c>
      <c r="E821" s="4">
        <v>0.05</v>
      </c>
      <c r="F821" s="5">
        <f t="shared" si="12"/>
        <v>497.32499999999999</v>
      </c>
    </row>
    <row r="822" spans="1:6" x14ac:dyDescent="0.45">
      <c r="A822" s="6">
        <v>10554</v>
      </c>
      <c r="B822" s="3">
        <v>23</v>
      </c>
      <c r="C822" s="3">
        <v>9</v>
      </c>
      <c r="D822" s="3">
        <v>20</v>
      </c>
      <c r="E822" s="4">
        <v>0.05</v>
      </c>
      <c r="F822" s="5">
        <f t="shared" si="12"/>
        <v>171</v>
      </c>
    </row>
    <row r="823" spans="1:6" x14ac:dyDescent="0.45">
      <c r="A823" s="6">
        <v>10554</v>
      </c>
      <c r="B823" s="3">
        <v>62</v>
      </c>
      <c r="C823" s="3">
        <v>49.3</v>
      </c>
      <c r="D823" s="3">
        <v>20</v>
      </c>
      <c r="E823" s="4">
        <v>0.05</v>
      </c>
      <c r="F823" s="5">
        <f t="shared" si="12"/>
        <v>936.69999999999993</v>
      </c>
    </row>
    <row r="824" spans="1:6" x14ac:dyDescent="0.45">
      <c r="A824" s="6">
        <v>10554</v>
      </c>
      <c r="B824" s="3">
        <v>77</v>
      </c>
      <c r="C824" s="3">
        <v>13</v>
      </c>
      <c r="D824" s="3">
        <v>10</v>
      </c>
      <c r="E824" s="4">
        <v>0.05</v>
      </c>
      <c r="F824" s="5">
        <f t="shared" si="12"/>
        <v>123.5</v>
      </c>
    </row>
    <row r="825" spans="1:6" x14ac:dyDescent="0.45">
      <c r="A825" s="6">
        <v>10555</v>
      </c>
      <c r="B825" s="3">
        <v>14</v>
      </c>
      <c r="C825" s="3">
        <v>23.25</v>
      </c>
      <c r="D825" s="3">
        <v>30</v>
      </c>
      <c r="E825" s="4">
        <v>0.2</v>
      </c>
      <c r="F825" s="5">
        <f t="shared" si="12"/>
        <v>558</v>
      </c>
    </row>
    <row r="826" spans="1:6" x14ac:dyDescent="0.45">
      <c r="A826" s="6">
        <v>10555</v>
      </c>
      <c r="B826" s="3">
        <v>19</v>
      </c>
      <c r="C826" s="3">
        <v>9.1999999999999993</v>
      </c>
      <c r="D826" s="3">
        <v>35</v>
      </c>
      <c r="E826" s="4">
        <v>0.2</v>
      </c>
      <c r="F826" s="5">
        <f t="shared" si="12"/>
        <v>257.60000000000002</v>
      </c>
    </row>
    <row r="827" spans="1:6" x14ac:dyDescent="0.45">
      <c r="A827" s="6">
        <v>10555</v>
      </c>
      <c r="B827" s="3">
        <v>24</v>
      </c>
      <c r="C827" s="3">
        <v>4.5</v>
      </c>
      <c r="D827" s="3">
        <v>18</v>
      </c>
      <c r="E827" s="4">
        <v>0.2</v>
      </c>
      <c r="F827" s="5">
        <f t="shared" si="12"/>
        <v>64.8</v>
      </c>
    </row>
    <row r="828" spans="1:6" x14ac:dyDescent="0.45">
      <c r="A828" s="6">
        <v>10555</v>
      </c>
      <c r="B828" s="3">
        <v>51</v>
      </c>
      <c r="C828" s="3">
        <v>53</v>
      </c>
      <c r="D828" s="3">
        <v>20</v>
      </c>
      <c r="E828" s="4">
        <v>0.2</v>
      </c>
      <c r="F828" s="5">
        <f t="shared" si="12"/>
        <v>848</v>
      </c>
    </row>
    <row r="829" spans="1:6" x14ac:dyDescent="0.45">
      <c r="A829" s="6">
        <v>10555</v>
      </c>
      <c r="B829" s="3">
        <v>56</v>
      </c>
      <c r="C829" s="3">
        <v>38</v>
      </c>
      <c r="D829" s="3">
        <v>40</v>
      </c>
      <c r="E829" s="4">
        <v>0.2</v>
      </c>
      <c r="F829" s="5">
        <f t="shared" si="12"/>
        <v>1216</v>
      </c>
    </row>
    <row r="830" spans="1:6" x14ac:dyDescent="0.45">
      <c r="A830" s="6">
        <v>10556</v>
      </c>
      <c r="B830" s="3">
        <v>72</v>
      </c>
      <c r="C830" s="3">
        <v>34.799999999999997</v>
      </c>
      <c r="D830" s="3">
        <v>24</v>
      </c>
      <c r="E830" s="4">
        <v>0</v>
      </c>
      <c r="F830" s="5">
        <f t="shared" si="12"/>
        <v>835.19999999999993</v>
      </c>
    </row>
    <row r="831" spans="1:6" x14ac:dyDescent="0.45">
      <c r="A831" s="6">
        <v>10557</v>
      </c>
      <c r="B831" s="3">
        <v>64</v>
      </c>
      <c r="C831" s="3">
        <v>33.25</v>
      </c>
      <c r="D831" s="3">
        <v>30</v>
      </c>
      <c r="E831" s="4">
        <v>0</v>
      </c>
      <c r="F831" s="5">
        <f t="shared" si="12"/>
        <v>997.5</v>
      </c>
    </row>
    <row r="832" spans="1:6" x14ac:dyDescent="0.45">
      <c r="A832" s="6">
        <v>10557</v>
      </c>
      <c r="B832" s="3">
        <v>75</v>
      </c>
      <c r="C832" s="3">
        <v>7.75</v>
      </c>
      <c r="D832" s="3">
        <v>20</v>
      </c>
      <c r="E832" s="4">
        <v>0</v>
      </c>
      <c r="F832" s="5">
        <f t="shared" si="12"/>
        <v>155</v>
      </c>
    </row>
    <row r="833" spans="1:6" x14ac:dyDescent="0.45">
      <c r="A833" s="6">
        <v>10558</v>
      </c>
      <c r="B833" s="3">
        <v>47</v>
      </c>
      <c r="C833" s="3">
        <v>9.5</v>
      </c>
      <c r="D833" s="3">
        <v>25</v>
      </c>
      <c r="E833" s="4">
        <v>0</v>
      </c>
      <c r="F833" s="5">
        <f t="shared" si="12"/>
        <v>237.5</v>
      </c>
    </row>
    <row r="834" spans="1:6" x14ac:dyDescent="0.45">
      <c r="A834" s="6">
        <v>10558</v>
      </c>
      <c r="B834" s="3">
        <v>51</v>
      </c>
      <c r="C834" s="3">
        <v>53</v>
      </c>
      <c r="D834" s="3">
        <v>20</v>
      </c>
      <c r="E834" s="4">
        <v>0</v>
      </c>
      <c r="F834" s="5">
        <f t="shared" ref="F834:F897" si="13">C834*D834*(1-E834)</f>
        <v>1060</v>
      </c>
    </row>
    <row r="835" spans="1:6" x14ac:dyDescent="0.45">
      <c r="A835" s="6">
        <v>10558</v>
      </c>
      <c r="B835" s="3">
        <v>52</v>
      </c>
      <c r="C835" s="3">
        <v>7</v>
      </c>
      <c r="D835" s="3">
        <v>30</v>
      </c>
      <c r="E835" s="4">
        <v>0</v>
      </c>
      <c r="F835" s="5">
        <f t="shared" si="13"/>
        <v>210</v>
      </c>
    </row>
    <row r="836" spans="1:6" x14ac:dyDescent="0.45">
      <c r="A836" s="6">
        <v>10558</v>
      </c>
      <c r="B836" s="3">
        <v>53</v>
      </c>
      <c r="C836" s="3">
        <v>32.799999999999997</v>
      </c>
      <c r="D836" s="3">
        <v>18</v>
      </c>
      <c r="E836" s="4">
        <v>0</v>
      </c>
      <c r="F836" s="5">
        <f t="shared" si="13"/>
        <v>590.4</v>
      </c>
    </row>
    <row r="837" spans="1:6" x14ac:dyDescent="0.45">
      <c r="A837" s="6">
        <v>10558</v>
      </c>
      <c r="B837" s="3">
        <v>73</v>
      </c>
      <c r="C837" s="3">
        <v>15</v>
      </c>
      <c r="D837" s="3">
        <v>3</v>
      </c>
      <c r="E837" s="4">
        <v>0</v>
      </c>
      <c r="F837" s="5">
        <f t="shared" si="13"/>
        <v>45</v>
      </c>
    </row>
    <row r="838" spans="1:6" x14ac:dyDescent="0.45">
      <c r="A838" s="6">
        <v>10559</v>
      </c>
      <c r="B838" s="3">
        <v>41</v>
      </c>
      <c r="C838" s="3">
        <v>9.65</v>
      </c>
      <c r="D838" s="3">
        <v>12</v>
      </c>
      <c r="E838" s="4">
        <v>0.05</v>
      </c>
      <c r="F838" s="5">
        <f t="shared" si="13"/>
        <v>110.01</v>
      </c>
    </row>
    <row r="839" spans="1:6" x14ac:dyDescent="0.45">
      <c r="A839" s="6">
        <v>10559</v>
      </c>
      <c r="B839" s="3">
        <v>55</v>
      </c>
      <c r="C839" s="3">
        <v>24</v>
      </c>
      <c r="D839" s="3">
        <v>18</v>
      </c>
      <c r="E839" s="4">
        <v>0.05</v>
      </c>
      <c r="F839" s="5">
        <f t="shared" si="13"/>
        <v>410.4</v>
      </c>
    </row>
    <row r="840" spans="1:6" x14ac:dyDescent="0.45">
      <c r="A840" s="6">
        <v>10560</v>
      </c>
      <c r="B840" s="3">
        <v>30</v>
      </c>
      <c r="C840" s="3">
        <v>25.89</v>
      </c>
      <c r="D840" s="3">
        <v>20</v>
      </c>
      <c r="E840" s="4">
        <v>0</v>
      </c>
      <c r="F840" s="5">
        <f t="shared" si="13"/>
        <v>517.79999999999995</v>
      </c>
    </row>
    <row r="841" spans="1:6" x14ac:dyDescent="0.45">
      <c r="A841" s="6">
        <v>10560</v>
      </c>
      <c r="B841" s="3">
        <v>62</v>
      </c>
      <c r="C841" s="3">
        <v>49.3</v>
      </c>
      <c r="D841" s="3">
        <v>15</v>
      </c>
      <c r="E841" s="4">
        <v>0.25</v>
      </c>
      <c r="F841" s="5">
        <f t="shared" si="13"/>
        <v>554.625</v>
      </c>
    </row>
    <row r="842" spans="1:6" x14ac:dyDescent="0.45">
      <c r="A842" s="6">
        <v>10561</v>
      </c>
      <c r="B842" s="3">
        <v>44</v>
      </c>
      <c r="C842" s="3">
        <v>19.45</v>
      </c>
      <c r="D842" s="3">
        <v>10</v>
      </c>
      <c r="E842" s="4">
        <v>0</v>
      </c>
      <c r="F842" s="5">
        <f t="shared" si="13"/>
        <v>194.5</v>
      </c>
    </row>
    <row r="843" spans="1:6" x14ac:dyDescent="0.45">
      <c r="A843" s="6">
        <v>10561</v>
      </c>
      <c r="B843" s="3">
        <v>51</v>
      </c>
      <c r="C843" s="3">
        <v>53</v>
      </c>
      <c r="D843" s="3">
        <v>50</v>
      </c>
      <c r="E843" s="4">
        <v>0</v>
      </c>
      <c r="F843" s="5">
        <f t="shared" si="13"/>
        <v>2650</v>
      </c>
    </row>
    <row r="844" spans="1:6" x14ac:dyDescent="0.45">
      <c r="A844" s="6">
        <v>10562</v>
      </c>
      <c r="B844" s="3">
        <v>33</v>
      </c>
      <c r="C844" s="3">
        <v>2.5</v>
      </c>
      <c r="D844" s="3">
        <v>20</v>
      </c>
      <c r="E844" s="4">
        <v>0.1</v>
      </c>
      <c r="F844" s="5">
        <f t="shared" si="13"/>
        <v>45</v>
      </c>
    </row>
    <row r="845" spans="1:6" x14ac:dyDescent="0.45">
      <c r="A845" s="6">
        <v>10562</v>
      </c>
      <c r="B845" s="3">
        <v>62</v>
      </c>
      <c r="C845" s="3">
        <v>49.3</v>
      </c>
      <c r="D845" s="3">
        <v>10</v>
      </c>
      <c r="E845" s="4">
        <v>0.1</v>
      </c>
      <c r="F845" s="5">
        <f t="shared" si="13"/>
        <v>443.7</v>
      </c>
    </row>
    <row r="846" spans="1:6" x14ac:dyDescent="0.45">
      <c r="A846" s="6">
        <v>10563</v>
      </c>
      <c r="B846" s="3">
        <v>36</v>
      </c>
      <c r="C846" s="3">
        <v>19</v>
      </c>
      <c r="D846" s="3">
        <v>25</v>
      </c>
      <c r="E846" s="4">
        <v>0</v>
      </c>
      <c r="F846" s="5">
        <f t="shared" si="13"/>
        <v>475</v>
      </c>
    </row>
    <row r="847" spans="1:6" x14ac:dyDescent="0.45">
      <c r="A847" s="6">
        <v>10563</v>
      </c>
      <c r="B847" s="3">
        <v>52</v>
      </c>
      <c r="C847" s="3">
        <v>7</v>
      </c>
      <c r="D847" s="3">
        <v>70</v>
      </c>
      <c r="E847" s="4">
        <v>0</v>
      </c>
      <c r="F847" s="5">
        <f t="shared" si="13"/>
        <v>490</v>
      </c>
    </row>
    <row r="848" spans="1:6" x14ac:dyDescent="0.45">
      <c r="A848" s="6">
        <v>10564</v>
      </c>
      <c r="B848" s="3">
        <v>17</v>
      </c>
      <c r="C848" s="3">
        <v>39</v>
      </c>
      <c r="D848" s="3">
        <v>16</v>
      </c>
      <c r="E848" s="4">
        <v>0.05</v>
      </c>
      <c r="F848" s="5">
        <f t="shared" si="13"/>
        <v>592.79999999999995</v>
      </c>
    </row>
    <row r="849" spans="1:6" x14ac:dyDescent="0.45">
      <c r="A849" s="6">
        <v>10564</v>
      </c>
      <c r="B849" s="3">
        <v>31</v>
      </c>
      <c r="C849" s="3">
        <v>12.5</v>
      </c>
      <c r="D849" s="3">
        <v>6</v>
      </c>
      <c r="E849" s="4">
        <v>0.05</v>
      </c>
      <c r="F849" s="5">
        <f t="shared" si="13"/>
        <v>71.25</v>
      </c>
    </row>
    <row r="850" spans="1:6" x14ac:dyDescent="0.45">
      <c r="A850" s="6">
        <v>10564</v>
      </c>
      <c r="B850" s="3">
        <v>55</v>
      </c>
      <c r="C850" s="3">
        <v>24</v>
      </c>
      <c r="D850" s="3">
        <v>25</v>
      </c>
      <c r="E850" s="4">
        <v>0.05</v>
      </c>
      <c r="F850" s="5">
        <f t="shared" si="13"/>
        <v>570</v>
      </c>
    </row>
    <row r="851" spans="1:6" x14ac:dyDescent="0.45">
      <c r="A851" s="6">
        <v>10565</v>
      </c>
      <c r="B851" s="3">
        <v>24</v>
      </c>
      <c r="C851" s="3">
        <v>4.5</v>
      </c>
      <c r="D851" s="3">
        <v>25</v>
      </c>
      <c r="E851" s="4">
        <v>0.1</v>
      </c>
      <c r="F851" s="5">
        <f t="shared" si="13"/>
        <v>101.25</v>
      </c>
    </row>
    <row r="852" spans="1:6" x14ac:dyDescent="0.45">
      <c r="A852" s="6">
        <v>10565</v>
      </c>
      <c r="B852" s="3">
        <v>64</v>
      </c>
      <c r="C852" s="3">
        <v>33.25</v>
      </c>
      <c r="D852" s="3">
        <v>18</v>
      </c>
      <c r="E852" s="4">
        <v>0.1</v>
      </c>
      <c r="F852" s="5">
        <f t="shared" si="13"/>
        <v>538.65</v>
      </c>
    </row>
    <row r="853" spans="1:6" x14ac:dyDescent="0.45">
      <c r="A853" s="6">
        <v>10566</v>
      </c>
      <c r="B853" s="3">
        <v>11</v>
      </c>
      <c r="C853" s="3">
        <v>21</v>
      </c>
      <c r="D853" s="3">
        <v>35</v>
      </c>
      <c r="E853" s="4">
        <v>0.15</v>
      </c>
      <c r="F853" s="5">
        <f t="shared" si="13"/>
        <v>624.75</v>
      </c>
    </row>
    <row r="854" spans="1:6" x14ac:dyDescent="0.45">
      <c r="A854" s="6">
        <v>10566</v>
      </c>
      <c r="B854" s="3">
        <v>18</v>
      </c>
      <c r="C854" s="3">
        <v>62.5</v>
      </c>
      <c r="D854" s="3">
        <v>18</v>
      </c>
      <c r="E854" s="4">
        <v>0.15</v>
      </c>
      <c r="F854" s="5">
        <f t="shared" si="13"/>
        <v>956.25</v>
      </c>
    </row>
    <row r="855" spans="1:6" x14ac:dyDescent="0.45">
      <c r="A855" s="6">
        <v>10566</v>
      </c>
      <c r="B855" s="3">
        <v>76</v>
      </c>
      <c r="C855" s="3">
        <v>18</v>
      </c>
      <c r="D855" s="3">
        <v>10</v>
      </c>
      <c r="E855" s="4">
        <v>0</v>
      </c>
      <c r="F855" s="5">
        <f t="shared" si="13"/>
        <v>180</v>
      </c>
    </row>
    <row r="856" spans="1:6" x14ac:dyDescent="0.45">
      <c r="A856" s="6">
        <v>10567</v>
      </c>
      <c r="B856" s="3">
        <v>31</v>
      </c>
      <c r="C856" s="3">
        <v>12.5</v>
      </c>
      <c r="D856" s="3">
        <v>60</v>
      </c>
      <c r="E856" s="4">
        <v>0.2</v>
      </c>
      <c r="F856" s="5">
        <f t="shared" si="13"/>
        <v>600</v>
      </c>
    </row>
    <row r="857" spans="1:6" x14ac:dyDescent="0.45">
      <c r="A857" s="6">
        <v>10567</v>
      </c>
      <c r="B857" s="3">
        <v>51</v>
      </c>
      <c r="C857" s="3">
        <v>53</v>
      </c>
      <c r="D857" s="3">
        <v>3</v>
      </c>
      <c r="E857" s="4">
        <v>0</v>
      </c>
      <c r="F857" s="5">
        <f t="shared" si="13"/>
        <v>159</v>
      </c>
    </row>
    <row r="858" spans="1:6" x14ac:dyDescent="0.45">
      <c r="A858" s="6">
        <v>10567</v>
      </c>
      <c r="B858" s="3">
        <v>59</v>
      </c>
      <c r="C858" s="3">
        <v>55</v>
      </c>
      <c r="D858" s="3">
        <v>40</v>
      </c>
      <c r="E858" s="4">
        <v>0.2</v>
      </c>
      <c r="F858" s="5">
        <f t="shared" si="13"/>
        <v>1760</v>
      </c>
    </row>
    <row r="859" spans="1:6" x14ac:dyDescent="0.45">
      <c r="A859" s="6">
        <v>10568</v>
      </c>
      <c r="B859" s="3">
        <v>10</v>
      </c>
      <c r="C859" s="3">
        <v>31</v>
      </c>
      <c r="D859" s="3">
        <v>5</v>
      </c>
      <c r="E859" s="4">
        <v>0</v>
      </c>
      <c r="F859" s="5">
        <f t="shared" si="13"/>
        <v>155</v>
      </c>
    </row>
    <row r="860" spans="1:6" x14ac:dyDescent="0.45">
      <c r="A860" s="6">
        <v>10569</v>
      </c>
      <c r="B860" s="3">
        <v>31</v>
      </c>
      <c r="C860" s="3">
        <v>12.5</v>
      </c>
      <c r="D860" s="3">
        <v>35</v>
      </c>
      <c r="E860" s="4">
        <v>0.2</v>
      </c>
      <c r="F860" s="5">
        <f t="shared" si="13"/>
        <v>350</v>
      </c>
    </row>
    <row r="861" spans="1:6" x14ac:dyDescent="0.45">
      <c r="A861" s="6">
        <v>10569</v>
      </c>
      <c r="B861" s="3">
        <v>76</v>
      </c>
      <c r="C861" s="3">
        <v>18</v>
      </c>
      <c r="D861" s="3">
        <v>30</v>
      </c>
      <c r="E861" s="4">
        <v>0</v>
      </c>
      <c r="F861" s="5">
        <f t="shared" si="13"/>
        <v>540</v>
      </c>
    </row>
    <row r="862" spans="1:6" x14ac:dyDescent="0.45">
      <c r="A862" s="6">
        <v>10570</v>
      </c>
      <c r="B862" s="3">
        <v>11</v>
      </c>
      <c r="C862" s="3">
        <v>21</v>
      </c>
      <c r="D862" s="3">
        <v>15</v>
      </c>
      <c r="E862" s="4">
        <v>0.05</v>
      </c>
      <c r="F862" s="5">
        <f t="shared" si="13"/>
        <v>299.25</v>
      </c>
    </row>
    <row r="863" spans="1:6" x14ac:dyDescent="0.45">
      <c r="A863" s="6">
        <v>10570</v>
      </c>
      <c r="B863" s="3">
        <v>56</v>
      </c>
      <c r="C863" s="3">
        <v>38</v>
      </c>
      <c r="D863" s="3">
        <v>60</v>
      </c>
      <c r="E863" s="4">
        <v>0.05</v>
      </c>
      <c r="F863" s="5">
        <f t="shared" si="13"/>
        <v>2166</v>
      </c>
    </row>
    <row r="864" spans="1:6" x14ac:dyDescent="0.45">
      <c r="A864" s="6">
        <v>10571</v>
      </c>
      <c r="B864" s="3">
        <v>14</v>
      </c>
      <c r="C864" s="3">
        <v>23.25</v>
      </c>
      <c r="D864" s="3">
        <v>11</v>
      </c>
      <c r="E864" s="4">
        <v>0.15</v>
      </c>
      <c r="F864" s="5">
        <f t="shared" si="13"/>
        <v>217.38749999999999</v>
      </c>
    </row>
    <row r="865" spans="1:6" x14ac:dyDescent="0.45">
      <c r="A865" s="6">
        <v>10571</v>
      </c>
      <c r="B865" s="3">
        <v>42</v>
      </c>
      <c r="C865" s="3">
        <v>14</v>
      </c>
      <c r="D865" s="3">
        <v>28</v>
      </c>
      <c r="E865" s="4">
        <v>0.15</v>
      </c>
      <c r="F865" s="5">
        <f t="shared" si="13"/>
        <v>333.2</v>
      </c>
    </row>
    <row r="866" spans="1:6" x14ac:dyDescent="0.45">
      <c r="A866" s="6">
        <v>10572</v>
      </c>
      <c r="B866" s="3">
        <v>16</v>
      </c>
      <c r="C866" s="3">
        <v>17.45</v>
      </c>
      <c r="D866" s="3">
        <v>12</v>
      </c>
      <c r="E866" s="4">
        <v>0.1</v>
      </c>
      <c r="F866" s="5">
        <f t="shared" si="13"/>
        <v>188.45999999999998</v>
      </c>
    </row>
    <row r="867" spans="1:6" x14ac:dyDescent="0.45">
      <c r="A867" s="6">
        <v>10572</v>
      </c>
      <c r="B867" s="3">
        <v>32</v>
      </c>
      <c r="C867" s="3">
        <v>32</v>
      </c>
      <c r="D867" s="3">
        <v>10</v>
      </c>
      <c r="E867" s="4">
        <v>0.1</v>
      </c>
      <c r="F867" s="5">
        <f t="shared" si="13"/>
        <v>288</v>
      </c>
    </row>
    <row r="868" spans="1:6" x14ac:dyDescent="0.45">
      <c r="A868" s="6">
        <v>10572</v>
      </c>
      <c r="B868" s="3">
        <v>40</v>
      </c>
      <c r="C868" s="3">
        <v>18.399999999999999</v>
      </c>
      <c r="D868" s="3">
        <v>50</v>
      </c>
      <c r="E868" s="4">
        <v>0</v>
      </c>
      <c r="F868" s="5">
        <f t="shared" si="13"/>
        <v>919.99999999999989</v>
      </c>
    </row>
    <row r="869" spans="1:6" x14ac:dyDescent="0.45">
      <c r="A869" s="6">
        <v>10572</v>
      </c>
      <c r="B869" s="3">
        <v>75</v>
      </c>
      <c r="C869" s="3">
        <v>7.75</v>
      </c>
      <c r="D869" s="3">
        <v>15</v>
      </c>
      <c r="E869" s="4">
        <v>0.1</v>
      </c>
      <c r="F869" s="5">
        <f t="shared" si="13"/>
        <v>104.625</v>
      </c>
    </row>
    <row r="870" spans="1:6" x14ac:dyDescent="0.45">
      <c r="A870" s="6">
        <v>10573</v>
      </c>
      <c r="B870" s="3">
        <v>17</v>
      </c>
      <c r="C870" s="3">
        <v>39</v>
      </c>
      <c r="D870" s="3">
        <v>18</v>
      </c>
      <c r="E870" s="4">
        <v>0</v>
      </c>
      <c r="F870" s="5">
        <f t="shared" si="13"/>
        <v>702</v>
      </c>
    </row>
    <row r="871" spans="1:6" x14ac:dyDescent="0.45">
      <c r="A871" s="6">
        <v>10573</v>
      </c>
      <c r="B871" s="3">
        <v>34</v>
      </c>
      <c r="C871" s="3">
        <v>14</v>
      </c>
      <c r="D871" s="3">
        <v>40</v>
      </c>
      <c r="E871" s="4">
        <v>0</v>
      </c>
      <c r="F871" s="5">
        <f t="shared" si="13"/>
        <v>560</v>
      </c>
    </row>
    <row r="872" spans="1:6" x14ac:dyDescent="0.45">
      <c r="A872" s="6">
        <v>10573</v>
      </c>
      <c r="B872" s="3">
        <v>53</v>
      </c>
      <c r="C872" s="3">
        <v>32.799999999999997</v>
      </c>
      <c r="D872" s="3">
        <v>25</v>
      </c>
      <c r="E872" s="4">
        <v>0</v>
      </c>
      <c r="F872" s="5">
        <f t="shared" si="13"/>
        <v>819.99999999999989</v>
      </c>
    </row>
    <row r="873" spans="1:6" x14ac:dyDescent="0.45">
      <c r="A873" s="6">
        <v>10574</v>
      </c>
      <c r="B873" s="3">
        <v>33</v>
      </c>
      <c r="C873" s="3">
        <v>2.5</v>
      </c>
      <c r="D873" s="3">
        <v>14</v>
      </c>
      <c r="E873" s="4">
        <v>0</v>
      </c>
      <c r="F873" s="5">
        <f t="shared" si="13"/>
        <v>35</v>
      </c>
    </row>
    <row r="874" spans="1:6" x14ac:dyDescent="0.45">
      <c r="A874" s="6">
        <v>10574</v>
      </c>
      <c r="B874" s="3">
        <v>40</v>
      </c>
      <c r="C874" s="3">
        <v>18.399999999999999</v>
      </c>
      <c r="D874" s="3">
        <v>2</v>
      </c>
      <c r="E874" s="4">
        <v>0</v>
      </c>
      <c r="F874" s="5">
        <f t="shared" si="13"/>
        <v>36.799999999999997</v>
      </c>
    </row>
    <row r="875" spans="1:6" x14ac:dyDescent="0.45">
      <c r="A875" s="6">
        <v>10574</v>
      </c>
      <c r="B875" s="3">
        <v>62</v>
      </c>
      <c r="C875" s="3">
        <v>49.3</v>
      </c>
      <c r="D875" s="3">
        <v>10</v>
      </c>
      <c r="E875" s="4">
        <v>0</v>
      </c>
      <c r="F875" s="5">
        <f t="shared" si="13"/>
        <v>493</v>
      </c>
    </row>
    <row r="876" spans="1:6" x14ac:dyDescent="0.45">
      <c r="A876" s="6">
        <v>10574</v>
      </c>
      <c r="B876" s="3">
        <v>64</v>
      </c>
      <c r="C876" s="3">
        <v>33.25</v>
      </c>
      <c r="D876" s="3">
        <v>6</v>
      </c>
      <c r="E876" s="4">
        <v>0</v>
      </c>
      <c r="F876" s="5">
        <f t="shared" si="13"/>
        <v>199.5</v>
      </c>
    </row>
    <row r="877" spans="1:6" x14ac:dyDescent="0.45">
      <c r="A877" s="6">
        <v>10575</v>
      </c>
      <c r="B877" s="3">
        <v>59</v>
      </c>
      <c r="C877" s="3">
        <v>55</v>
      </c>
      <c r="D877" s="3">
        <v>12</v>
      </c>
      <c r="E877" s="4">
        <v>0</v>
      </c>
      <c r="F877" s="5">
        <f t="shared" si="13"/>
        <v>660</v>
      </c>
    </row>
    <row r="878" spans="1:6" x14ac:dyDescent="0.45">
      <c r="A878" s="6">
        <v>10575</v>
      </c>
      <c r="B878" s="3">
        <v>63</v>
      </c>
      <c r="C878" s="3">
        <v>43.9</v>
      </c>
      <c r="D878" s="3">
        <v>6</v>
      </c>
      <c r="E878" s="4">
        <v>0</v>
      </c>
      <c r="F878" s="5">
        <f t="shared" si="13"/>
        <v>263.39999999999998</v>
      </c>
    </row>
    <row r="879" spans="1:6" x14ac:dyDescent="0.45">
      <c r="A879" s="6">
        <v>10575</v>
      </c>
      <c r="B879" s="3">
        <v>72</v>
      </c>
      <c r="C879" s="3">
        <v>34.799999999999997</v>
      </c>
      <c r="D879" s="3">
        <v>30</v>
      </c>
      <c r="E879" s="4">
        <v>0</v>
      </c>
      <c r="F879" s="5">
        <f t="shared" si="13"/>
        <v>1044</v>
      </c>
    </row>
    <row r="880" spans="1:6" x14ac:dyDescent="0.45">
      <c r="A880" s="6">
        <v>10575</v>
      </c>
      <c r="B880" s="3">
        <v>76</v>
      </c>
      <c r="C880" s="3">
        <v>18</v>
      </c>
      <c r="D880" s="3">
        <v>10</v>
      </c>
      <c r="E880" s="4">
        <v>0</v>
      </c>
      <c r="F880" s="5">
        <f t="shared" si="13"/>
        <v>180</v>
      </c>
    </row>
    <row r="881" spans="1:6" x14ac:dyDescent="0.45">
      <c r="A881" s="6">
        <v>10576</v>
      </c>
      <c r="B881" s="3">
        <v>1</v>
      </c>
      <c r="C881" s="3">
        <v>18</v>
      </c>
      <c r="D881" s="3">
        <v>10</v>
      </c>
      <c r="E881" s="4">
        <v>0</v>
      </c>
      <c r="F881" s="5">
        <f t="shared" si="13"/>
        <v>180</v>
      </c>
    </row>
    <row r="882" spans="1:6" x14ac:dyDescent="0.45">
      <c r="A882" s="6">
        <v>10576</v>
      </c>
      <c r="B882" s="3">
        <v>31</v>
      </c>
      <c r="C882" s="3">
        <v>12.5</v>
      </c>
      <c r="D882" s="3">
        <v>20</v>
      </c>
      <c r="E882" s="4">
        <v>0</v>
      </c>
      <c r="F882" s="5">
        <f t="shared" si="13"/>
        <v>250</v>
      </c>
    </row>
    <row r="883" spans="1:6" x14ac:dyDescent="0.45">
      <c r="A883" s="6">
        <v>10576</v>
      </c>
      <c r="B883" s="3">
        <v>44</v>
      </c>
      <c r="C883" s="3">
        <v>19.45</v>
      </c>
      <c r="D883" s="3">
        <v>21</v>
      </c>
      <c r="E883" s="4">
        <v>0</v>
      </c>
      <c r="F883" s="5">
        <f t="shared" si="13"/>
        <v>408.45</v>
      </c>
    </row>
    <row r="884" spans="1:6" x14ac:dyDescent="0.45">
      <c r="A884" s="6">
        <v>10577</v>
      </c>
      <c r="B884" s="3">
        <v>39</v>
      </c>
      <c r="C884" s="3">
        <v>18</v>
      </c>
      <c r="D884" s="3">
        <v>10</v>
      </c>
      <c r="E884" s="4">
        <v>0</v>
      </c>
      <c r="F884" s="5">
        <f t="shared" si="13"/>
        <v>180</v>
      </c>
    </row>
    <row r="885" spans="1:6" x14ac:dyDescent="0.45">
      <c r="A885" s="6">
        <v>10577</v>
      </c>
      <c r="B885" s="3">
        <v>75</v>
      </c>
      <c r="C885" s="3">
        <v>7.75</v>
      </c>
      <c r="D885" s="3">
        <v>20</v>
      </c>
      <c r="E885" s="4">
        <v>0</v>
      </c>
      <c r="F885" s="5">
        <f t="shared" si="13"/>
        <v>155</v>
      </c>
    </row>
    <row r="886" spans="1:6" x14ac:dyDescent="0.45">
      <c r="A886" s="6">
        <v>10577</v>
      </c>
      <c r="B886" s="3">
        <v>77</v>
      </c>
      <c r="C886" s="3">
        <v>13</v>
      </c>
      <c r="D886" s="3">
        <v>18</v>
      </c>
      <c r="E886" s="4">
        <v>0</v>
      </c>
      <c r="F886" s="5">
        <f t="shared" si="13"/>
        <v>234</v>
      </c>
    </row>
    <row r="887" spans="1:6" x14ac:dyDescent="0.45">
      <c r="A887" s="6">
        <v>10578</v>
      </c>
      <c r="B887" s="3">
        <v>35</v>
      </c>
      <c r="C887" s="3">
        <v>18</v>
      </c>
      <c r="D887" s="3">
        <v>20</v>
      </c>
      <c r="E887" s="4">
        <v>0</v>
      </c>
      <c r="F887" s="5">
        <f t="shared" si="13"/>
        <v>360</v>
      </c>
    </row>
    <row r="888" spans="1:6" x14ac:dyDescent="0.45">
      <c r="A888" s="6">
        <v>10578</v>
      </c>
      <c r="B888" s="3">
        <v>57</v>
      </c>
      <c r="C888" s="3">
        <v>19.5</v>
      </c>
      <c r="D888" s="3">
        <v>6</v>
      </c>
      <c r="E888" s="4">
        <v>0</v>
      </c>
      <c r="F888" s="5">
        <f t="shared" si="13"/>
        <v>117</v>
      </c>
    </row>
    <row r="889" spans="1:6" x14ac:dyDescent="0.45">
      <c r="A889" s="6">
        <v>10579</v>
      </c>
      <c r="B889" s="3">
        <v>15</v>
      </c>
      <c r="C889" s="3">
        <v>15.5</v>
      </c>
      <c r="D889" s="3">
        <v>10</v>
      </c>
      <c r="E889" s="4">
        <v>0</v>
      </c>
      <c r="F889" s="5">
        <f t="shared" si="13"/>
        <v>155</v>
      </c>
    </row>
    <row r="890" spans="1:6" x14ac:dyDescent="0.45">
      <c r="A890" s="6">
        <v>10579</v>
      </c>
      <c r="B890" s="3">
        <v>75</v>
      </c>
      <c r="C890" s="3">
        <v>7.75</v>
      </c>
      <c r="D890" s="3">
        <v>21</v>
      </c>
      <c r="E890" s="4">
        <v>0</v>
      </c>
      <c r="F890" s="5">
        <f t="shared" si="13"/>
        <v>162.75</v>
      </c>
    </row>
    <row r="891" spans="1:6" x14ac:dyDescent="0.45">
      <c r="A891" s="6">
        <v>10580</v>
      </c>
      <c r="B891" s="3">
        <v>14</v>
      </c>
      <c r="C891" s="3">
        <v>23.25</v>
      </c>
      <c r="D891" s="3">
        <v>15</v>
      </c>
      <c r="E891" s="4">
        <v>0.05</v>
      </c>
      <c r="F891" s="5">
        <f t="shared" si="13"/>
        <v>331.3125</v>
      </c>
    </row>
    <row r="892" spans="1:6" x14ac:dyDescent="0.45">
      <c r="A892" s="6">
        <v>10580</v>
      </c>
      <c r="B892" s="3">
        <v>41</v>
      </c>
      <c r="C892" s="3">
        <v>9.65</v>
      </c>
      <c r="D892" s="3">
        <v>9</v>
      </c>
      <c r="E892" s="4">
        <v>0.05</v>
      </c>
      <c r="F892" s="5">
        <f t="shared" si="13"/>
        <v>82.507500000000007</v>
      </c>
    </row>
    <row r="893" spans="1:6" x14ac:dyDescent="0.45">
      <c r="A893" s="6">
        <v>10580</v>
      </c>
      <c r="B893" s="3">
        <v>65</v>
      </c>
      <c r="C893" s="3">
        <v>21.05</v>
      </c>
      <c r="D893" s="3">
        <v>30</v>
      </c>
      <c r="E893" s="4">
        <v>0.05</v>
      </c>
      <c r="F893" s="5">
        <f t="shared" si="13"/>
        <v>599.92499999999995</v>
      </c>
    </row>
    <row r="894" spans="1:6" x14ac:dyDescent="0.45">
      <c r="A894" s="6">
        <v>10581</v>
      </c>
      <c r="B894" s="3">
        <v>75</v>
      </c>
      <c r="C894" s="3">
        <v>7.75</v>
      </c>
      <c r="D894" s="3">
        <v>50</v>
      </c>
      <c r="E894" s="4">
        <v>0.2</v>
      </c>
      <c r="F894" s="5">
        <f t="shared" si="13"/>
        <v>310</v>
      </c>
    </row>
    <row r="895" spans="1:6" x14ac:dyDescent="0.45">
      <c r="A895" s="6">
        <v>10582</v>
      </c>
      <c r="B895" s="3">
        <v>57</v>
      </c>
      <c r="C895" s="3">
        <v>19.5</v>
      </c>
      <c r="D895" s="3">
        <v>4</v>
      </c>
      <c r="E895" s="4">
        <v>0</v>
      </c>
      <c r="F895" s="5">
        <f t="shared" si="13"/>
        <v>78</v>
      </c>
    </row>
    <row r="896" spans="1:6" x14ac:dyDescent="0.45">
      <c r="A896" s="6">
        <v>10582</v>
      </c>
      <c r="B896" s="3">
        <v>76</v>
      </c>
      <c r="C896" s="3">
        <v>18</v>
      </c>
      <c r="D896" s="3">
        <v>14</v>
      </c>
      <c r="E896" s="4">
        <v>0</v>
      </c>
      <c r="F896" s="5">
        <f t="shared" si="13"/>
        <v>252</v>
      </c>
    </row>
    <row r="897" spans="1:6" x14ac:dyDescent="0.45">
      <c r="A897" s="6">
        <v>10583</v>
      </c>
      <c r="B897" s="3">
        <v>29</v>
      </c>
      <c r="C897" s="3">
        <v>123.79</v>
      </c>
      <c r="D897" s="3">
        <v>10</v>
      </c>
      <c r="E897" s="4">
        <v>0</v>
      </c>
      <c r="F897" s="5">
        <f t="shared" si="13"/>
        <v>1237.9000000000001</v>
      </c>
    </row>
    <row r="898" spans="1:6" x14ac:dyDescent="0.45">
      <c r="A898" s="6">
        <v>10583</v>
      </c>
      <c r="B898" s="3">
        <v>60</v>
      </c>
      <c r="C898" s="3">
        <v>34</v>
      </c>
      <c r="D898" s="3">
        <v>24</v>
      </c>
      <c r="E898" s="4">
        <v>0.15</v>
      </c>
      <c r="F898" s="5">
        <f t="shared" ref="F898:F961" si="14">C898*D898*(1-E898)</f>
        <v>693.6</v>
      </c>
    </row>
    <row r="899" spans="1:6" x14ac:dyDescent="0.45">
      <c r="A899" s="6">
        <v>10583</v>
      </c>
      <c r="B899" s="3">
        <v>69</v>
      </c>
      <c r="C899" s="3">
        <v>36</v>
      </c>
      <c r="D899" s="3">
        <v>10</v>
      </c>
      <c r="E899" s="4">
        <v>0.15</v>
      </c>
      <c r="F899" s="5">
        <f t="shared" si="14"/>
        <v>306</v>
      </c>
    </row>
    <row r="900" spans="1:6" x14ac:dyDescent="0.45">
      <c r="A900" s="6">
        <v>10584</v>
      </c>
      <c r="B900" s="3">
        <v>31</v>
      </c>
      <c r="C900" s="3">
        <v>12.5</v>
      </c>
      <c r="D900" s="3">
        <v>50</v>
      </c>
      <c r="E900" s="4">
        <v>0.05</v>
      </c>
      <c r="F900" s="5">
        <f t="shared" si="14"/>
        <v>593.75</v>
      </c>
    </row>
    <row r="901" spans="1:6" x14ac:dyDescent="0.45">
      <c r="A901" s="6">
        <v>10585</v>
      </c>
      <c r="B901" s="3">
        <v>47</v>
      </c>
      <c r="C901" s="3">
        <v>9.5</v>
      </c>
      <c r="D901" s="3">
        <v>15</v>
      </c>
      <c r="E901" s="4">
        <v>0</v>
      </c>
      <c r="F901" s="5">
        <f t="shared" si="14"/>
        <v>142.5</v>
      </c>
    </row>
    <row r="902" spans="1:6" x14ac:dyDescent="0.45">
      <c r="A902" s="6">
        <v>10586</v>
      </c>
      <c r="B902" s="3">
        <v>52</v>
      </c>
      <c r="C902" s="3">
        <v>7</v>
      </c>
      <c r="D902" s="3">
        <v>4</v>
      </c>
      <c r="E902" s="4">
        <v>0.15</v>
      </c>
      <c r="F902" s="5">
        <f t="shared" si="14"/>
        <v>23.8</v>
      </c>
    </row>
    <row r="903" spans="1:6" x14ac:dyDescent="0.45">
      <c r="A903" s="6">
        <v>10587</v>
      </c>
      <c r="B903" s="3">
        <v>26</v>
      </c>
      <c r="C903" s="3">
        <v>31.23</v>
      </c>
      <c r="D903" s="3">
        <v>6</v>
      </c>
      <c r="E903" s="4">
        <v>0</v>
      </c>
      <c r="F903" s="5">
        <f t="shared" si="14"/>
        <v>187.38</v>
      </c>
    </row>
    <row r="904" spans="1:6" x14ac:dyDescent="0.45">
      <c r="A904" s="6">
        <v>10587</v>
      </c>
      <c r="B904" s="3">
        <v>35</v>
      </c>
      <c r="C904" s="3">
        <v>18</v>
      </c>
      <c r="D904" s="3">
        <v>20</v>
      </c>
      <c r="E904" s="4">
        <v>0</v>
      </c>
      <c r="F904" s="5">
        <f t="shared" si="14"/>
        <v>360</v>
      </c>
    </row>
    <row r="905" spans="1:6" x14ac:dyDescent="0.45">
      <c r="A905" s="6">
        <v>10587</v>
      </c>
      <c r="B905" s="3">
        <v>77</v>
      </c>
      <c r="C905" s="3">
        <v>13</v>
      </c>
      <c r="D905" s="3">
        <v>20</v>
      </c>
      <c r="E905" s="4">
        <v>0</v>
      </c>
      <c r="F905" s="5">
        <f t="shared" si="14"/>
        <v>260</v>
      </c>
    </row>
    <row r="906" spans="1:6" x14ac:dyDescent="0.45">
      <c r="A906" s="6">
        <v>10588</v>
      </c>
      <c r="B906" s="3">
        <v>18</v>
      </c>
      <c r="C906" s="3">
        <v>62.5</v>
      </c>
      <c r="D906" s="3">
        <v>40</v>
      </c>
      <c r="E906" s="4">
        <v>0.2</v>
      </c>
      <c r="F906" s="5">
        <f t="shared" si="14"/>
        <v>2000</v>
      </c>
    </row>
    <row r="907" spans="1:6" x14ac:dyDescent="0.45">
      <c r="A907" s="6">
        <v>10588</v>
      </c>
      <c r="B907" s="3">
        <v>42</v>
      </c>
      <c r="C907" s="3">
        <v>14</v>
      </c>
      <c r="D907" s="3">
        <v>100</v>
      </c>
      <c r="E907" s="4">
        <v>0.2</v>
      </c>
      <c r="F907" s="5">
        <f t="shared" si="14"/>
        <v>1120</v>
      </c>
    </row>
    <row r="908" spans="1:6" x14ac:dyDescent="0.45">
      <c r="A908" s="6">
        <v>10589</v>
      </c>
      <c r="B908" s="3">
        <v>35</v>
      </c>
      <c r="C908" s="3">
        <v>18</v>
      </c>
      <c r="D908" s="3">
        <v>4</v>
      </c>
      <c r="E908" s="4">
        <v>0</v>
      </c>
      <c r="F908" s="5">
        <f t="shared" si="14"/>
        <v>72</v>
      </c>
    </row>
    <row r="909" spans="1:6" x14ac:dyDescent="0.45">
      <c r="A909" s="6">
        <v>10590</v>
      </c>
      <c r="B909" s="3">
        <v>1</v>
      </c>
      <c r="C909" s="3">
        <v>18</v>
      </c>
      <c r="D909" s="3">
        <v>20</v>
      </c>
      <c r="E909" s="4">
        <v>0</v>
      </c>
      <c r="F909" s="5">
        <f t="shared" si="14"/>
        <v>360</v>
      </c>
    </row>
    <row r="910" spans="1:6" x14ac:dyDescent="0.45">
      <c r="A910" s="6">
        <v>10590</v>
      </c>
      <c r="B910" s="3">
        <v>77</v>
      </c>
      <c r="C910" s="3">
        <v>13</v>
      </c>
      <c r="D910" s="3">
        <v>60</v>
      </c>
      <c r="E910" s="4">
        <v>0.05</v>
      </c>
      <c r="F910" s="5">
        <f t="shared" si="14"/>
        <v>741</v>
      </c>
    </row>
    <row r="911" spans="1:6" x14ac:dyDescent="0.45">
      <c r="A911" s="6">
        <v>10591</v>
      </c>
      <c r="B911" s="3">
        <v>3</v>
      </c>
      <c r="C911" s="3">
        <v>10</v>
      </c>
      <c r="D911" s="3">
        <v>14</v>
      </c>
      <c r="E911" s="4">
        <v>0</v>
      </c>
      <c r="F911" s="5">
        <f t="shared" si="14"/>
        <v>140</v>
      </c>
    </row>
    <row r="912" spans="1:6" x14ac:dyDescent="0.45">
      <c r="A912" s="6">
        <v>10591</v>
      </c>
      <c r="B912" s="3">
        <v>7</v>
      </c>
      <c r="C912" s="3">
        <v>30</v>
      </c>
      <c r="D912" s="3">
        <v>10</v>
      </c>
      <c r="E912" s="4">
        <v>0</v>
      </c>
      <c r="F912" s="5">
        <f t="shared" si="14"/>
        <v>300</v>
      </c>
    </row>
    <row r="913" spans="1:6" x14ac:dyDescent="0.45">
      <c r="A913" s="6">
        <v>10591</v>
      </c>
      <c r="B913" s="3">
        <v>54</v>
      </c>
      <c r="C913" s="3">
        <v>7.45</v>
      </c>
      <c r="D913" s="3">
        <v>50</v>
      </c>
      <c r="E913" s="4">
        <v>0</v>
      </c>
      <c r="F913" s="5">
        <f t="shared" si="14"/>
        <v>372.5</v>
      </c>
    </row>
    <row r="914" spans="1:6" x14ac:dyDescent="0.45">
      <c r="A914" s="6">
        <v>10592</v>
      </c>
      <c r="B914" s="3">
        <v>15</v>
      </c>
      <c r="C914" s="3">
        <v>15.5</v>
      </c>
      <c r="D914" s="3">
        <v>25</v>
      </c>
      <c r="E914" s="4">
        <v>0.05</v>
      </c>
      <c r="F914" s="5">
        <f t="shared" si="14"/>
        <v>368.125</v>
      </c>
    </row>
    <row r="915" spans="1:6" x14ac:dyDescent="0.45">
      <c r="A915" s="6">
        <v>10592</v>
      </c>
      <c r="B915" s="3">
        <v>26</v>
      </c>
      <c r="C915" s="3">
        <v>31.23</v>
      </c>
      <c r="D915" s="3">
        <v>5</v>
      </c>
      <c r="E915" s="4">
        <v>0.05</v>
      </c>
      <c r="F915" s="5">
        <f t="shared" si="14"/>
        <v>148.3425</v>
      </c>
    </row>
    <row r="916" spans="1:6" x14ac:dyDescent="0.45">
      <c r="A916" s="6">
        <v>10593</v>
      </c>
      <c r="B916" s="3">
        <v>20</v>
      </c>
      <c r="C916" s="3">
        <v>81</v>
      </c>
      <c r="D916" s="3">
        <v>21</v>
      </c>
      <c r="E916" s="4">
        <v>0.2</v>
      </c>
      <c r="F916" s="5">
        <f t="shared" si="14"/>
        <v>1360.8000000000002</v>
      </c>
    </row>
    <row r="917" spans="1:6" x14ac:dyDescent="0.45">
      <c r="A917" s="6">
        <v>10593</v>
      </c>
      <c r="B917" s="3">
        <v>69</v>
      </c>
      <c r="C917" s="3">
        <v>36</v>
      </c>
      <c r="D917" s="3">
        <v>20</v>
      </c>
      <c r="E917" s="4">
        <v>0.2</v>
      </c>
      <c r="F917" s="5">
        <f t="shared" si="14"/>
        <v>576</v>
      </c>
    </row>
    <row r="918" spans="1:6" x14ac:dyDescent="0.45">
      <c r="A918" s="6">
        <v>10593</v>
      </c>
      <c r="B918" s="3">
        <v>76</v>
      </c>
      <c r="C918" s="3">
        <v>18</v>
      </c>
      <c r="D918" s="3">
        <v>4</v>
      </c>
      <c r="E918" s="4">
        <v>0.2</v>
      </c>
      <c r="F918" s="5">
        <f t="shared" si="14"/>
        <v>57.6</v>
      </c>
    </row>
    <row r="919" spans="1:6" x14ac:dyDescent="0.45">
      <c r="A919" s="6">
        <v>10594</v>
      </c>
      <c r="B919" s="3">
        <v>52</v>
      </c>
      <c r="C919" s="3">
        <v>7</v>
      </c>
      <c r="D919" s="3">
        <v>24</v>
      </c>
      <c r="E919" s="4">
        <v>0</v>
      </c>
      <c r="F919" s="5">
        <f t="shared" si="14"/>
        <v>168</v>
      </c>
    </row>
    <row r="920" spans="1:6" x14ac:dyDescent="0.45">
      <c r="A920" s="6">
        <v>10594</v>
      </c>
      <c r="B920" s="3">
        <v>58</v>
      </c>
      <c r="C920" s="3">
        <v>13.25</v>
      </c>
      <c r="D920" s="3">
        <v>30</v>
      </c>
      <c r="E920" s="4">
        <v>0</v>
      </c>
      <c r="F920" s="5">
        <f t="shared" si="14"/>
        <v>397.5</v>
      </c>
    </row>
    <row r="921" spans="1:6" x14ac:dyDescent="0.45">
      <c r="A921" s="6">
        <v>10595</v>
      </c>
      <c r="B921" s="3">
        <v>35</v>
      </c>
      <c r="C921" s="3">
        <v>18</v>
      </c>
      <c r="D921" s="3">
        <v>30</v>
      </c>
      <c r="E921" s="4">
        <v>0.25</v>
      </c>
      <c r="F921" s="5">
        <f t="shared" si="14"/>
        <v>405</v>
      </c>
    </row>
    <row r="922" spans="1:6" x14ac:dyDescent="0.45">
      <c r="A922" s="6">
        <v>10595</v>
      </c>
      <c r="B922" s="3">
        <v>61</v>
      </c>
      <c r="C922" s="3">
        <v>28.5</v>
      </c>
      <c r="D922" s="3">
        <v>120</v>
      </c>
      <c r="E922" s="4">
        <v>0.25</v>
      </c>
      <c r="F922" s="5">
        <f t="shared" si="14"/>
        <v>2565</v>
      </c>
    </row>
    <row r="923" spans="1:6" x14ac:dyDescent="0.45">
      <c r="A923" s="6">
        <v>10595</v>
      </c>
      <c r="B923" s="3">
        <v>69</v>
      </c>
      <c r="C923" s="3">
        <v>36</v>
      </c>
      <c r="D923" s="3">
        <v>65</v>
      </c>
      <c r="E923" s="4">
        <v>0.25</v>
      </c>
      <c r="F923" s="5">
        <f t="shared" si="14"/>
        <v>1755</v>
      </c>
    </row>
    <row r="924" spans="1:6" x14ac:dyDescent="0.45">
      <c r="A924" s="6">
        <v>10596</v>
      </c>
      <c r="B924" s="3">
        <v>56</v>
      </c>
      <c r="C924" s="3">
        <v>38</v>
      </c>
      <c r="D924" s="3">
        <v>5</v>
      </c>
      <c r="E924" s="4">
        <v>0.2</v>
      </c>
      <c r="F924" s="5">
        <f t="shared" si="14"/>
        <v>152</v>
      </c>
    </row>
    <row r="925" spans="1:6" x14ac:dyDescent="0.45">
      <c r="A925" s="6">
        <v>10596</v>
      </c>
      <c r="B925" s="3">
        <v>63</v>
      </c>
      <c r="C925" s="3">
        <v>43.9</v>
      </c>
      <c r="D925" s="3">
        <v>24</v>
      </c>
      <c r="E925" s="4">
        <v>0.2</v>
      </c>
      <c r="F925" s="5">
        <f t="shared" si="14"/>
        <v>842.88</v>
      </c>
    </row>
    <row r="926" spans="1:6" x14ac:dyDescent="0.45">
      <c r="A926" s="6">
        <v>10596</v>
      </c>
      <c r="B926" s="3">
        <v>75</v>
      </c>
      <c r="C926" s="3">
        <v>7.75</v>
      </c>
      <c r="D926" s="3">
        <v>30</v>
      </c>
      <c r="E926" s="4">
        <v>0.2</v>
      </c>
      <c r="F926" s="5">
        <f t="shared" si="14"/>
        <v>186</v>
      </c>
    </row>
    <row r="927" spans="1:6" x14ac:dyDescent="0.45">
      <c r="A927" s="6">
        <v>10597</v>
      </c>
      <c r="B927" s="3">
        <v>24</v>
      </c>
      <c r="C927" s="3">
        <v>4.5</v>
      </c>
      <c r="D927" s="3">
        <v>35</v>
      </c>
      <c r="E927" s="4">
        <v>0.2</v>
      </c>
      <c r="F927" s="5">
        <f t="shared" si="14"/>
        <v>126</v>
      </c>
    </row>
    <row r="928" spans="1:6" x14ac:dyDescent="0.45">
      <c r="A928" s="6">
        <v>10597</v>
      </c>
      <c r="B928" s="3">
        <v>57</v>
      </c>
      <c r="C928" s="3">
        <v>19.5</v>
      </c>
      <c r="D928" s="3">
        <v>20</v>
      </c>
      <c r="E928" s="4">
        <v>0</v>
      </c>
      <c r="F928" s="5">
        <f t="shared" si="14"/>
        <v>390</v>
      </c>
    </row>
    <row r="929" spans="1:6" x14ac:dyDescent="0.45">
      <c r="A929" s="6">
        <v>10597</v>
      </c>
      <c r="B929" s="3">
        <v>65</v>
      </c>
      <c r="C929" s="3">
        <v>21.05</v>
      </c>
      <c r="D929" s="3">
        <v>12</v>
      </c>
      <c r="E929" s="4">
        <v>0.2</v>
      </c>
      <c r="F929" s="5">
        <f t="shared" si="14"/>
        <v>202.08000000000004</v>
      </c>
    </row>
    <row r="930" spans="1:6" x14ac:dyDescent="0.45">
      <c r="A930" s="6">
        <v>10598</v>
      </c>
      <c r="B930" s="3">
        <v>27</v>
      </c>
      <c r="C930" s="3">
        <v>43.9</v>
      </c>
      <c r="D930" s="3">
        <v>50</v>
      </c>
      <c r="E930" s="4">
        <v>0</v>
      </c>
      <c r="F930" s="5">
        <f t="shared" si="14"/>
        <v>2195</v>
      </c>
    </row>
    <row r="931" spans="1:6" x14ac:dyDescent="0.45">
      <c r="A931" s="6">
        <v>10598</v>
      </c>
      <c r="B931" s="3">
        <v>71</v>
      </c>
      <c r="C931" s="3">
        <v>21.5</v>
      </c>
      <c r="D931" s="3">
        <v>9</v>
      </c>
      <c r="E931" s="4">
        <v>0</v>
      </c>
      <c r="F931" s="5">
        <f t="shared" si="14"/>
        <v>193.5</v>
      </c>
    </row>
    <row r="932" spans="1:6" x14ac:dyDescent="0.45">
      <c r="A932" s="6">
        <v>10599</v>
      </c>
      <c r="B932" s="3">
        <v>62</v>
      </c>
      <c r="C932" s="3">
        <v>49.3</v>
      </c>
      <c r="D932" s="3">
        <v>10</v>
      </c>
      <c r="E932" s="4">
        <v>0</v>
      </c>
      <c r="F932" s="5">
        <f t="shared" si="14"/>
        <v>493</v>
      </c>
    </row>
    <row r="933" spans="1:6" x14ac:dyDescent="0.45">
      <c r="A933" s="6">
        <v>10600</v>
      </c>
      <c r="B933" s="3">
        <v>54</v>
      </c>
      <c r="C933" s="3">
        <v>7.45</v>
      </c>
      <c r="D933" s="3">
        <v>4</v>
      </c>
      <c r="E933" s="4">
        <v>0</v>
      </c>
      <c r="F933" s="5">
        <f t="shared" si="14"/>
        <v>29.8</v>
      </c>
    </row>
    <row r="934" spans="1:6" x14ac:dyDescent="0.45">
      <c r="A934" s="6">
        <v>10600</v>
      </c>
      <c r="B934" s="3">
        <v>73</v>
      </c>
      <c r="C934" s="3">
        <v>15</v>
      </c>
      <c r="D934" s="3">
        <v>30</v>
      </c>
      <c r="E934" s="4">
        <v>0</v>
      </c>
      <c r="F934" s="5">
        <f t="shared" si="14"/>
        <v>450</v>
      </c>
    </row>
    <row r="935" spans="1:6" x14ac:dyDescent="0.45">
      <c r="A935" s="6">
        <v>10601</v>
      </c>
      <c r="B935" s="3">
        <v>13</v>
      </c>
      <c r="C935" s="3">
        <v>6</v>
      </c>
      <c r="D935" s="3">
        <v>60</v>
      </c>
      <c r="E935" s="4">
        <v>0</v>
      </c>
      <c r="F935" s="5">
        <f t="shared" si="14"/>
        <v>360</v>
      </c>
    </row>
    <row r="936" spans="1:6" x14ac:dyDescent="0.45">
      <c r="A936" s="6">
        <v>10601</v>
      </c>
      <c r="B936" s="3">
        <v>59</v>
      </c>
      <c r="C936" s="3">
        <v>55</v>
      </c>
      <c r="D936" s="3">
        <v>35</v>
      </c>
      <c r="E936" s="4">
        <v>0</v>
      </c>
      <c r="F936" s="5">
        <f t="shared" si="14"/>
        <v>1925</v>
      </c>
    </row>
    <row r="937" spans="1:6" x14ac:dyDescent="0.45">
      <c r="A937" s="6">
        <v>10602</v>
      </c>
      <c r="B937" s="3">
        <v>77</v>
      </c>
      <c r="C937" s="3">
        <v>13</v>
      </c>
      <c r="D937" s="3">
        <v>5</v>
      </c>
      <c r="E937" s="4">
        <v>0.25</v>
      </c>
      <c r="F937" s="5">
        <f t="shared" si="14"/>
        <v>48.75</v>
      </c>
    </row>
    <row r="938" spans="1:6" x14ac:dyDescent="0.45">
      <c r="A938" s="6">
        <v>10603</v>
      </c>
      <c r="B938" s="3">
        <v>22</v>
      </c>
      <c r="C938" s="3">
        <v>21</v>
      </c>
      <c r="D938" s="3">
        <v>48</v>
      </c>
      <c r="E938" s="4">
        <v>0</v>
      </c>
      <c r="F938" s="5">
        <f t="shared" si="14"/>
        <v>1008</v>
      </c>
    </row>
    <row r="939" spans="1:6" x14ac:dyDescent="0.45">
      <c r="A939" s="6">
        <v>10603</v>
      </c>
      <c r="B939" s="3">
        <v>49</v>
      </c>
      <c r="C939" s="3">
        <v>20</v>
      </c>
      <c r="D939" s="3">
        <v>25</v>
      </c>
      <c r="E939" s="4">
        <v>0.05</v>
      </c>
      <c r="F939" s="5">
        <f t="shared" si="14"/>
        <v>475</v>
      </c>
    </row>
    <row r="940" spans="1:6" x14ac:dyDescent="0.45">
      <c r="A940" s="6">
        <v>10604</v>
      </c>
      <c r="B940" s="3">
        <v>48</v>
      </c>
      <c r="C940" s="3">
        <v>12.75</v>
      </c>
      <c r="D940" s="3">
        <v>6</v>
      </c>
      <c r="E940" s="4">
        <v>0.1</v>
      </c>
      <c r="F940" s="5">
        <f t="shared" si="14"/>
        <v>68.850000000000009</v>
      </c>
    </row>
    <row r="941" spans="1:6" x14ac:dyDescent="0.45">
      <c r="A941" s="6">
        <v>10604</v>
      </c>
      <c r="B941" s="3">
        <v>76</v>
      </c>
      <c r="C941" s="3">
        <v>18</v>
      </c>
      <c r="D941" s="3">
        <v>10</v>
      </c>
      <c r="E941" s="4">
        <v>0.1</v>
      </c>
      <c r="F941" s="5">
        <f t="shared" si="14"/>
        <v>162</v>
      </c>
    </row>
    <row r="942" spans="1:6" x14ac:dyDescent="0.45">
      <c r="A942" s="6">
        <v>10605</v>
      </c>
      <c r="B942" s="3">
        <v>16</v>
      </c>
      <c r="C942" s="3">
        <v>17.45</v>
      </c>
      <c r="D942" s="3">
        <v>30</v>
      </c>
      <c r="E942" s="4">
        <v>0.05</v>
      </c>
      <c r="F942" s="5">
        <f t="shared" si="14"/>
        <v>497.32499999999999</v>
      </c>
    </row>
    <row r="943" spans="1:6" x14ac:dyDescent="0.45">
      <c r="A943" s="6">
        <v>10605</v>
      </c>
      <c r="B943" s="3">
        <v>59</v>
      </c>
      <c r="C943" s="3">
        <v>55</v>
      </c>
      <c r="D943" s="3">
        <v>20</v>
      </c>
      <c r="E943" s="4">
        <v>0.05</v>
      </c>
      <c r="F943" s="5">
        <f t="shared" si="14"/>
        <v>1045</v>
      </c>
    </row>
    <row r="944" spans="1:6" x14ac:dyDescent="0.45">
      <c r="A944" s="6">
        <v>10605</v>
      </c>
      <c r="B944" s="3">
        <v>60</v>
      </c>
      <c r="C944" s="3">
        <v>34</v>
      </c>
      <c r="D944" s="3">
        <v>70</v>
      </c>
      <c r="E944" s="4">
        <v>0.05</v>
      </c>
      <c r="F944" s="5">
        <f t="shared" si="14"/>
        <v>2261</v>
      </c>
    </row>
    <row r="945" spans="1:6" x14ac:dyDescent="0.45">
      <c r="A945" s="6">
        <v>10605</v>
      </c>
      <c r="B945" s="3">
        <v>71</v>
      </c>
      <c r="C945" s="3">
        <v>21.5</v>
      </c>
      <c r="D945" s="3">
        <v>15</v>
      </c>
      <c r="E945" s="4">
        <v>0.05</v>
      </c>
      <c r="F945" s="5">
        <f t="shared" si="14"/>
        <v>306.375</v>
      </c>
    </row>
    <row r="946" spans="1:6" x14ac:dyDescent="0.45">
      <c r="A946" s="6">
        <v>10606</v>
      </c>
      <c r="B946" s="3">
        <v>4</v>
      </c>
      <c r="C946" s="3">
        <v>22</v>
      </c>
      <c r="D946" s="3">
        <v>20</v>
      </c>
      <c r="E946" s="4">
        <v>0.2</v>
      </c>
      <c r="F946" s="5">
        <f t="shared" si="14"/>
        <v>352</v>
      </c>
    </row>
    <row r="947" spans="1:6" x14ac:dyDescent="0.45">
      <c r="A947" s="6">
        <v>10606</v>
      </c>
      <c r="B947" s="3">
        <v>55</v>
      </c>
      <c r="C947" s="3">
        <v>24</v>
      </c>
      <c r="D947" s="3">
        <v>20</v>
      </c>
      <c r="E947" s="4">
        <v>0.2</v>
      </c>
      <c r="F947" s="5">
        <f t="shared" si="14"/>
        <v>384</v>
      </c>
    </row>
    <row r="948" spans="1:6" x14ac:dyDescent="0.45">
      <c r="A948" s="6">
        <v>10606</v>
      </c>
      <c r="B948" s="3">
        <v>62</v>
      </c>
      <c r="C948" s="3">
        <v>49.3</v>
      </c>
      <c r="D948" s="3">
        <v>10</v>
      </c>
      <c r="E948" s="4">
        <v>0.2</v>
      </c>
      <c r="F948" s="5">
        <f t="shared" si="14"/>
        <v>394.40000000000003</v>
      </c>
    </row>
    <row r="949" spans="1:6" x14ac:dyDescent="0.45">
      <c r="A949" s="6">
        <v>10607</v>
      </c>
      <c r="B949" s="3">
        <v>7</v>
      </c>
      <c r="C949" s="3">
        <v>30</v>
      </c>
      <c r="D949" s="3">
        <v>45</v>
      </c>
      <c r="E949" s="4">
        <v>0</v>
      </c>
      <c r="F949" s="5">
        <f t="shared" si="14"/>
        <v>1350</v>
      </c>
    </row>
    <row r="950" spans="1:6" x14ac:dyDescent="0.45">
      <c r="A950" s="6">
        <v>10607</v>
      </c>
      <c r="B950" s="3">
        <v>17</v>
      </c>
      <c r="C950" s="3">
        <v>39</v>
      </c>
      <c r="D950" s="3">
        <v>100</v>
      </c>
      <c r="E950" s="4">
        <v>0</v>
      </c>
      <c r="F950" s="5">
        <f t="shared" si="14"/>
        <v>3900</v>
      </c>
    </row>
    <row r="951" spans="1:6" x14ac:dyDescent="0.45">
      <c r="A951" s="6">
        <v>10607</v>
      </c>
      <c r="B951" s="3">
        <v>33</v>
      </c>
      <c r="C951" s="3">
        <v>2.5</v>
      </c>
      <c r="D951" s="3">
        <v>14</v>
      </c>
      <c r="E951" s="4">
        <v>0</v>
      </c>
      <c r="F951" s="5">
        <f t="shared" si="14"/>
        <v>35</v>
      </c>
    </row>
    <row r="952" spans="1:6" x14ac:dyDescent="0.45">
      <c r="A952" s="6">
        <v>10607</v>
      </c>
      <c r="B952" s="3">
        <v>40</v>
      </c>
      <c r="C952" s="3">
        <v>18.399999999999999</v>
      </c>
      <c r="D952" s="3">
        <v>42</v>
      </c>
      <c r="E952" s="4">
        <v>0</v>
      </c>
      <c r="F952" s="5">
        <f t="shared" si="14"/>
        <v>772.8</v>
      </c>
    </row>
    <row r="953" spans="1:6" x14ac:dyDescent="0.45">
      <c r="A953" s="6">
        <v>10607</v>
      </c>
      <c r="B953" s="3">
        <v>72</v>
      </c>
      <c r="C953" s="3">
        <v>34.799999999999997</v>
      </c>
      <c r="D953" s="3">
        <v>12</v>
      </c>
      <c r="E953" s="4">
        <v>0</v>
      </c>
      <c r="F953" s="5">
        <f t="shared" si="14"/>
        <v>417.59999999999997</v>
      </c>
    </row>
    <row r="954" spans="1:6" x14ac:dyDescent="0.45">
      <c r="A954" s="6">
        <v>10608</v>
      </c>
      <c r="B954" s="3">
        <v>56</v>
      </c>
      <c r="C954" s="3">
        <v>38</v>
      </c>
      <c r="D954" s="3">
        <v>28</v>
      </c>
      <c r="E954" s="4">
        <v>0</v>
      </c>
      <c r="F954" s="5">
        <f t="shared" si="14"/>
        <v>1064</v>
      </c>
    </row>
    <row r="955" spans="1:6" x14ac:dyDescent="0.45">
      <c r="A955" s="6">
        <v>10609</v>
      </c>
      <c r="B955" s="3">
        <v>1</v>
      </c>
      <c r="C955" s="3">
        <v>18</v>
      </c>
      <c r="D955" s="3">
        <v>3</v>
      </c>
      <c r="E955" s="4">
        <v>0</v>
      </c>
      <c r="F955" s="5">
        <f t="shared" si="14"/>
        <v>54</v>
      </c>
    </row>
    <row r="956" spans="1:6" x14ac:dyDescent="0.45">
      <c r="A956" s="6">
        <v>10609</v>
      </c>
      <c r="B956" s="3">
        <v>10</v>
      </c>
      <c r="C956" s="3">
        <v>31</v>
      </c>
      <c r="D956" s="3">
        <v>10</v>
      </c>
      <c r="E956" s="4">
        <v>0</v>
      </c>
      <c r="F956" s="5">
        <f t="shared" si="14"/>
        <v>310</v>
      </c>
    </row>
    <row r="957" spans="1:6" x14ac:dyDescent="0.45">
      <c r="A957" s="6">
        <v>10609</v>
      </c>
      <c r="B957" s="3">
        <v>21</v>
      </c>
      <c r="C957" s="3">
        <v>10</v>
      </c>
      <c r="D957" s="3">
        <v>6</v>
      </c>
      <c r="E957" s="4">
        <v>0</v>
      </c>
      <c r="F957" s="5">
        <f t="shared" si="14"/>
        <v>60</v>
      </c>
    </row>
    <row r="958" spans="1:6" x14ac:dyDescent="0.45">
      <c r="A958" s="6">
        <v>10610</v>
      </c>
      <c r="B958" s="3">
        <v>36</v>
      </c>
      <c r="C958" s="3">
        <v>19</v>
      </c>
      <c r="D958" s="3">
        <v>21</v>
      </c>
      <c r="E958" s="4">
        <v>0.25</v>
      </c>
      <c r="F958" s="5">
        <f t="shared" si="14"/>
        <v>299.25</v>
      </c>
    </row>
    <row r="959" spans="1:6" x14ac:dyDescent="0.45">
      <c r="A959" s="6">
        <v>10611</v>
      </c>
      <c r="B959" s="3">
        <v>1</v>
      </c>
      <c r="C959" s="3">
        <v>18</v>
      </c>
      <c r="D959" s="3">
        <v>6</v>
      </c>
      <c r="E959" s="4">
        <v>0</v>
      </c>
      <c r="F959" s="5">
        <f t="shared" si="14"/>
        <v>108</v>
      </c>
    </row>
    <row r="960" spans="1:6" x14ac:dyDescent="0.45">
      <c r="A960" s="6">
        <v>10611</v>
      </c>
      <c r="B960" s="3">
        <v>2</v>
      </c>
      <c r="C960" s="3">
        <v>19</v>
      </c>
      <c r="D960" s="3">
        <v>10</v>
      </c>
      <c r="E960" s="4">
        <v>0</v>
      </c>
      <c r="F960" s="5">
        <f t="shared" si="14"/>
        <v>190</v>
      </c>
    </row>
    <row r="961" spans="1:6" x14ac:dyDescent="0.45">
      <c r="A961" s="6">
        <v>10611</v>
      </c>
      <c r="B961" s="3">
        <v>60</v>
      </c>
      <c r="C961" s="3">
        <v>34</v>
      </c>
      <c r="D961" s="3">
        <v>15</v>
      </c>
      <c r="E961" s="4">
        <v>0</v>
      </c>
      <c r="F961" s="5">
        <f t="shared" si="14"/>
        <v>510</v>
      </c>
    </row>
    <row r="962" spans="1:6" x14ac:dyDescent="0.45">
      <c r="A962" s="6">
        <v>10612</v>
      </c>
      <c r="B962" s="3">
        <v>10</v>
      </c>
      <c r="C962" s="3">
        <v>31</v>
      </c>
      <c r="D962" s="3">
        <v>70</v>
      </c>
      <c r="E962" s="4">
        <v>0</v>
      </c>
      <c r="F962" s="5">
        <f t="shared" ref="F962:F1025" si="15">C962*D962*(1-E962)</f>
        <v>2170</v>
      </c>
    </row>
    <row r="963" spans="1:6" x14ac:dyDescent="0.45">
      <c r="A963" s="6">
        <v>10612</v>
      </c>
      <c r="B963" s="3">
        <v>36</v>
      </c>
      <c r="C963" s="3">
        <v>19</v>
      </c>
      <c r="D963" s="3">
        <v>55</v>
      </c>
      <c r="E963" s="4">
        <v>0</v>
      </c>
      <c r="F963" s="5">
        <f t="shared" si="15"/>
        <v>1045</v>
      </c>
    </row>
    <row r="964" spans="1:6" x14ac:dyDescent="0.45">
      <c r="A964" s="6">
        <v>10612</v>
      </c>
      <c r="B964" s="3">
        <v>49</v>
      </c>
      <c r="C964" s="3">
        <v>20</v>
      </c>
      <c r="D964" s="3">
        <v>18</v>
      </c>
      <c r="E964" s="4">
        <v>0</v>
      </c>
      <c r="F964" s="5">
        <f t="shared" si="15"/>
        <v>360</v>
      </c>
    </row>
    <row r="965" spans="1:6" x14ac:dyDescent="0.45">
      <c r="A965" s="6">
        <v>10612</v>
      </c>
      <c r="B965" s="3">
        <v>60</v>
      </c>
      <c r="C965" s="3">
        <v>34</v>
      </c>
      <c r="D965" s="3">
        <v>40</v>
      </c>
      <c r="E965" s="4">
        <v>0</v>
      </c>
      <c r="F965" s="5">
        <f t="shared" si="15"/>
        <v>1360</v>
      </c>
    </row>
    <row r="966" spans="1:6" x14ac:dyDescent="0.45">
      <c r="A966" s="6">
        <v>10612</v>
      </c>
      <c r="B966" s="3">
        <v>76</v>
      </c>
      <c r="C966" s="3">
        <v>18</v>
      </c>
      <c r="D966" s="3">
        <v>80</v>
      </c>
      <c r="E966" s="4">
        <v>0</v>
      </c>
      <c r="F966" s="5">
        <f t="shared" si="15"/>
        <v>1440</v>
      </c>
    </row>
    <row r="967" spans="1:6" x14ac:dyDescent="0.45">
      <c r="A967" s="6">
        <v>10613</v>
      </c>
      <c r="B967" s="3">
        <v>13</v>
      </c>
      <c r="C967" s="3">
        <v>6</v>
      </c>
      <c r="D967" s="3">
        <v>8</v>
      </c>
      <c r="E967" s="4">
        <v>0.1</v>
      </c>
      <c r="F967" s="5">
        <f t="shared" si="15"/>
        <v>43.2</v>
      </c>
    </row>
    <row r="968" spans="1:6" x14ac:dyDescent="0.45">
      <c r="A968" s="6">
        <v>10613</v>
      </c>
      <c r="B968" s="3">
        <v>75</v>
      </c>
      <c r="C968" s="3">
        <v>7.75</v>
      </c>
      <c r="D968" s="3">
        <v>40</v>
      </c>
      <c r="E968" s="4">
        <v>0</v>
      </c>
      <c r="F968" s="5">
        <f t="shared" si="15"/>
        <v>310</v>
      </c>
    </row>
    <row r="969" spans="1:6" x14ac:dyDescent="0.45">
      <c r="A969" s="6">
        <v>10614</v>
      </c>
      <c r="B969" s="3">
        <v>11</v>
      </c>
      <c r="C969" s="3">
        <v>21</v>
      </c>
      <c r="D969" s="3">
        <v>14</v>
      </c>
      <c r="E969" s="4">
        <v>0</v>
      </c>
      <c r="F969" s="5">
        <f t="shared" si="15"/>
        <v>294</v>
      </c>
    </row>
    <row r="970" spans="1:6" x14ac:dyDescent="0.45">
      <c r="A970" s="6">
        <v>10614</v>
      </c>
      <c r="B970" s="3">
        <v>21</v>
      </c>
      <c r="C970" s="3">
        <v>10</v>
      </c>
      <c r="D970" s="3">
        <v>8</v>
      </c>
      <c r="E970" s="4">
        <v>0</v>
      </c>
      <c r="F970" s="5">
        <f t="shared" si="15"/>
        <v>80</v>
      </c>
    </row>
    <row r="971" spans="1:6" x14ac:dyDescent="0.45">
      <c r="A971" s="6">
        <v>10614</v>
      </c>
      <c r="B971" s="3">
        <v>39</v>
      </c>
      <c r="C971" s="3">
        <v>18</v>
      </c>
      <c r="D971" s="3">
        <v>5</v>
      </c>
      <c r="E971" s="4">
        <v>0</v>
      </c>
      <c r="F971" s="5">
        <f t="shared" si="15"/>
        <v>90</v>
      </c>
    </row>
    <row r="972" spans="1:6" x14ac:dyDescent="0.45">
      <c r="A972" s="6">
        <v>10615</v>
      </c>
      <c r="B972" s="3">
        <v>55</v>
      </c>
      <c r="C972" s="3">
        <v>24</v>
      </c>
      <c r="D972" s="3">
        <v>5</v>
      </c>
      <c r="E972" s="4">
        <v>0</v>
      </c>
      <c r="F972" s="5">
        <f t="shared" si="15"/>
        <v>120</v>
      </c>
    </row>
    <row r="973" spans="1:6" x14ac:dyDescent="0.45">
      <c r="A973" s="6">
        <v>10616</v>
      </c>
      <c r="B973" s="3">
        <v>38</v>
      </c>
      <c r="C973" s="3">
        <v>263.5</v>
      </c>
      <c r="D973" s="3">
        <v>15</v>
      </c>
      <c r="E973" s="4">
        <v>0.05</v>
      </c>
      <c r="F973" s="5">
        <f t="shared" si="15"/>
        <v>3754.875</v>
      </c>
    </row>
    <row r="974" spans="1:6" x14ac:dyDescent="0.45">
      <c r="A974" s="6">
        <v>10616</v>
      </c>
      <c r="B974" s="3">
        <v>56</v>
      </c>
      <c r="C974" s="3">
        <v>38</v>
      </c>
      <c r="D974" s="3">
        <v>14</v>
      </c>
      <c r="E974" s="4">
        <v>0</v>
      </c>
      <c r="F974" s="5">
        <f t="shared" si="15"/>
        <v>532</v>
      </c>
    </row>
    <row r="975" spans="1:6" x14ac:dyDescent="0.45">
      <c r="A975" s="6">
        <v>10616</v>
      </c>
      <c r="B975" s="3">
        <v>70</v>
      </c>
      <c r="C975" s="3">
        <v>15</v>
      </c>
      <c r="D975" s="3">
        <v>15</v>
      </c>
      <c r="E975" s="4">
        <v>0.05</v>
      </c>
      <c r="F975" s="5">
        <f t="shared" si="15"/>
        <v>213.75</v>
      </c>
    </row>
    <row r="976" spans="1:6" x14ac:dyDescent="0.45">
      <c r="A976" s="6">
        <v>10616</v>
      </c>
      <c r="B976" s="3">
        <v>71</v>
      </c>
      <c r="C976" s="3">
        <v>21.5</v>
      </c>
      <c r="D976" s="3">
        <v>15</v>
      </c>
      <c r="E976" s="4">
        <v>0.05</v>
      </c>
      <c r="F976" s="5">
        <f t="shared" si="15"/>
        <v>306.375</v>
      </c>
    </row>
    <row r="977" spans="1:6" x14ac:dyDescent="0.45">
      <c r="A977" s="6">
        <v>10617</v>
      </c>
      <c r="B977" s="3">
        <v>59</v>
      </c>
      <c r="C977" s="3">
        <v>55</v>
      </c>
      <c r="D977" s="3">
        <v>30</v>
      </c>
      <c r="E977" s="4">
        <v>0.15</v>
      </c>
      <c r="F977" s="5">
        <f t="shared" si="15"/>
        <v>1402.5</v>
      </c>
    </row>
    <row r="978" spans="1:6" x14ac:dyDescent="0.45">
      <c r="A978" s="6">
        <v>10618</v>
      </c>
      <c r="B978" s="3">
        <v>6</v>
      </c>
      <c r="C978" s="3">
        <v>25</v>
      </c>
      <c r="D978" s="3">
        <v>70</v>
      </c>
      <c r="E978" s="4">
        <v>0</v>
      </c>
      <c r="F978" s="5">
        <f t="shared" si="15"/>
        <v>1750</v>
      </c>
    </row>
    <row r="979" spans="1:6" x14ac:dyDescent="0.45">
      <c r="A979" s="6">
        <v>10618</v>
      </c>
      <c r="B979" s="3">
        <v>56</v>
      </c>
      <c r="C979" s="3">
        <v>38</v>
      </c>
      <c r="D979" s="3">
        <v>20</v>
      </c>
      <c r="E979" s="4">
        <v>0</v>
      </c>
      <c r="F979" s="5">
        <f t="shared" si="15"/>
        <v>760</v>
      </c>
    </row>
    <row r="980" spans="1:6" x14ac:dyDescent="0.45">
      <c r="A980" s="6">
        <v>10618</v>
      </c>
      <c r="B980" s="3">
        <v>68</v>
      </c>
      <c r="C980" s="3">
        <v>12.5</v>
      </c>
      <c r="D980" s="3">
        <v>15</v>
      </c>
      <c r="E980" s="4">
        <v>0</v>
      </c>
      <c r="F980" s="5">
        <f t="shared" si="15"/>
        <v>187.5</v>
      </c>
    </row>
    <row r="981" spans="1:6" x14ac:dyDescent="0.45">
      <c r="A981" s="6">
        <v>10619</v>
      </c>
      <c r="B981" s="3">
        <v>21</v>
      </c>
      <c r="C981" s="3">
        <v>10</v>
      </c>
      <c r="D981" s="3">
        <v>42</v>
      </c>
      <c r="E981" s="4">
        <v>0</v>
      </c>
      <c r="F981" s="5">
        <f t="shared" si="15"/>
        <v>420</v>
      </c>
    </row>
    <row r="982" spans="1:6" x14ac:dyDescent="0.45">
      <c r="A982" s="6">
        <v>10619</v>
      </c>
      <c r="B982" s="3">
        <v>22</v>
      </c>
      <c r="C982" s="3">
        <v>21</v>
      </c>
      <c r="D982" s="3">
        <v>40</v>
      </c>
      <c r="E982" s="4">
        <v>0</v>
      </c>
      <c r="F982" s="5">
        <f t="shared" si="15"/>
        <v>840</v>
      </c>
    </row>
    <row r="983" spans="1:6" x14ac:dyDescent="0.45">
      <c r="A983" s="6">
        <v>10620</v>
      </c>
      <c r="B983" s="3">
        <v>24</v>
      </c>
      <c r="C983" s="3">
        <v>4.5</v>
      </c>
      <c r="D983" s="3">
        <v>5</v>
      </c>
      <c r="E983" s="4">
        <v>0</v>
      </c>
      <c r="F983" s="5">
        <f t="shared" si="15"/>
        <v>22.5</v>
      </c>
    </row>
    <row r="984" spans="1:6" x14ac:dyDescent="0.45">
      <c r="A984" s="6">
        <v>10620</v>
      </c>
      <c r="B984" s="3">
        <v>52</v>
      </c>
      <c r="C984" s="3">
        <v>7</v>
      </c>
      <c r="D984" s="3">
        <v>5</v>
      </c>
      <c r="E984" s="4">
        <v>0</v>
      </c>
      <c r="F984" s="5">
        <f t="shared" si="15"/>
        <v>35</v>
      </c>
    </row>
    <row r="985" spans="1:6" x14ac:dyDescent="0.45">
      <c r="A985" s="6">
        <v>10621</v>
      </c>
      <c r="B985" s="3">
        <v>19</v>
      </c>
      <c r="C985" s="3">
        <v>9.1999999999999993</v>
      </c>
      <c r="D985" s="3">
        <v>5</v>
      </c>
      <c r="E985" s="4">
        <v>0</v>
      </c>
      <c r="F985" s="5">
        <f t="shared" si="15"/>
        <v>46</v>
      </c>
    </row>
    <row r="986" spans="1:6" x14ac:dyDescent="0.45">
      <c r="A986" s="6">
        <v>10621</v>
      </c>
      <c r="B986" s="3">
        <v>23</v>
      </c>
      <c r="C986" s="3">
        <v>9</v>
      </c>
      <c r="D986" s="3">
        <v>10</v>
      </c>
      <c r="E986" s="4">
        <v>0</v>
      </c>
      <c r="F986" s="5">
        <f t="shared" si="15"/>
        <v>90</v>
      </c>
    </row>
    <row r="987" spans="1:6" x14ac:dyDescent="0.45">
      <c r="A987" s="6">
        <v>10621</v>
      </c>
      <c r="B987" s="3">
        <v>70</v>
      </c>
      <c r="C987" s="3">
        <v>15</v>
      </c>
      <c r="D987" s="3">
        <v>20</v>
      </c>
      <c r="E987" s="4">
        <v>0</v>
      </c>
      <c r="F987" s="5">
        <f t="shared" si="15"/>
        <v>300</v>
      </c>
    </row>
    <row r="988" spans="1:6" x14ac:dyDescent="0.45">
      <c r="A988" s="6">
        <v>10621</v>
      </c>
      <c r="B988" s="3">
        <v>71</v>
      </c>
      <c r="C988" s="3">
        <v>21.5</v>
      </c>
      <c r="D988" s="3">
        <v>15</v>
      </c>
      <c r="E988" s="4">
        <v>0</v>
      </c>
      <c r="F988" s="5">
        <f t="shared" si="15"/>
        <v>322.5</v>
      </c>
    </row>
    <row r="989" spans="1:6" x14ac:dyDescent="0.45">
      <c r="A989" s="6">
        <v>10622</v>
      </c>
      <c r="B989" s="3">
        <v>2</v>
      </c>
      <c r="C989" s="3">
        <v>19</v>
      </c>
      <c r="D989" s="3">
        <v>20</v>
      </c>
      <c r="E989" s="4">
        <v>0</v>
      </c>
      <c r="F989" s="5">
        <f t="shared" si="15"/>
        <v>380</v>
      </c>
    </row>
    <row r="990" spans="1:6" x14ac:dyDescent="0.45">
      <c r="A990" s="6">
        <v>10622</v>
      </c>
      <c r="B990" s="3">
        <v>68</v>
      </c>
      <c r="C990" s="3">
        <v>12.5</v>
      </c>
      <c r="D990" s="3">
        <v>18</v>
      </c>
      <c r="E990" s="4">
        <v>0.2</v>
      </c>
      <c r="F990" s="5">
        <f t="shared" si="15"/>
        <v>180</v>
      </c>
    </row>
    <row r="991" spans="1:6" x14ac:dyDescent="0.45">
      <c r="A991" s="6">
        <v>10623</v>
      </c>
      <c r="B991" s="3">
        <v>14</v>
      </c>
      <c r="C991" s="3">
        <v>23.25</v>
      </c>
      <c r="D991" s="3">
        <v>21</v>
      </c>
      <c r="E991" s="4">
        <v>0</v>
      </c>
      <c r="F991" s="5">
        <f t="shared" si="15"/>
        <v>488.25</v>
      </c>
    </row>
    <row r="992" spans="1:6" x14ac:dyDescent="0.45">
      <c r="A992" s="6">
        <v>10623</v>
      </c>
      <c r="B992" s="3">
        <v>19</v>
      </c>
      <c r="C992" s="3">
        <v>9.1999999999999993</v>
      </c>
      <c r="D992" s="3">
        <v>15</v>
      </c>
      <c r="E992" s="4">
        <v>0.1</v>
      </c>
      <c r="F992" s="5">
        <f t="shared" si="15"/>
        <v>124.2</v>
      </c>
    </row>
    <row r="993" spans="1:6" x14ac:dyDescent="0.45">
      <c r="A993" s="6">
        <v>10623</v>
      </c>
      <c r="B993" s="3">
        <v>21</v>
      </c>
      <c r="C993" s="3">
        <v>10</v>
      </c>
      <c r="D993" s="3">
        <v>25</v>
      </c>
      <c r="E993" s="4">
        <v>0.1</v>
      </c>
      <c r="F993" s="5">
        <f t="shared" si="15"/>
        <v>225</v>
      </c>
    </row>
    <row r="994" spans="1:6" x14ac:dyDescent="0.45">
      <c r="A994" s="6">
        <v>10623</v>
      </c>
      <c r="B994" s="3">
        <v>24</v>
      </c>
      <c r="C994" s="3">
        <v>4.5</v>
      </c>
      <c r="D994" s="3">
        <v>3</v>
      </c>
      <c r="E994" s="4">
        <v>0</v>
      </c>
      <c r="F994" s="5">
        <f t="shared" si="15"/>
        <v>13.5</v>
      </c>
    </row>
    <row r="995" spans="1:6" x14ac:dyDescent="0.45">
      <c r="A995" s="6">
        <v>10623</v>
      </c>
      <c r="B995" s="3">
        <v>35</v>
      </c>
      <c r="C995" s="3">
        <v>18</v>
      </c>
      <c r="D995" s="3">
        <v>30</v>
      </c>
      <c r="E995" s="4">
        <v>0.1</v>
      </c>
      <c r="F995" s="5">
        <f t="shared" si="15"/>
        <v>486</v>
      </c>
    </row>
    <row r="996" spans="1:6" x14ac:dyDescent="0.45">
      <c r="A996" s="6">
        <v>10624</v>
      </c>
      <c r="B996" s="3">
        <v>28</v>
      </c>
      <c r="C996" s="3">
        <v>45.6</v>
      </c>
      <c r="D996" s="3">
        <v>10</v>
      </c>
      <c r="E996" s="4">
        <v>0</v>
      </c>
      <c r="F996" s="5">
        <f t="shared" si="15"/>
        <v>456</v>
      </c>
    </row>
    <row r="997" spans="1:6" x14ac:dyDescent="0.45">
      <c r="A997" s="6">
        <v>10624</v>
      </c>
      <c r="B997" s="3">
        <v>29</v>
      </c>
      <c r="C997" s="3">
        <v>123.79</v>
      </c>
      <c r="D997" s="3">
        <v>6</v>
      </c>
      <c r="E997" s="4">
        <v>0</v>
      </c>
      <c r="F997" s="5">
        <f t="shared" si="15"/>
        <v>742.74</v>
      </c>
    </row>
    <row r="998" spans="1:6" x14ac:dyDescent="0.45">
      <c r="A998" s="6">
        <v>10624</v>
      </c>
      <c r="B998" s="3">
        <v>44</v>
      </c>
      <c r="C998" s="3">
        <v>19.45</v>
      </c>
      <c r="D998" s="3">
        <v>10</v>
      </c>
      <c r="E998" s="4">
        <v>0</v>
      </c>
      <c r="F998" s="5">
        <f t="shared" si="15"/>
        <v>194.5</v>
      </c>
    </row>
    <row r="999" spans="1:6" x14ac:dyDescent="0.45">
      <c r="A999" s="6">
        <v>10625</v>
      </c>
      <c r="B999" s="3">
        <v>14</v>
      </c>
      <c r="C999" s="3">
        <v>23.25</v>
      </c>
      <c r="D999" s="3">
        <v>3</v>
      </c>
      <c r="E999" s="4">
        <v>0</v>
      </c>
      <c r="F999" s="5">
        <f t="shared" si="15"/>
        <v>69.75</v>
      </c>
    </row>
    <row r="1000" spans="1:6" x14ac:dyDescent="0.45">
      <c r="A1000" s="6">
        <v>10625</v>
      </c>
      <c r="B1000" s="3">
        <v>42</v>
      </c>
      <c r="C1000" s="3">
        <v>14</v>
      </c>
      <c r="D1000" s="3">
        <v>5</v>
      </c>
      <c r="E1000" s="4">
        <v>0</v>
      </c>
      <c r="F1000" s="5">
        <f t="shared" si="15"/>
        <v>70</v>
      </c>
    </row>
    <row r="1001" spans="1:6" x14ac:dyDescent="0.45">
      <c r="A1001" s="6">
        <v>10625</v>
      </c>
      <c r="B1001" s="3">
        <v>60</v>
      </c>
      <c r="C1001" s="3">
        <v>34</v>
      </c>
      <c r="D1001" s="3">
        <v>10</v>
      </c>
      <c r="E1001" s="4">
        <v>0</v>
      </c>
      <c r="F1001" s="5">
        <f t="shared" si="15"/>
        <v>340</v>
      </c>
    </row>
    <row r="1002" spans="1:6" x14ac:dyDescent="0.45">
      <c r="A1002" s="6">
        <v>10626</v>
      </c>
      <c r="B1002" s="3">
        <v>53</v>
      </c>
      <c r="C1002" s="3">
        <v>32.799999999999997</v>
      </c>
      <c r="D1002" s="3">
        <v>12</v>
      </c>
      <c r="E1002" s="4">
        <v>0</v>
      </c>
      <c r="F1002" s="5">
        <f t="shared" si="15"/>
        <v>393.59999999999997</v>
      </c>
    </row>
    <row r="1003" spans="1:6" x14ac:dyDescent="0.45">
      <c r="A1003" s="6">
        <v>10626</v>
      </c>
      <c r="B1003" s="3">
        <v>60</v>
      </c>
      <c r="C1003" s="3">
        <v>34</v>
      </c>
      <c r="D1003" s="3">
        <v>20</v>
      </c>
      <c r="E1003" s="4">
        <v>0</v>
      </c>
      <c r="F1003" s="5">
        <f t="shared" si="15"/>
        <v>680</v>
      </c>
    </row>
    <row r="1004" spans="1:6" x14ac:dyDescent="0.45">
      <c r="A1004" s="6">
        <v>10626</v>
      </c>
      <c r="B1004" s="3">
        <v>71</v>
      </c>
      <c r="C1004" s="3">
        <v>21.5</v>
      </c>
      <c r="D1004" s="3">
        <v>20</v>
      </c>
      <c r="E1004" s="4">
        <v>0</v>
      </c>
      <c r="F1004" s="5">
        <f t="shared" si="15"/>
        <v>430</v>
      </c>
    </row>
    <row r="1005" spans="1:6" x14ac:dyDescent="0.45">
      <c r="A1005" s="6">
        <v>10627</v>
      </c>
      <c r="B1005" s="3">
        <v>62</v>
      </c>
      <c r="C1005" s="3">
        <v>49.3</v>
      </c>
      <c r="D1005" s="3">
        <v>15</v>
      </c>
      <c r="E1005" s="4">
        <v>0</v>
      </c>
      <c r="F1005" s="5">
        <f t="shared" si="15"/>
        <v>739.5</v>
      </c>
    </row>
    <row r="1006" spans="1:6" x14ac:dyDescent="0.45">
      <c r="A1006" s="6">
        <v>10627</v>
      </c>
      <c r="B1006" s="3">
        <v>73</v>
      </c>
      <c r="C1006" s="3">
        <v>15</v>
      </c>
      <c r="D1006" s="3">
        <v>35</v>
      </c>
      <c r="E1006" s="4">
        <v>0.15</v>
      </c>
      <c r="F1006" s="5">
        <f t="shared" si="15"/>
        <v>446.25</v>
      </c>
    </row>
    <row r="1007" spans="1:6" x14ac:dyDescent="0.45">
      <c r="A1007" s="6">
        <v>10628</v>
      </c>
      <c r="B1007" s="3">
        <v>1</v>
      </c>
      <c r="C1007" s="3">
        <v>18</v>
      </c>
      <c r="D1007" s="3">
        <v>25</v>
      </c>
      <c r="E1007" s="4">
        <v>0</v>
      </c>
      <c r="F1007" s="5">
        <f t="shared" si="15"/>
        <v>450</v>
      </c>
    </row>
    <row r="1008" spans="1:6" x14ac:dyDescent="0.45">
      <c r="A1008" s="6">
        <v>10629</v>
      </c>
      <c r="B1008" s="3">
        <v>29</v>
      </c>
      <c r="C1008" s="3">
        <v>123.79</v>
      </c>
      <c r="D1008" s="3">
        <v>20</v>
      </c>
      <c r="E1008" s="4">
        <v>0</v>
      </c>
      <c r="F1008" s="5">
        <f t="shared" si="15"/>
        <v>2475.8000000000002</v>
      </c>
    </row>
    <row r="1009" spans="1:6" x14ac:dyDescent="0.45">
      <c r="A1009" s="6">
        <v>10629</v>
      </c>
      <c r="B1009" s="3">
        <v>64</v>
      </c>
      <c r="C1009" s="3">
        <v>33.25</v>
      </c>
      <c r="D1009" s="3">
        <v>9</v>
      </c>
      <c r="E1009" s="4">
        <v>0</v>
      </c>
      <c r="F1009" s="5">
        <f t="shared" si="15"/>
        <v>299.25</v>
      </c>
    </row>
    <row r="1010" spans="1:6" x14ac:dyDescent="0.45">
      <c r="A1010" s="6">
        <v>10630</v>
      </c>
      <c r="B1010" s="3">
        <v>55</v>
      </c>
      <c r="C1010" s="3">
        <v>24</v>
      </c>
      <c r="D1010" s="3">
        <v>12</v>
      </c>
      <c r="E1010" s="4">
        <v>0.05</v>
      </c>
      <c r="F1010" s="5">
        <f t="shared" si="15"/>
        <v>273.59999999999997</v>
      </c>
    </row>
    <row r="1011" spans="1:6" x14ac:dyDescent="0.45">
      <c r="A1011" s="6">
        <v>10630</v>
      </c>
      <c r="B1011" s="3">
        <v>76</v>
      </c>
      <c r="C1011" s="3">
        <v>18</v>
      </c>
      <c r="D1011" s="3">
        <v>35</v>
      </c>
      <c r="E1011" s="4">
        <v>0</v>
      </c>
      <c r="F1011" s="5">
        <f t="shared" si="15"/>
        <v>630</v>
      </c>
    </row>
    <row r="1012" spans="1:6" x14ac:dyDescent="0.45">
      <c r="A1012" s="6">
        <v>10631</v>
      </c>
      <c r="B1012" s="3">
        <v>75</v>
      </c>
      <c r="C1012" s="3">
        <v>7.75</v>
      </c>
      <c r="D1012" s="3">
        <v>8</v>
      </c>
      <c r="E1012" s="4">
        <v>0.1</v>
      </c>
      <c r="F1012" s="5">
        <f t="shared" si="15"/>
        <v>55.800000000000004</v>
      </c>
    </row>
    <row r="1013" spans="1:6" x14ac:dyDescent="0.45">
      <c r="A1013" s="6">
        <v>10632</v>
      </c>
      <c r="B1013" s="3">
        <v>2</v>
      </c>
      <c r="C1013" s="3">
        <v>19</v>
      </c>
      <c r="D1013" s="3">
        <v>30</v>
      </c>
      <c r="E1013" s="4">
        <v>0.05</v>
      </c>
      <c r="F1013" s="5">
        <f t="shared" si="15"/>
        <v>541.5</v>
      </c>
    </row>
    <row r="1014" spans="1:6" x14ac:dyDescent="0.45">
      <c r="A1014" s="6">
        <v>10632</v>
      </c>
      <c r="B1014" s="3">
        <v>33</v>
      </c>
      <c r="C1014" s="3">
        <v>2.5</v>
      </c>
      <c r="D1014" s="3">
        <v>20</v>
      </c>
      <c r="E1014" s="4">
        <v>0.05</v>
      </c>
      <c r="F1014" s="5">
        <f t="shared" si="15"/>
        <v>47.5</v>
      </c>
    </row>
    <row r="1015" spans="1:6" x14ac:dyDescent="0.45">
      <c r="A1015" s="6">
        <v>10633</v>
      </c>
      <c r="B1015" s="3">
        <v>12</v>
      </c>
      <c r="C1015" s="3">
        <v>38</v>
      </c>
      <c r="D1015" s="3">
        <v>36</v>
      </c>
      <c r="E1015" s="4">
        <v>0.15</v>
      </c>
      <c r="F1015" s="5">
        <f t="shared" si="15"/>
        <v>1162.8</v>
      </c>
    </row>
    <row r="1016" spans="1:6" x14ac:dyDescent="0.45">
      <c r="A1016" s="6">
        <v>10633</v>
      </c>
      <c r="B1016" s="3">
        <v>13</v>
      </c>
      <c r="C1016" s="3">
        <v>6</v>
      </c>
      <c r="D1016" s="3">
        <v>13</v>
      </c>
      <c r="E1016" s="4">
        <v>0.15</v>
      </c>
      <c r="F1016" s="5">
        <f t="shared" si="15"/>
        <v>66.3</v>
      </c>
    </row>
    <row r="1017" spans="1:6" x14ac:dyDescent="0.45">
      <c r="A1017" s="6">
        <v>10633</v>
      </c>
      <c r="B1017" s="3">
        <v>26</v>
      </c>
      <c r="C1017" s="3">
        <v>31.23</v>
      </c>
      <c r="D1017" s="3">
        <v>35</v>
      </c>
      <c r="E1017" s="4">
        <v>0.15</v>
      </c>
      <c r="F1017" s="5">
        <f t="shared" si="15"/>
        <v>929.09249999999997</v>
      </c>
    </row>
    <row r="1018" spans="1:6" x14ac:dyDescent="0.45">
      <c r="A1018" s="6">
        <v>10633</v>
      </c>
      <c r="B1018" s="3">
        <v>62</v>
      </c>
      <c r="C1018" s="3">
        <v>49.3</v>
      </c>
      <c r="D1018" s="3">
        <v>80</v>
      </c>
      <c r="E1018" s="4">
        <v>0.15</v>
      </c>
      <c r="F1018" s="5">
        <f t="shared" si="15"/>
        <v>3352.4</v>
      </c>
    </row>
    <row r="1019" spans="1:6" x14ac:dyDescent="0.45">
      <c r="A1019" s="6">
        <v>10634</v>
      </c>
      <c r="B1019" s="3">
        <v>7</v>
      </c>
      <c r="C1019" s="3">
        <v>30</v>
      </c>
      <c r="D1019" s="3">
        <v>35</v>
      </c>
      <c r="E1019" s="4">
        <v>0</v>
      </c>
      <c r="F1019" s="5">
        <f t="shared" si="15"/>
        <v>1050</v>
      </c>
    </row>
    <row r="1020" spans="1:6" x14ac:dyDescent="0.45">
      <c r="A1020" s="6">
        <v>10634</v>
      </c>
      <c r="B1020" s="3">
        <v>18</v>
      </c>
      <c r="C1020" s="3">
        <v>62.5</v>
      </c>
      <c r="D1020" s="3">
        <v>50</v>
      </c>
      <c r="E1020" s="4">
        <v>0</v>
      </c>
      <c r="F1020" s="5">
        <f t="shared" si="15"/>
        <v>3125</v>
      </c>
    </row>
    <row r="1021" spans="1:6" x14ac:dyDescent="0.45">
      <c r="A1021" s="6">
        <v>10634</v>
      </c>
      <c r="B1021" s="3">
        <v>51</v>
      </c>
      <c r="C1021" s="3">
        <v>53</v>
      </c>
      <c r="D1021" s="3">
        <v>15</v>
      </c>
      <c r="E1021" s="4">
        <v>0</v>
      </c>
      <c r="F1021" s="5">
        <f t="shared" si="15"/>
        <v>795</v>
      </c>
    </row>
    <row r="1022" spans="1:6" x14ac:dyDescent="0.45">
      <c r="A1022" s="6">
        <v>10634</v>
      </c>
      <c r="B1022" s="3">
        <v>75</v>
      </c>
      <c r="C1022" s="3">
        <v>7.75</v>
      </c>
      <c r="D1022" s="3">
        <v>2</v>
      </c>
      <c r="E1022" s="4">
        <v>0</v>
      </c>
      <c r="F1022" s="5">
        <f t="shared" si="15"/>
        <v>15.5</v>
      </c>
    </row>
    <row r="1023" spans="1:6" x14ac:dyDescent="0.45">
      <c r="A1023" s="6">
        <v>10635</v>
      </c>
      <c r="B1023" s="3">
        <v>4</v>
      </c>
      <c r="C1023" s="3">
        <v>22</v>
      </c>
      <c r="D1023" s="3">
        <v>10</v>
      </c>
      <c r="E1023" s="4">
        <v>0.1</v>
      </c>
      <c r="F1023" s="5">
        <f t="shared" si="15"/>
        <v>198</v>
      </c>
    </row>
    <row r="1024" spans="1:6" x14ac:dyDescent="0.45">
      <c r="A1024" s="6">
        <v>10635</v>
      </c>
      <c r="B1024" s="3">
        <v>5</v>
      </c>
      <c r="C1024" s="3">
        <v>21.35</v>
      </c>
      <c r="D1024" s="3">
        <v>15</v>
      </c>
      <c r="E1024" s="4">
        <v>0.1</v>
      </c>
      <c r="F1024" s="5">
        <f t="shared" si="15"/>
        <v>288.22500000000002</v>
      </c>
    </row>
    <row r="1025" spans="1:6" x14ac:dyDescent="0.45">
      <c r="A1025" s="6">
        <v>10635</v>
      </c>
      <c r="B1025" s="3">
        <v>22</v>
      </c>
      <c r="C1025" s="3">
        <v>21</v>
      </c>
      <c r="D1025" s="3">
        <v>40</v>
      </c>
      <c r="E1025" s="4">
        <v>0</v>
      </c>
      <c r="F1025" s="5">
        <f t="shared" si="15"/>
        <v>840</v>
      </c>
    </row>
    <row r="1026" spans="1:6" x14ac:dyDescent="0.45">
      <c r="A1026" s="6">
        <v>10636</v>
      </c>
      <c r="B1026" s="3">
        <v>4</v>
      </c>
      <c r="C1026" s="3">
        <v>22</v>
      </c>
      <c r="D1026" s="3">
        <v>25</v>
      </c>
      <c r="E1026" s="4">
        <v>0</v>
      </c>
      <c r="F1026" s="5">
        <f t="shared" ref="F1026:F1089" si="16">C1026*D1026*(1-E1026)</f>
        <v>550</v>
      </c>
    </row>
    <row r="1027" spans="1:6" x14ac:dyDescent="0.45">
      <c r="A1027" s="6">
        <v>10636</v>
      </c>
      <c r="B1027" s="3">
        <v>58</v>
      </c>
      <c r="C1027" s="3">
        <v>13.25</v>
      </c>
      <c r="D1027" s="3">
        <v>6</v>
      </c>
      <c r="E1027" s="4">
        <v>0</v>
      </c>
      <c r="F1027" s="5">
        <f t="shared" si="16"/>
        <v>79.5</v>
      </c>
    </row>
    <row r="1028" spans="1:6" x14ac:dyDescent="0.45">
      <c r="A1028" s="6">
        <v>10637</v>
      </c>
      <c r="B1028" s="3">
        <v>11</v>
      </c>
      <c r="C1028" s="3">
        <v>21</v>
      </c>
      <c r="D1028" s="3">
        <v>10</v>
      </c>
      <c r="E1028" s="4">
        <v>0</v>
      </c>
      <c r="F1028" s="5">
        <f t="shared" si="16"/>
        <v>210</v>
      </c>
    </row>
    <row r="1029" spans="1:6" x14ac:dyDescent="0.45">
      <c r="A1029" s="6">
        <v>10637</v>
      </c>
      <c r="B1029" s="3">
        <v>50</v>
      </c>
      <c r="C1029" s="3">
        <v>16.25</v>
      </c>
      <c r="D1029" s="3">
        <v>25</v>
      </c>
      <c r="E1029" s="4">
        <v>0.05</v>
      </c>
      <c r="F1029" s="5">
        <f t="shared" si="16"/>
        <v>385.9375</v>
      </c>
    </row>
    <row r="1030" spans="1:6" x14ac:dyDescent="0.45">
      <c r="A1030" s="6">
        <v>10637</v>
      </c>
      <c r="B1030" s="3">
        <v>56</v>
      </c>
      <c r="C1030" s="3">
        <v>38</v>
      </c>
      <c r="D1030" s="3">
        <v>60</v>
      </c>
      <c r="E1030" s="4">
        <v>0.05</v>
      </c>
      <c r="F1030" s="5">
        <f t="shared" si="16"/>
        <v>2166</v>
      </c>
    </row>
    <row r="1031" spans="1:6" x14ac:dyDescent="0.45">
      <c r="A1031" s="6">
        <v>10638</v>
      </c>
      <c r="B1031" s="3">
        <v>45</v>
      </c>
      <c r="C1031" s="3">
        <v>9.5</v>
      </c>
      <c r="D1031" s="3">
        <v>20</v>
      </c>
      <c r="E1031" s="4">
        <v>0</v>
      </c>
      <c r="F1031" s="5">
        <f t="shared" si="16"/>
        <v>190</v>
      </c>
    </row>
    <row r="1032" spans="1:6" x14ac:dyDescent="0.45">
      <c r="A1032" s="6">
        <v>10638</v>
      </c>
      <c r="B1032" s="3">
        <v>65</v>
      </c>
      <c r="C1032" s="3">
        <v>21.05</v>
      </c>
      <c r="D1032" s="3">
        <v>21</v>
      </c>
      <c r="E1032" s="4">
        <v>0</v>
      </c>
      <c r="F1032" s="5">
        <f t="shared" si="16"/>
        <v>442.05</v>
      </c>
    </row>
    <row r="1033" spans="1:6" x14ac:dyDescent="0.45">
      <c r="A1033" s="6">
        <v>10638</v>
      </c>
      <c r="B1033" s="3">
        <v>72</v>
      </c>
      <c r="C1033" s="3">
        <v>34.799999999999997</v>
      </c>
      <c r="D1033" s="3">
        <v>60</v>
      </c>
      <c r="E1033" s="4">
        <v>0</v>
      </c>
      <c r="F1033" s="5">
        <f t="shared" si="16"/>
        <v>2088</v>
      </c>
    </row>
    <row r="1034" spans="1:6" x14ac:dyDescent="0.45">
      <c r="A1034" s="6">
        <v>10639</v>
      </c>
      <c r="B1034" s="3">
        <v>18</v>
      </c>
      <c r="C1034" s="3">
        <v>62.5</v>
      </c>
      <c r="D1034" s="3">
        <v>8</v>
      </c>
      <c r="E1034" s="4">
        <v>0</v>
      </c>
      <c r="F1034" s="5">
        <f t="shared" si="16"/>
        <v>500</v>
      </c>
    </row>
    <row r="1035" spans="1:6" x14ac:dyDescent="0.45">
      <c r="A1035" s="6">
        <v>10640</v>
      </c>
      <c r="B1035" s="3">
        <v>69</v>
      </c>
      <c r="C1035" s="3">
        <v>36</v>
      </c>
      <c r="D1035" s="3">
        <v>20</v>
      </c>
      <c r="E1035" s="4">
        <v>0.25</v>
      </c>
      <c r="F1035" s="5">
        <f t="shared" si="16"/>
        <v>540</v>
      </c>
    </row>
    <row r="1036" spans="1:6" x14ac:dyDescent="0.45">
      <c r="A1036" s="6">
        <v>10640</v>
      </c>
      <c r="B1036" s="3">
        <v>70</v>
      </c>
      <c r="C1036" s="3">
        <v>15</v>
      </c>
      <c r="D1036" s="3">
        <v>15</v>
      </c>
      <c r="E1036" s="4">
        <v>0.25</v>
      </c>
      <c r="F1036" s="5">
        <f t="shared" si="16"/>
        <v>168.75</v>
      </c>
    </row>
    <row r="1037" spans="1:6" x14ac:dyDescent="0.45">
      <c r="A1037" s="6">
        <v>10641</v>
      </c>
      <c r="B1037" s="3">
        <v>2</v>
      </c>
      <c r="C1037" s="3">
        <v>19</v>
      </c>
      <c r="D1037" s="3">
        <v>50</v>
      </c>
      <c r="E1037" s="4">
        <v>0</v>
      </c>
      <c r="F1037" s="5">
        <f t="shared" si="16"/>
        <v>950</v>
      </c>
    </row>
    <row r="1038" spans="1:6" x14ac:dyDescent="0.45">
      <c r="A1038" s="6">
        <v>10641</v>
      </c>
      <c r="B1038" s="3">
        <v>40</v>
      </c>
      <c r="C1038" s="3">
        <v>18.399999999999999</v>
      </c>
      <c r="D1038" s="3">
        <v>60</v>
      </c>
      <c r="E1038" s="4">
        <v>0</v>
      </c>
      <c r="F1038" s="5">
        <f t="shared" si="16"/>
        <v>1104</v>
      </c>
    </row>
    <row r="1039" spans="1:6" x14ac:dyDescent="0.45">
      <c r="A1039" s="6">
        <v>10642</v>
      </c>
      <c r="B1039" s="3">
        <v>21</v>
      </c>
      <c r="C1039" s="3">
        <v>10</v>
      </c>
      <c r="D1039" s="3">
        <v>30</v>
      </c>
      <c r="E1039" s="4">
        <v>0.2</v>
      </c>
      <c r="F1039" s="5">
        <f t="shared" si="16"/>
        <v>240</v>
      </c>
    </row>
    <row r="1040" spans="1:6" x14ac:dyDescent="0.45">
      <c r="A1040" s="6">
        <v>10642</v>
      </c>
      <c r="B1040" s="3">
        <v>61</v>
      </c>
      <c r="C1040" s="3">
        <v>28.5</v>
      </c>
      <c r="D1040" s="3">
        <v>20</v>
      </c>
      <c r="E1040" s="4">
        <v>0.2</v>
      </c>
      <c r="F1040" s="5">
        <f t="shared" si="16"/>
        <v>456</v>
      </c>
    </row>
    <row r="1041" spans="1:6" x14ac:dyDescent="0.45">
      <c r="A1041" s="6">
        <v>10643</v>
      </c>
      <c r="B1041" s="3">
        <v>28</v>
      </c>
      <c r="C1041" s="3">
        <v>45.6</v>
      </c>
      <c r="D1041" s="3">
        <v>15</v>
      </c>
      <c r="E1041" s="4">
        <v>0.25</v>
      </c>
      <c r="F1041" s="5">
        <f t="shared" si="16"/>
        <v>513</v>
      </c>
    </row>
    <row r="1042" spans="1:6" x14ac:dyDescent="0.45">
      <c r="A1042" s="6">
        <v>10643</v>
      </c>
      <c r="B1042" s="3">
        <v>39</v>
      </c>
      <c r="C1042" s="3">
        <v>18</v>
      </c>
      <c r="D1042" s="3">
        <v>21</v>
      </c>
      <c r="E1042" s="4">
        <v>0.25</v>
      </c>
      <c r="F1042" s="5">
        <f t="shared" si="16"/>
        <v>283.5</v>
      </c>
    </row>
    <row r="1043" spans="1:6" x14ac:dyDescent="0.45">
      <c r="A1043" s="6">
        <v>10643</v>
      </c>
      <c r="B1043" s="3">
        <v>46</v>
      </c>
      <c r="C1043" s="3">
        <v>12</v>
      </c>
      <c r="D1043" s="3">
        <v>2</v>
      </c>
      <c r="E1043" s="4">
        <v>0.25</v>
      </c>
      <c r="F1043" s="5">
        <f t="shared" si="16"/>
        <v>18</v>
      </c>
    </row>
    <row r="1044" spans="1:6" x14ac:dyDescent="0.45">
      <c r="A1044" s="6">
        <v>10644</v>
      </c>
      <c r="B1044" s="3">
        <v>18</v>
      </c>
      <c r="C1044" s="3">
        <v>62.5</v>
      </c>
      <c r="D1044" s="3">
        <v>4</v>
      </c>
      <c r="E1044" s="4">
        <v>0.1</v>
      </c>
      <c r="F1044" s="5">
        <f t="shared" si="16"/>
        <v>225</v>
      </c>
    </row>
    <row r="1045" spans="1:6" x14ac:dyDescent="0.45">
      <c r="A1045" s="6">
        <v>10644</v>
      </c>
      <c r="B1045" s="3">
        <v>43</v>
      </c>
      <c r="C1045" s="3">
        <v>46</v>
      </c>
      <c r="D1045" s="3">
        <v>20</v>
      </c>
      <c r="E1045" s="4">
        <v>0</v>
      </c>
      <c r="F1045" s="5">
        <f t="shared" si="16"/>
        <v>920</v>
      </c>
    </row>
    <row r="1046" spans="1:6" x14ac:dyDescent="0.45">
      <c r="A1046" s="6">
        <v>10644</v>
      </c>
      <c r="B1046" s="3">
        <v>46</v>
      </c>
      <c r="C1046" s="3">
        <v>12</v>
      </c>
      <c r="D1046" s="3">
        <v>21</v>
      </c>
      <c r="E1046" s="4">
        <v>0.1</v>
      </c>
      <c r="F1046" s="5">
        <f t="shared" si="16"/>
        <v>226.8</v>
      </c>
    </row>
    <row r="1047" spans="1:6" x14ac:dyDescent="0.45">
      <c r="A1047" s="6">
        <v>10645</v>
      </c>
      <c r="B1047" s="3">
        <v>18</v>
      </c>
      <c r="C1047" s="3">
        <v>62.5</v>
      </c>
      <c r="D1047" s="3">
        <v>20</v>
      </c>
      <c r="E1047" s="4">
        <v>0</v>
      </c>
      <c r="F1047" s="5">
        <f t="shared" si="16"/>
        <v>1250</v>
      </c>
    </row>
    <row r="1048" spans="1:6" x14ac:dyDescent="0.45">
      <c r="A1048" s="6">
        <v>10645</v>
      </c>
      <c r="B1048" s="3">
        <v>36</v>
      </c>
      <c r="C1048" s="3">
        <v>19</v>
      </c>
      <c r="D1048" s="3">
        <v>15</v>
      </c>
      <c r="E1048" s="4">
        <v>0</v>
      </c>
      <c r="F1048" s="5">
        <f t="shared" si="16"/>
        <v>285</v>
      </c>
    </row>
    <row r="1049" spans="1:6" x14ac:dyDescent="0.45">
      <c r="A1049" s="6">
        <v>10646</v>
      </c>
      <c r="B1049" s="3">
        <v>1</v>
      </c>
      <c r="C1049" s="3">
        <v>18</v>
      </c>
      <c r="D1049" s="3">
        <v>15</v>
      </c>
      <c r="E1049" s="4">
        <v>0.25</v>
      </c>
      <c r="F1049" s="5">
        <f t="shared" si="16"/>
        <v>202.5</v>
      </c>
    </row>
    <row r="1050" spans="1:6" x14ac:dyDescent="0.45">
      <c r="A1050" s="6">
        <v>10646</v>
      </c>
      <c r="B1050" s="3">
        <v>10</v>
      </c>
      <c r="C1050" s="3">
        <v>31</v>
      </c>
      <c r="D1050" s="3">
        <v>18</v>
      </c>
      <c r="E1050" s="4">
        <v>0.25</v>
      </c>
      <c r="F1050" s="5">
        <f t="shared" si="16"/>
        <v>418.5</v>
      </c>
    </row>
    <row r="1051" spans="1:6" x14ac:dyDescent="0.45">
      <c r="A1051" s="6">
        <v>10646</v>
      </c>
      <c r="B1051" s="3">
        <v>71</v>
      </c>
      <c r="C1051" s="3">
        <v>21.5</v>
      </c>
      <c r="D1051" s="3">
        <v>30</v>
      </c>
      <c r="E1051" s="4">
        <v>0.25</v>
      </c>
      <c r="F1051" s="5">
        <f t="shared" si="16"/>
        <v>483.75</v>
      </c>
    </row>
    <row r="1052" spans="1:6" x14ac:dyDescent="0.45">
      <c r="A1052" s="6">
        <v>10646</v>
      </c>
      <c r="B1052" s="3">
        <v>77</v>
      </c>
      <c r="C1052" s="3">
        <v>13</v>
      </c>
      <c r="D1052" s="3">
        <v>35</v>
      </c>
      <c r="E1052" s="4">
        <v>0.25</v>
      </c>
      <c r="F1052" s="5">
        <f t="shared" si="16"/>
        <v>341.25</v>
      </c>
    </row>
    <row r="1053" spans="1:6" x14ac:dyDescent="0.45">
      <c r="A1053" s="6">
        <v>10647</v>
      </c>
      <c r="B1053" s="3">
        <v>19</v>
      </c>
      <c r="C1053" s="3">
        <v>9.1999999999999993</v>
      </c>
      <c r="D1053" s="3">
        <v>30</v>
      </c>
      <c r="E1053" s="4">
        <v>0</v>
      </c>
      <c r="F1053" s="5">
        <f t="shared" si="16"/>
        <v>276</v>
      </c>
    </row>
    <row r="1054" spans="1:6" x14ac:dyDescent="0.45">
      <c r="A1054" s="6">
        <v>10647</v>
      </c>
      <c r="B1054" s="3">
        <v>39</v>
      </c>
      <c r="C1054" s="3">
        <v>18</v>
      </c>
      <c r="D1054" s="3">
        <v>20</v>
      </c>
      <c r="E1054" s="4">
        <v>0</v>
      </c>
      <c r="F1054" s="5">
        <f t="shared" si="16"/>
        <v>360</v>
      </c>
    </row>
    <row r="1055" spans="1:6" x14ac:dyDescent="0.45">
      <c r="A1055" s="6">
        <v>10648</v>
      </c>
      <c r="B1055" s="3">
        <v>22</v>
      </c>
      <c r="C1055" s="3">
        <v>21</v>
      </c>
      <c r="D1055" s="3">
        <v>15</v>
      </c>
      <c r="E1055" s="4">
        <v>0</v>
      </c>
      <c r="F1055" s="5">
        <f t="shared" si="16"/>
        <v>315</v>
      </c>
    </row>
    <row r="1056" spans="1:6" x14ac:dyDescent="0.45">
      <c r="A1056" s="6">
        <v>10648</v>
      </c>
      <c r="B1056" s="3">
        <v>24</v>
      </c>
      <c r="C1056" s="3">
        <v>4.5</v>
      </c>
      <c r="D1056" s="3">
        <v>15</v>
      </c>
      <c r="E1056" s="4">
        <v>0.15</v>
      </c>
      <c r="F1056" s="5">
        <f t="shared" si="16"/>
        <v>57.375</v>
      </c>
    </row>
    <row r="1057" spans="1:6" x14ac:dyDescent="0.45">
      <c r="A1057" s="6">
        <v>10649</v>
      </c>
      <c r="B1057" s="3">
        <v>28</v>
      </c>
      <c r="C1057" s="3">
        <v>45.6</v>
      </c>
      <c r="D1057" s="3">
        <v>20</v>
      </c>
      <c r="E1057" s="4">
        <v>0</v>
      </c>
      <c r="F1057" s="5">
        <f t="shared" si="16"/>
        <v>912</v>
      </c>
    </row>
    <row r="1058" spans="1:6" x14ac:dyDescent="0.45">
      <c r="A1058" s="6">
        <v>10649</v>
      </c>
      <c r="B1058" s="3">
        <v>72</v>
      </c>
      <c r="C1058" s="3">
        <v>34.799999999999997</v>
      </c>
      <c r="D1058" s="3">
        <v>15</v>
      </c>
      <c r="E1058" s="4">
        <v>0</v>
      </c>
      <c r="F1058" s="5">
        <f t="shared" si="16"/>
        <v>522</v>
      </c>
    </row>
    <row r="1059" spans="1:6" x14ac:dyDescent="0.45">
      <c r="A1059" s="6">
        <v>10650</v>
      </c>
      <c r="B1059" s="3">
        <v>30</v>
      </c>
      <c r="C1059" s="3">
        <v>25.89</v>
      </c>
      <c r="D1059" s="3">
        <v>30</v>
      </c>
      <c r="E1059" s="4">
        <v>0</v>
      </c>
      <c r="F1059" s="5">
        <f t="shared" si="16"/>
        <v>776.7</v>
      </c>
    </row>
    <row r="1060" spans="1:6" x14ac:dyDescent="0.45">
      <c r="A1060" s="6">
        <v>10650</v>
      </c>
      <c r="B1060" s="3">
        <v>53</v>
      </c>
      <c r="C1060" s="3">
        <v>32.799999999999997</v>
      </c>
      <c r="D1060" s="3">
        <v>25</v>
      </c>
      <c r="E1060" s="4">
        <v>0.05</v>
      </c>
      <c r="F1060" s="5">
        <f t="shared" si="16"/>
        <v>778.99999999999989</v>
      </c>
    </row>
    <row r="1061" spans="1:6" x14ac:dyDescent="0.45">
      <c r="A1061" s="6">
        <v>10650</v>
      </c>
      <c r="B1061" s="3">
        <v>54</v>
      </c>
      <c r="C1061" s="3">
        <v>7.45</v>
      </c>
      <c r="D1061" s="3">
        <v>30</v>
      </c>
      <c r="E1061" s="4">
        <v>0</v>
      </c>
      <c r="F1061" s="5">
        <f t="shared" si="16"/>
        <v>223.5</v>
      </c>
    </row>
    <row r="1062" spans="1:6" x14ac:dyDescent="0.45">
      <c r="A1062" s="6">
        <v>10651</v>
      </c>
      <c r="B1062" s="3">
        <v>19</v>
      </c>
      <c r="C1062" s="3">
        <v>9.1999999999999993</v>
      </c>
      <c r="D1062" s="3">
        <v>12</v>
      </c>
      <c r="E1062" s="4">
        <v>0.25</v>
      </c>
      <c r="F1062" s="5">
        <f t="shared" si="16"/>
        <v>82.8</v>
      </c>
    </row>
    <row r="1063" spans="1:6" x14ac:dyDescent="0.45">
      <c r="A1063" s="6">
        <v>10651</v>
      </c>
      <c r="B1063" s="3">
        <v>22</v>
      </c>
      <c r="C1063" s="3">
        <v>21</v>
      </c>
      <c r="D1063" s="3">
        <v>20</v>
      </c>
      <c r="E1063" s="4">
        <v>0.25</v>
      </c>
      <c r="F1063" s="5">
        <f t="shared" si="16"/>
        <v>315</v>
      </c>
    </row>
    <row r="1064" spans="1:6" x14ac:dyDescent="0.45">
      <c r="A1064" s="6">
        <v>10652</v>
      </c>
      <c r="B1064" s="3">
        <v>30</v>
      </c>
      <c r="C1064" s="3">
        <v>25.89</v>
      </c>
      <c r="D1064" s="3">
        <v>2</v>
      </c>
      <c r="E1064" s="4">
        <v>0.25</v>
      </c>
      <c r="F1064" s="5">
        <f t="shared" si="16"/>
        <v>38.835000000000001</v>
      </c>
    </row>
    <row r="1065" spans="1:6" x14ac:dyDescent="0.45">
      <c r="A1065" s="6">
        <v>10652</v>
      </c>
      <c r="B1065" s="3">
        <v>42</v>
      </c>
      <c r="C1065" s="3">
        <v>14</v>
      </c>
      <c r="D1065" s="3">
        <v>20</v>
      </c>
      <c r="E1065" s="4">
        <v>0</v>
      </c>
      <c r="F1065" s="5">
        <f t="shared" si="16"/>
        <v>280</v>
      </c>
    </row>
    <row r="1066" spans="1:6" x14ac:dyDescent="0.45">
      <c r="A1066" s="6">
        <v>10653</v>
      </c>
      <c r="B1066" s="3">
        <v>16</v>
      </c>
      <c r="C1066" s="3">
        <v>17.45</v>
      </c>
      <c r="D1066" s="3">
        <v>30</v>
      </c>
      <c r="E1066" s="4">
        <v>0.1</v>
      </c>
      <c r="F1066" s="5">
        <f t="shared" si="16"/>
        <v>471.15000000000003</v>
      </c>
    </row>
    <row r="1067" spans="1:6" x14ac:dyDescent="0.45">
      <c r="A1067" s="6">
        <v>10653</v>
      </c>
      <c r="B1067" s="3">
        <v>60</v>
      </c>
      <c r="C1067" s="3">
        <v>34</v>
      </c>
      <c r="D1067" s="3">
        <v>20</v>
      </c>
      <c r="E1067" s="4">
        <v>0.1</v>
      </c>
      <c r="F1067" s="5">
        <f t="shared" si="16"/>
        <v>612</v>
      </c>
    </row>
    <row r="1068" spans="1:6" x14ac:dyDescent="0.45">
      <c r="A1068" s="6">
        <v>10654</v>
      </c>
      <c r="B1068" s="3">
        <v>4</v>
      </c>
      <c r="C1068" s="3">
        <v>22</v>
      </c>
      <c r="D1068" s="3">
        <v>12</v>
      </c>
      <c r="E1068" s="4">
        <v>0.1</v>
      </c>
      <c r="F1068" s="5">
        <f t="shared" si="16"/>
        <v>237.6</v>
      </c>
    </row>
    <row r="1069" spans="1:6" x14ac:dyDescent="0.45">
      <c r="A1069" s="6">
        <v>10654</v>
      </c>
      <c r="B1069" s="3">
        <v>39</v>
      </c>
      <c r="C1069" s="3">
        <v>18</v>
      </c>
      <c r="D1069" s="3">
        <v>20</v>
      </c>
      <c r="E1069" s="4">
        <v>0.1</v>
      </c>
      <c r="F1069" s="5">
        <f t="shared" si="16"/>
        <v>324</v>
      </c>
    </row>
    <row r="1070" spans="1:6" x14ac:dyDescent="0.45">
      <c r="A1070" s="6">
        <v>10654</v>
      </c>
      <c r="B1070" s="3">
        <v>54</v>
      </c>
      <c r="C1070" s="3">
        <v>7.45</v>
      </c>
      <c r="D1070" s="3">
        <v>6</v>
      </c>
      <c r="E1070" s="4">
        <v>0.1</v>
      </c>
      <c r="F1070" s="5">
        <f t="shared" si="16"/>
        <v>40.230000000000004</v>
      </c>
    </row>
    <row r="1071" spans="1:6" x14ac:dyDescent="0.45">
      <c r="A1071" s="6">
        <v>10655</v>
      </c>
      <c r="B1071" s="3">
        <v>41</v>
      </c>
      <c r="C1071" s="3">
        <v>9.65</v>
      </c>
      <c r="D1071" s="3">
        <v>20</v>
      </c>
      <c r="E1071" s="4">
        <v>0.2</v>
      </c>
      <c r="F1071" s="5">
        <f t="shared" si="16"/>
        <v>154.4</v>
      </c>
    </row>
    <row r="1072" spans="1:6" x14ac:dyDescent="0.45">
      <c r="A1072" s="6">
        <v>10656</v>
      </c>
      <c r="B1072" s="3">
        <v>14</v>
      </c>
      <c r="C1072" s="3">
        <v>23.25</v>
      </c>
      <c r="D1072" s="3">
        <v>3</v>
      </c>
      <c r="E1072" s="4">
        <v>0.1</v>
      </c>
      <c r="F1072" s="5">
        <f t="shared" si="16"/>
        <v>62.774999999999999</v>
      </c>
    </row>
    <row r="1073" spans="1:6" x14ac:dyDescent="0.45">
      <c r="A1073" s="6">
        <v>10656</v>
      </c>
      <c r="B1073" s="3">
        <v>44</v>
      </c>
      <c r="C1073" s="3">
        <v>19.45</v>
      </c>
      <c r="D1073" s="3">
        <v>28</v>
      </c>
      <c r="E1073" s="4">
        <v>0.1</v>
      </c>
      <c r="F1073" s="5">
        <f t="shared" si="16"/>
        <v>490.14000000000004</v>
      </c>
    </row>
    <row r="1074" spans="1:6" x14ac:dyDescent="0.45">
      <c r="A1074" s="6">
        <v>10656</v>
      </c>
      <c r="B1074" s="3">
        <v>47</v>
      </c>
      <c r="C1074" s="3">
        <v>9.5</v>
      </c>
      <c r="D1074" s="3">
        <v>6</v>
      </c>
      <c r="E1074" s="4">
        <v>0.1</v>
      </c>
      <c r="F1074" s="5">
        <f t="shared" si="16"/>
        <v>51.300000000000004</v>
      </c>
    </row>
    <row r="1075" spans="1:6" x14ac:dyDescent="0.45">
      <c r="A1075" s="6">
        <v>10657</v>
      </c>
      <c r="B1075" s="3">
        <v>15</v>
      </c>
      <c r="C1075" s="3">
        <v>15.5</v>
      </c>
      <c r="D1075" s="3">
        <v>50</v>
      </c>
      <c r="E1075" s="4">
        <v>0</v>
      </c>
      <c r="F1075" s="5">
        <f t="shared" si="16"/>
        <v>775</v>
      </c>
    </row>
    <row r="1076" spans="1:6" x14ac:dyDescent="0.45">
      <c r="A1076" s="6">
        <v>10657</v>
      </c>
      <c r="B1076" s="3">
        <v>41</v>
      </c>
      <c r="C1076" s="3">
        <v>9.65</v>
      </c>
      <c r="D1076" s="3">
        <v>24</v>
      </c>
      <c r="E1076" s="4">
        <v>0</v>
      </c>
      <c r="F1076" s="5">
        <f t="shared" si="16"/>
        <v>231.60000000000002</v>
      </c>
    </row>
    <row r="1077" spans="1:6" x14ac:dyDescent="0.45">
      <c r="A1077" s="6">
        <v>10657</v>
      </c>
      <c r="B1077" s="3">
        <v>46</v>
      </c>
      <c r="C1077" s="3">
        <v>12</v>
      </c>
      <c r="D1077" s="3">
        <v>45</v>
      </c>
      <c r="E1077" s="4">
        <v>0</v>
      </c>
      <c r="F1077" s="5">
        <f t="shared" si="16"/>
        <v>540</v>
      </c>
    </row>
    <row r="1078" spans="1:6" x14ac:dyDescent="0.45">
      <c r="A1078" s="6">
        <v>10657</v>
      </c>
      <c r="B1078" s="3">
        <v>47</v>
      </c>
      <c r="C1078" s="3">
        <v>9.5</v>
      </c>
      <c r="D1078" s="3">
        <v>10</v>
      </c>
      <c r="E1078" s="4">
        <v>0</v>
      </c>
      <c r="F1078" s="5">
        <f t="shared" si="16"/>
        <v>95</v>
      </c>
    </row>
    <row r="1079" spans="1:6" x14ac:dyDescent="0.45">
      <c r="A1079" s="6">
        <v>10657</v>
      </c>
      <c r="B1079" s="3">
        <v>56</v>
      </c>
      <c r="C1079" s="3">
        <v>38</v>
      </c>
      <c r="D1079" s="3">
        <v>45</v>
      </c>
      <c r="E1079" s="4">
        <v>0</v>
      </c>
      <c r="F1079" s="5">
        <f t="shared" si="16"/>
        <v>1710</v>
      </c>
    </row>
    <row r="1080" spans="1:6" x14ac:dyDescent="0.45">
      <c r="A1080" s="6">
        <v>10657</v>
      </c>
      <c r="B1080" s="3">
        <v>60</v>
      </c>
      <c r="C1080" s="3">
        <v>34</v>
      </c>
      <c r="D1080" s="3">
        <v>30</v>
      </c>
      <c r="E1080" s="4">
        <v>0</v>
      </c>
      <c r="F1080" s="5">
        <f t="shared" si="16"/>
        <v>1020</v>
      </c>
    </row>
    <row r="1081" spans="1:6" x14ac:dyDescent="0.45">
      <c r="A1081" s="6">
        <v>10658</v>
      </c>
      <c r="B1081" s="3">
        <v>21</v>
      </c>
      <c r="C1081" s="3">
        <v>10</v>
      </c>
      <c r="D1081" s="3">
        <v>60</v>
      </c>
      <c r="E1081" s="4">
        <v>0</v>
      </c>
      <c r="F1081" s="5">
        <f t="shared" si="16"/>
        <v>600</v>
      </c>
    </row>
    <row r="1082" spans="1:6" x14ac:dyDescent="0.45">
      <c r="A1082" s="6">
        <v>10658</v>
      </c>
      <c r="B1082" s="3">
        <v>40</v>
      </c>
      <c r="C1082" s="3">
        <v>18.399999999999999</v>
      </c>
      <c r="D1082" s="3">
        <v>70</v>
      </c>
      <c r="E1082" s="4">
        <v>0.05</v>
      </c>
      <c r="F1082" s="5">
        <f t="shared" si="16"/>
        <v>1223.5999999999999</v>
      </c>
    </row>
    <row r="1083" spans="1:6" x14ac:dyDescent="0.45">
      <c r="A1083" s="6">
        <v>10658</v>
      </c>
      <c r="B1083" s="3">
        <v>60</v>
      </c>
      <c r="C1083" s="3">
        <v>34</v>
      </c>
      <c r="D1083" s="3">
        <v>55</v>
      </c>
      <c r="E1083" s="4">
        <v>0.05</v>
      </c>
      <c r="F1083" s="5">
        <f t="shared" si="16"/>
        <v>1776.5</v>
      </c>
    </row>
    <row r="1084" spans="1:6" x14ac:dyDescent="0.45">
      <c r="A1084" s="6">
        <v>10658</v>
      </c>
      <c r="B1084" s="3">
        <v>77</v>
      </c>
      <c r="C1084" s="3">
        <v>13</v>
      </c>
      <c r="D1084" s="3">
        <v>70</v>
      </c>
      <c r="E1084" s="4">
        <v>0.05</v>
      </c>
      <c r="F1084" s="5">
        <f t="shared" si="16"/>
        <v>864.5</v>
      </c>
    </row>
    <row r="1085" spans="1:6" x14ac:dyDescent="0.45">
      <c r="A1085" s="6">
        <v>10659</v>
      </c>
      <c r="B1085" s="3">
        <v>31</v>
      </c>
      <c r="C1085" s="3">
        <v>12.5</v>
      </c>
      <c r="D1085" s="3">
        <v>20</v>
      </c>
      <c r="E1085" s="4">
        <v>0.05</v>
      </c>
      <c r="F1085" s="5">
        <f t="shared" si="16"/>
        <v>237.5</v>
      </c>
    </row>
    <row r="1086" spans="1:6" x14ac:dyDescent="0.45">
      <c r="A1086" s="6">
        <v>10659</v>
      </c>
      <c r="B1086" s="3">
        <v>40</v>
      </c>
      <c r="C1086" s="3">
        <v>18.399999999999999</v>
      </c>
      <c r="D1086" s="3">
        <v>24</v>
      </c>
      <c r="E1086" s="4">
        <v>0.05</v>
      </c>
      <c r="F1086" s="5">
        <f t="shared" si="16"/>
        <v>419.51999999999992</v>
      </c>
    </row>
    <row r="1087" spans="1:6" x14ac:dyDescent="0.45">
      <c r="A1087" s="6">
        <v>10659</v>
      </c>
      <c r="B1087" s="3">
        <v>70</v>
      </c>
      <c r="C1087" s="3">
        <v>15</v>
      </c>
      <c r="D1087" s="3">
        <v>40</v>
      </c>
      <c r="E1087" s="4">
        <v>0.05</v>
      </c>
      <c r="F1087" s="5">
        <f t="shared" si="16"/>
        <v>570</v>
      </c>
    </row>
    <row r="1088" spans="1:6" x14ac:dyDescent="0.45">
      <c r="A1088" s="6">
        <v>10660</v>
      </c>
      <c r="B1088" s="3">
        <v>20</v>
      </c>
      <c r="C1088" s="3">
        <v>81</v>
      </c>
      <c r="D1088" s="3">
        <v>21</v>
      </c>
      <c r="E1088" s="4">
        <v>0</v>
      </c>
      <c r="F1088" s="5">
        <f t="shared" si="16"/>
        <v>1701</v>
      </c>
    </row>
    <row r="1089" spans="1:6" x14ac:dyDescent="0.45">
      <c r="A1089" s="6">
        <v>10661</v>
      </c>
      <c r="B1089" s="3">
        <v>39</v>
      </c>
      <c r="C1089" s="3">
        <v>18</v>
      </c>
      <c r="D1089" s="3">
        <v>3</v>
      </c>
      <c r="E1089" s="4">
        <v>0.2</v>
      </c>
      <c r="F1089" s="5">
        <f t="shared" si="16"/>
        <v>43.2</v>
      </c>
    </row>
    <row r="1090" spans="1:6" x14ac:dyDescent="0.45">
      <c r="A1090" s="6">
        <v>10661</v>
      </c>
      <c r="B1090" s="3">
        <v>58</v>
      </c>
      <c r="C1090" s="3">
        <v>13.25</v>
      </c>
      <c r="D1090" s="3">
        <v>49</v>
      </c>
      <c r="E1090" s="4">
        <v>0.2</v>
      </c>
      <c r="F1090" s="5">
        <f t="shared" ref="F1090:F1153" si="17">C1090*D1090*(1-E1090)</f>
        <v>519.4</v>
      </c>
    </row>
    <row r="1091" spans="1:6" x14ac:dyDescent="0.45">
      <c r="A1091" s="6">
        <v>10662</v>
      </c>
      <c r="B1091" s="3">
        <v>68</v>
      </c>
      <c r="C1091" s="3">
        <v>12.5</v>
      </c>
      <c r="D1091" s="3">
        <v>10</v>
      </c>
      <c r="E1091" s="4">
        <v>0</v>
      </c>
      <c r="F1091" s="5">
        <f t="shared" si="17"/>
        <v>125</v>
      </c>
    </row>
    <row r="1092" spans="1:6" x14ac:dyDescent="0.45">
      <c r="A1092" s="6">
        <v>10663</v>
      </c>
      <c r="B1092" s="3">
        <v>40</v>
      </c>
      <c r="C1092" s="3">
        <v>18.399999999999999</v>
      </c>
      <c r="D1092" s="3">
        <v>30</v>
      </c>
      <c r="E1092" s="4">
        <v>0.05</v>
      </c>
      <c r="F1092" s="5">
        <f t="shared" si="17"/>
        <v>524.4</v>
      </c>
    </row>
    <row r="1093" spans="1:6" x14ac:dyDescent="0.45">
      <c r="A1093" s="6">
        <v>10663</v>
      </c>
      <c r="B1093" s="3">
        <v>42</v>
      </c>
      <c r="C1093" s="3">
        <v>14</v>
      </c>
      <c r="D1093" s="3">
        <v>30</v>
      </c>
      <c r="E1093" s="4">
        <v>0.05</v>
      </c>
      <c r="F1093" s="5">
        <f t="shared" si="17"/>
        <v>399</v>
      </c>
    </row>
    <row r="1094" spans="1:6" x14ac:dyDescent="0.45">
      <c r="A1094" s="6">
        <v>10663</v>
      </c>
      <c r="B1094" s="3">
        <v>51</v>
      </c>
      <c r="C1094" s="3">
        <v>53</v>
      </c>
      <c r="D1094" s="3">
        <v>20</v>
      </c>
      <c r="E1094" s="4">
        <v>0.05</v>
      </c>
      <c r="F1094" s="5">
        <f t="shared" si="17"/>
        <v>1007</v>
      </c>
    </row>
    <row r="1095" spans="1:6" x14ac:dyDescent="0.45">
      <c r="A1095" s="6">
        <v>10664</v>
      </c>
      <c r="B1095" s="3">
        <v>10</v>
      </c>
      <c r="C1095" s="3">
        <v>31</v>
      </c>
      <c r="D1095" s="3">
        <v>24</v>
      </c>
      <c r="E1095" s="4">
        <v>0.15</v>
      </c>
      <c r="F1095" s="5">
        <f t="shared" si="17"/>
        <v>632.4</v>
      </c>
    </row>
    <row r="1096" spans="1:6" x14ac:dyDescent="0.45">
      <c r="A1096" s="6">
        <v>10664</v>
      </c>
      <c r="B1096" s="3">
        <v>56</v>
      </c>
      <c r="C1096" s="3">
        <v>38</v>
      </c>
      <c r="D1096" s="3">
        <v>12</v>
      </c>
      <c r="E1096" s="4">
        <v>0.15</v>
      </c>
      <c r="F1096" s="5">
        <f t="shared" si="17"/>
        <v>387.59999999999997</v>
      </c>
    </row>
    <row r="1097" spans="1:6" x14ac:dyDescent="0.45">
      <c r="A1097" s="6">
        <v>10664</v>
      </c>
      <c r="B1097" s="3">
        <v>65</v>
      </c>
      <c r="C1097" s="3">
        <v>21.05</v>
      </c>
      <c r="D1097" s="3">
        <v>15</v>
      </c>
      <c r="E1097" s="4">
        <v>0.15</v>
      </c>
      <c r="F1097" s="5">
        <f t="shared" si="17"/>
        <v>268.38749999999999</v>
      </c>
    </row>
    <row r="1098" spans="1:6" x14ac:dyDescent="0.45">
      <c r="A1098" s="6">
        <v>10665</v>
      </c>
      <c r="B1098" s="3">
        <v>51</v>
      </c>
      <c r="C1098" s="3">
        <v>53</v>
      </c>
      <c r="D1098" s="3">
        <v>20</v>
      </c>
      <c r="E1098" s="4">
        <v>0</v>
      </c>
      <c r="F1098" s="5">
        <f t="shared" si="17"/>
        <v>1060</v>
      </c>
    </row>
    <row r="1099" spans="1:6" x14ac:dyDescent="0.45">
      <c r="A1099" s="6">
        <v>10665</v>
      </c>
      <c r="B1099" s="3">
        <v>59</v>
      </c>
      <c r="C1099" s="3">
        <v>55</v>
      </c>
      <c r="D1099" s="3">
        <v>1</v>
      </c>
      <c r="E1099" s="4">
        <v>0</v>
      </c>
      <c r="F1099" s="5">
        <f t="shared" si="17"/>
        <v>55</v>
      </c>
    </row>
    <row r="1100" spans="1:6" x14ac:dyDescent="0.45">
      <c r="A1100" s="6">
        <v>10665</v>
      </c>
      <c r="B1100" s="3">
        <v>76</v>
      </c>
      <c r="C1100" s="3">
        <v>18</v>
      </c>
      <c r="D1100" s="3">
        <v>10</v>
      </c>
      <c r="E1100" s="4">
        <v>0</v>
      </c>
      <c r="F1100" s="5">
        <f t="shared" si="17"/>
        <v>180</v>
      </c>
    </row>
    <row r="1101" spans="1:6" x14ac:dyDescent="0.45">
      <c r="A1101" s="6">
        <v>10666</v>
      </c>
      <c r="B1101" s="3">
        <v>29</v>
      </c>
      <c r="C1101" s="3">
        <v>123.79</v>
      </c>
      <c r="D1101" s="3">
        <v>36</v>
      </c>
      <c r="E1101" s="4">
        <v>0</v>
      </c>
      <c r="F1101" s="5">
        <f t="shared" si="17"/>
        <v>4456.4400000000005</v>
      </c>
    </row>
    <row r="1102" spans="1:6" x14ac:dyDescent="0.45">
      <c r="A1102" s="6">
        <v>10666</v>
      </c>
      <c r="B1102" s="3">
        <v>65</v>
      </c>
      <c r="C1102" s="3">
        <v>21.05</v>
      </c>
      <c r="D1102" s="3">
        <v>10</v>
      </c>
      <c r="E1102" s="4">
        <v>0</v>
      </c>
      <c r="F1102" s="5">
        <f t="shared" si="17"/>
        <v>210.5</v>
      </c>
    </row>
    <row r="1103" spans="1:6" x14ac:dyDescent="0.45">
      <c r="A1103" s="6">
        <v>10667</v>
      </c>
      <c r="B1103" s="3">
        <v>69</v>
      </c>
      <c r="C1103" s="3">
        <v>36</v>
      </c>
      <c r="D1103" s="3">
        <v>45</v>
      </c>
      <c r="E1103" s="4">
        <v>0.2</v>
      </c>
      <c r="F1103" s="5">
        <f t="shared" si="17"/>
        <v>1296</v>
      </c>
    </row>
    <row r="1104" spans="1:6" x14ac:dyDescent="0.45">
      <c r="A1104" s="6">
        <v>10667</v>
      </c>
      <c r="B1104" s="3">
        <v>71</v>
      </c>
      <c r="C1104" s="3">
        <v>21.5</v>
      </c>
      <c r="D1104" s="3">
        <v>14</v>
      </c>
      <c r="E1104" s="4">
        <v>0.2</v>
      </c>
      <c r="F1104" s="5">
        <f t="shared" si="17"/>
        <v>240.8</v>
      </c>
    </row>
    <row r="1105" spans="1:6" x14ac:dyDescent="0.45">
      <c r="A1105" s="6">
        <v>10668</v>
      </c>
      <c r="B1105" s="3">
        <v>31</v>
      </c>
      <c r="C1105" s="3">
        <v>12.5</v>
      </c>
      <c r="D1105" s="3">
        <v>8</v>
      </c>
      <c r="E1105" s="4">
        <v>0.1</v>
      </c>
      <c r="F1105" s="5">
        <f t="shared" si="17"/>
        <v>90</v>
      </c>
    </row>
    <row r="1106" spans="1:6" x14ac:dyDescent="0.45">
      <c r="A1106" s="6">
        <v>10668</v>
      </c>
      <c r="B1106" s="3">
        <v>55</v>
      </c>
      <c r="C1106" s="3">
        <v>24</v>
      </c>
      <c r="D1106" s="3">
        <v>4</v>
      </c>
      <c r="E1106" s="4">
        <v>0.1</v>
      </c>
      <c r="F1106" s="5">
        <f t="shared" si="17"/>
        <v>86.4</v>
      </c>
    </row>
    <row r="1107" spans="1:6" x14ac:dyDescent="0.45">
      <c r="A1107" s="6">
        <v>10668</v>
      </c>
      <c r="B1107" s="3">
        <v>64</v>
      </c>
      <c r="C1107" s="3">
        <v>33.25</v>
      </c>
      <c r="D1107" s="3">
        <v>15</v>
      </c>
      <c r="E1107" s="4">
        <v>0.1</v>
      </c>
      <c r="F1107" s="5">
        <f t="shared" si="17"/>
        <v>448.875</v>
      </c>
    </row>
    <row r="1108" spans="1:6" x14ac:dyDescent="0.45">
      <c r="A1108" s="6">
        <v>10669</v>
      </c>
      <c r="B1108" s="3">
        <v>36</v>
      </c>
      <c r="C1108" s="3">
        <v>19</v>
      </c>
      <c r="D1108" s="3">
        <v>30</v>
      </c>
      <c r="E1108" s="4">
        <v>0</v>
      </c>
      <c r="F1108" s="5">
        <f t="shared" si="17"/>
        <v>570</v>
      </c>
    </row>
    <row r="1109" spans="1:6" x14ac:dyDescent="0.45">
      <c r="A1109" s="6">
        <v>10670</v>
      </c>
      <c r="B1109" s="3">
        <v>23</v>
      </c>
      <c r="C1109" s="3">
        <v>9</v>
      </c>
      <c r="D1109" s="3">
        <v>32</v>
      </c>
      <c r="E1109" s="4">
        <v>0</v>
      </c>
      <c r="F1109" s="5">
        <f t="shared" si="17"/>
        <v>288</v>
      </c>
    </row>
    <row r="1110" spans="1:6" x14ac:dyDescent="0.45">
      <c r="A1110" s="6">
        <v>10670</v>
      </c>
      <c r="B1110" s="3">
        <v>46</v>
      </c>
      <c r="C1110" s="3">
        <v>12</v>
      </c>
      <c r="D1110" s="3">
        <v>60</v>
      </c>
      <c r="E1110" s="4">
        <v>0</v>
      </c>
      <c r="F1110" s="5">
        <f t="shared" si="17"/>
        <v>720</v>
      </c>
    </row>
    <row r="1111" spans="1:6" x14ac:dyDescent="0.45">
      <c r="A1111" s="6">
        <v>10670</v>
      </c>
      <c r="B1111" s="3">
        <v>67</v>
      </c>
      <c r="C1111" s="3">
        <v>14</v>
      </c>
      <c r="D1111" s="3">
        <v>25</v>
      </c>
      <c r="E1111" s="4">
        <v>0</v>
      </c>
      <c r="F1111" s="5">
        <f t="shared" si="17"/>
        <v>350</v>
      </c>
    </row>
    <row r="1112" spans="1:6" x14ac:dyDescent="0.45">
      <c r="A1112" s="6">
        <v>10670</v>
      </c>
      <c r="B1112" s="3">
        <v>73</v>
      </c>
      <c r="C1112" s="3">
        <v>15</v>
      </c>
      <c r="D1112" s="3">
        <v>50</v>
      </c>
      <c r="E1112" s="4">
        <v>0</v>
      </c>
      <c r="F1112" s="5">
        <f t="shared" si="17"/>
        <v>750</v>
      </c>
    </row>
    <row r="1113" spans="1:6" x14ac:dyDescent="0.45">
      <c r="A1113" s="6">
        <v>10670</v>
      </c>
      <c r="B1113" s="3">
        <v>75</v>
      </c>
      <c r="C1113" s="3">
        <v>7.75</v>
      </c>
      <c r="D1113" s="3">
        <v>25</v>
      </c>
      <c r="E1113" s="4">
        <v>0</v>
      </c>
      <c r="F1113" s="5">
        <f t="shared" si="17"/>
        <v>193.75</v>
      </c>
    </row>
    <row r="1114" spans="1:6" x14ac:dyDescent="0.45">
      <c r="A1114" s="6">
        <v>10671</v>
      </c>
      <c r="B1114" s="3">
        <v>16</v>
      </c>
      <c r="C1114" s="3">
        <v>17.45</v>
      </c>
      <c r="D1114" s="3">
        <v>10</v>
      </c>
      <c r="E1114" s="4">
        <v>0</v>
      </c>
      <c r="F1114" s="5">
        <f t="shared" si="17"/>
        <v>174.5</v>
      </c>
    </row>
    <row r="1115" spans="1:6" x14ac:dyDescent="0.45">
      <c r="A1115" s="6">
        <v>10671</v>
      </c>
      <c r="B1115" s="3">
        <v>62</v>
      </c>
      <c r="C1115" s="3">
        <v>49.3</v>
      </c>
      <c r="D1115" s="3">
        <v>10</v>
      </c>
      <c r="E1115" s="4">
        <v>0</v>
      </c>
      <c r="F1115" s="5">
        <f t="shared" si="17"/>
        <v>493</v>
      </c>
    </row>
    <row r="1116" spans="1:6" x14ac:dyDescent="0.45">
      <c r="A1116" s="6">
        <v>10671</v>
      </c>
      <c r="B1116" s="3">
        <v>65</v>
      </c>
      <c r="C1116" s="3">
        <v>21.05</v>
      </c>
      <c r="D1116" s="3">
        <v>12</v>
      </c>
      <c r="E1116" s="4">
        <v>0</v>
      </c>
      <c r="F1116" s="5">
        <f t="shared" si="17"/>
        <v>252.60000000000002</v>
      </c>
    </row>
    <row r="1117" spans="1:6" x14ac:dyDescent="0.45">
      <c r="A1117" s="6">
        <v>10672</v>
      </c>
      <c r="B1117" s="3">
        <v>38</v>
      </c>
      <c r="C1117" s="3">
        <v>263.5</v>
      </c>
      <c r="D1117" s="3">
        <v>15</v>
      </c>
      <c r="E1117" s="4">
        <v>0.1</v>
      </c>
      <c r="F1117" s="5">
        <f t="shared" si="17"/>
        <v>3557.25</v>
      </c>
    </row>
    <row r="1118" spans="1:6" x14ac:dyDescent="0.45">
      <c r="A1118" s="6">
        <v>10672</v>
      </c>
      <c r="B1118" s="3">
        <v>71</v>
      </c>
      <c r="C1118" s="3">
        <v>21.5</v>
      </c>
      <c r="D1118" s="3">
        <v>12</v>
      </c>
      <c r="E1118" s="4">
        <v>0</v>
      </c>
      <c r="F1118" s="5">
        <f t="shared" si="17"/>
        <v>258</v>
      </c>
    </row>
    <row r="1119" spans="1:6" x14ac:dyDescent="0.45">
      <c r="A1119" s="6">
        <v>10673</v>
      </c>
      <c r="B1119" s="3">
        <v>16</v>
      </c>
      <c r="C1119" s="3">
        <v>17.45</v>
      </c>
      <c r="D1119" s="3">
        <v>3</v>
      </c>
      <c r="E1119" s="4">
        <v>0</v>
      </c>
      <c r="F1119" s="5">
        <f t="shared" si="17"/>
        <v>52.349999999999994</v>
      </c>
    </row>
    <row r="1120" spans="1:6" x14ac:dyDescent="0.45">
      <c r="A1120" s="6">
        <v>10673</v>
      </c>
      <c r="B1120" s="3">
        <v>42</v>
      </c>
      <c r="C1120" s="3">
        <v>14</v>
      </c>
      <c r="D1120" s="3">
        <v>6</v>
      </c>
      <c r="E1120" s="4">
        <v>0</v>
      </c>
      <c r="F1120" s="5">
        <f t="shared" si="17"/>
        <v>84</v>
      </c>
    </row>
    <row r="1121" spans="1:6" x14ac:dyDescent="0.45">
      <c r="A1121" s="6">
        <v>10673</v>
      </c>
      <c r="B1121" s="3">
        <v>43</v>
      </c>
      <c r="C1121" s="3">
        <v>46</v>
      </c>
      <c r="D1121" s="3">
        <v>6</v>
      </c>
      <c r="E1121" s="4">
        <v>0</v>
      </c>
      <c r="F1121" s="5">
        <f t="shared" si="17"/>
        <v>276</v>
      </c>
    </row>
    <row r="1122" spans="1:6" x14ac:dyDescent="0.45">
      <c r="A1122" s="6">
        <v>10674</v>
      </c>
      <c r="B1122" s="3">
        <v>23</v>
      </c>
      <c r="C1122" s="3">
        <v>9</v>
      </c>
      <c r="D1122" s="3">
        <v>5</v>
      </c>
      <c r="E1122" s="4">
        <v>0</v>
      </c>
      <c r="F1122" s="5">
        <f t="shared" si="17"/>
        <v>45</v>
      </c>
    </row>
    <row r="1123" spans="1:6" x14ac:dyDescent="0.45">
      <c r="A1123" s="6">
        <v>10675</v>
      </c>
      <c r="B1123" s="3">
        <v>14</v>
      </c>
      <c r="C1123" s="3">
        <v>23.25</v>
      </c>
      <c r="D1123" s="3">
        <v>30</v>
      </c>
      <c r="E1123" s="4">
        <v>0</v>
      </c>
      <c r="F1123" s="5">
        <f t="shared" si="17"/>
        <v>697.5</v>
      </c>
    </row>
    <row r="1124" spans="1:6" x14ac:dyDescent="0.45">
      <c r="A1124" s="6">
        <v>10675</v>
      </c>
      <c r="B1124" s="3">
        <v>53</v>
      </c>
      <c r="C1124" s="3">
        <v>32.799999999999997</v>
      </c>
      <c r="D1124" s="3">
        <v>10</v>
      </c>
      <c r="E1124" s="4">
        <v>0</v>
      </c>
      <c r="F1124" s="5">
        <f t="shared" si="17"/>
        <v>328</v>
      </c>
    </row>
    <row r="1125" spans="1:6" x14ac:dyDescent="0.45">
      <c r="A1125" s="6">
        <v>10675</v>
      </c>
      <c r="B1125" s="3">
        <v>58</v>
      </c>
      <c r="C1125" s="3">
        <v>13.25</v>
      </c>
      <c r="D1125" s="3">
        <v>30</v>
      </c>
      <c r="E1125" s="4">
        <v>0</v>
      </c>
      <c r="F1125" s="5">
        <f t="shared" si="17"/>
        <v>397.5</v>
      </c>
    </row>
    <row r="1126" spans="1:6" x14ac:dyDescent="0.45">
      <c r="A1126" s="6">
        <v>10676</v>
      </c>
      <c r="B1126" s="3">
        <v>10</v>
      </c>
      <c r="C1126" s="3">
        <v>31</v>
      </c>
      <c r="D1126" s="3">
        <v>2</v>
      </c>
      <c r="E1126" s="4">
        <v>0</v>
      </c>
      <c r="F1126" s="5">
        <f t="shared" si="17"/>
        <v>62</v>
      </c>
    </row>
    <row r="1127" spans="1:6" x14ac:dyDescent="0.45">
      <c r="A1127" s="6">
        <v>10676</v>
      </c>
      <c r="B1127" s="3">
        <v>19</v>
      </c>
      <c r="C1127" s="3">
        <v>9.1999999999999993</v>
      </c>
      <c r="D1127" s="3">
        <v>7</v>
      </c>
      <c r="E1127" s="4">
        <v>0</v>
      </c>
      <c r="F1127" s="5">
        <f t="shared" si="17"/>
        <v>64.399999999999991</v>
      </c>
    </row>
    <row r="1128" spans="1:6" x14ac:dyDescent="0.45">
      <c r="A1128" s="6">
        <v>10676</v>
      </c>
      <c r="B1128" s="3">
        <v>44</v>
      </c>
      <c r="C1128" s="3">
        <v>19.45</v>
      </c>
      <c r="D1128" s="3">
        <v>21</v>
      </c>
      <c r="E1128" s="4">
        <v>0</v>
      </c>
      <c r="F1128" s="5">
        <f t="shared" si="17"/>
        <v>408.45</v>
      </c>
    </row>
    <row r="1129" spans="1:6" x14ac:dyDescent="0.45">
      <c r="A1129" s="6">
        <v>10677</v>
      </c>
      <c r="B1129" s="3">
        <v>26</v>
      </c>
      <c r="C1129" s="3">
        <v>31.23</v>
      </c>
      <c r="D1129" s="3">
        <v>30</v>
      </c>
      <c r="E1129" s="4">
        <v>0.15</v>
      </c>
      <c r="F1129" s="5">
        <f t="shared" si="17"/>
        <v>796.36500000000001</v>
      </c>
    </row>
    <row r="1130" spans="1:6" x14ac:dyDescent="0.45">
      <c r="A1130" s="6">
        <v>10677</v>
      </c>
      <c r="B1130" s="3">
        <v>33</v>
      </c>
      <c r="C1130" s="3">
        <v>2.5</v>
      </c>
      <c r="D1130" s="3">
        <v>8</v>
      </c>
      <c r="E1130" s="4">
        <v>0.15</v>
      </c>
      <c r="F1130" s="5">
        <f t="shared" si="17"/>
        <v>17</v>
      </c>
    </row>
    <row r="1131" spans="1:6" x14ac:dyDescent="0.45">
      <c r="A1131" s="6">
        <v>10678</v>
      </c>
      <c r="B1131" s="3">
        <v>12</v>
      </c>
      <c r="C1131" s="3">
        <v>38</v>
      </c>
      <c r="D1131" s="3">
        <v>100</v>
      </c>
      <c r="E1131" s="4">
        <v>0</v>
      </c>
      <c r="F1131" s="5">
        <f t="shared" si="17"/>
        <v>3800</v>
      </c>
    </row>
    <row r="1132" spans="1:6" x14ac:dyDescent="0.45">
      <c r="A1132" s="6">
        <v>10678</v>
      </c>
      <c r="B1132" s="3">
        <v>33</v>
      </c>
      <c r="C1132" s="3">
        <v>2.5</v>
      </c>
      <c r="D1132" s="3">
        <v>30</v>
      </c>
      <c r="E1132" s="4">
        <v>0</v>
      </c>
      <c r="F1132" s="5">
        <f t="shared" si="17"/>
        <v>75</v>
      </c>
    </row>
    <row r="1133" spans="1:6" x14ac:dyDescent="0.45">
      <c r="A1133" s="6">
        <v>10678</v>
      </c>
      <c r="B1133" s="3">
        <v>41</v>
      </c>
      <c r="C1133" s="3">
        <v>9.65</v>
      </c>
      <c r="D1133" s="3">
        <v>120</v>
      </c>
      <c r="E1133" s="4">
        <v>0</v>
      </c>
      <c r="F1133" s="5">
        <f t="shared" si="17"/>
        <v>1158</v>
      </c>
    </row>
    <row r="1134" spans="1:6" x14ac:dyDescent="0.45">
      <c r="A1134" s="6">
        <v>10678</v>
      </c>
      <c r="B1134" s="3">
        <v>54</v>
      </c>
      <c r="C1134" s="3">
        <v>7.45</v>
      </c>
      <c r="D1134" s="3">
        <v>30</v>
      </c>
      <c r="E1134" s="4">
        <v>0</v>
      </c>
      <c r="F1134" s="5">
        <f t="shared" si="17"/>
        <v>223.5</v>
      </c>
    </row>
    <row r="1135" spans="1:6" x14ac:dyDescent="0.45">
      <c r="A1135" s="6">
        <v>10679</v>
      </c>
      <c r="B1135" s="3">
        <v>59</v>
      </c>
      <c r="C1135" s="3">
        <v>55</v>
      </c>
      <c r="D1135" s="3">
        <v>12</v>
      </c>
      <c r="E1135" s="4">
        <v>0</v>
      </c>
      <c r="F1135" s="5">
        <f t="shared" si="17"/>
        <v>660</v>
      </c>
    </row>
    <row r="1136" spans="1:6" x14ac:dyDescent="0.45">
      <c r="A1136" s="6">
        <v>10680</v>
      </c>
      <c r="B1136" s="3">
        <v>16</v>
      </c>
      <c r="C1136" s="3">
        <v>17.45</v>
      </c>
      <c r="D1136" s="3">
        <v>50</v>
      </c>
      <c r="E1136" s="4">
        <v>0.25</v>
      </c>
      <c r="F1136" s="5">
        <f t="shared" si="17"/>
        <v>654.375</v>
      </c>
    </row>
    <row r="1137" spans="1:6" x14ac:dyDescent="0.45">
      <c r="A1137" s="6">
        <v>10680</v>
      </c>
      <c r="B1137" s="3">
        <v>31</v>
      </c>
      <c r="C1137" s="3">
        <v>12.5</v>
      </c>
      <c r="D1137" s="3">
        <v>20</v>
      </c>
      <c r="E1137" s="4">
        <v>0.25</v>
      </c>
      <c r="F1137" s="5">
        <f t="shared" si="17"/>
        <v>187.5</v>
      </c>
    </row>
    <row r="1138" spans="1:6" x14ac:dyDescent="0.45">
      <c r="A1138" s="6">
        <v>10680</v>
      </c>
      <c r="B1138" s="3">
        <v>42</v>
      </c>
      <c r="C1138" s="3">
        <v>14</v>
      </c>
      <c r="D1138" s="3">
        <v>40</v>
      </c>
      <c r="E1138" s="4">
        <v>0.25</v>
      </c>
      <c r="F1138" s="5">
        <f t="shared" si="17"/>
        <v>420</v>
      </c>
    </row>
    <row r="1139" spans="1:6" x14ac:dyDescent="0.45">
      <c r="A1139" s="6">
        <v>10681</v>
      </c>
      <c r="B1139" s="3">
        <v>19</v>
      </c>
      <c r="C1139" s="3">
        <v>9.1999999999999993</v>
      </c>
      <c r="D1139" s="3">
        <v>30</v>
      </c>
      <c r="E1139" s="4">
        <v>0.1</v>
      </c>
      <c r="F1139" s="5">
        <f t="shared" si="17"/>
        <v>248.4</v>
      </c>
    </row>
    <row r="1140" spans="1:6" x14ac:dyDescent="0.45">
      <c r="A1140" s="6">
        <v>10681</v>
      </c>
      <c r="B1140" s="3">
        <v>21</v>
      </c>
      <c r="C1140" s="3">
        <v>10</v>
      </c>
      <c r="D1140" s="3">
        <v>12</v>
      </c>
      <c r="E1140" s="4">
        <v>0.1</v>
      </c>
      <c r="F1140" s="5">
        <f t="shared" si="17"/>
        <v>108</v>
      </c>
    </row>
    <row r="1141" spans="1:6" x14ac:dyDescent="0.45">
      <c r="A1141" s="6">
        <v>10681</v>
      </c>
      <c r="B1141" s="3">
        <v>64</v>
      </c>
      <c r="C1141" s="3">
        <v>33.25</v>
      </c>
      <c r="D1141" s="3">
        <v>28</v>
      </c>
      <c r="E1141" s="4">
        <v>0</v>
      </c>
      <c r="F1141" s="5">
        <f t="shared" si="17"/>
        <v>931</v>
      </c>
    </row>
    <row r="1142" spans="1:6" x14ac:dyDescent="0.45">
      <c r="A1142" s="6">
        <v>10682</v>
      </c>
      <c r="B1142" s="3">
        <v>33</v>
      </c>
      <c r="C1142" s="3">
        <v>2.5</v>
      </c>
      <c r="D1142" s="3">
        <v>30</v>
      </c>
      <c r="E1142" s="4">
        <v>0</v>
      </c>
      <c r="F1142" s="5">
        <f t="shared" si="17"/>
        <v>75</v>
      </c>
    </row>
    <row r="1143" spans="1:6" x14ac:dyDescent="0.45">
      <c r="A1143" s="6">
        <v>10682</v>
      </c>
      <c r="B1143" s="3">
        <v>66</v>
      </c>
      <c r="C1143" s="3">
        <v>17</v>
      </c>
      <c r="D1143" s="3">
        <v>4</v>
      </c>
      <c r="E1143" s="4">
        <v>0</v>
      </c>
      <c r="F1143" s="5">
        <f t="shared" si="17"/>
        <v>68</v>
      </c>
    </row>
    <row r="1144" spans="1:6" x14ac:dyDescent="0.45">
      <c r="A1144" s="6">
        <v>10682</v>
      </c>
      <c r="B1144" s="3">
        <v>75</v>
      </c>
      <c r="C1144" s="3">
        <v>7.75</v>
      </c>
      <c r="D1144" s="3">
        <v>30</v>
      </c>
      <c r="E1144" s="4">
        <v>0</v>
      </c>
      <c r="F1144" s="5">
        <f t="shared" si="17"/>
        <v>232.5</v>
      </c>
    </row>
    <row r="1145" spans="1:6" x14ac:dyDescent="0.45">
      <c r="A1145" s="6">
        <v>10683</v>
      </c>
      <c r="B1145" s="3">
        <v>52</v>
      </c>
      <c r="C1145" s="3">
        <v>7</v>
      </c>
      <c r="D1145" s="3">
        <v>9</v>
      </c>
      <c r="E1145" s="4">
        <v>0</v>
      </c>
      <c r="F1145" s="5">
        <f t="shared" si="17"/>
        <v>63</v>
      </c>
    </row>
    <row r="1146" spans="1:6" x14ac:dyDescent="0.45">
      <c r="A1146" s="6">
        <v>10684</v>
      </c>
      <c r="B1146" s="3">
        <v>40</v>
      </c>
      <c r="C1146" s="3">
        <v>18.399999999999999</v>
      </c>
      <c r="D1146" s="3">
        <v>20</v>
      </c>
      <c r="E1146" s="4">
        <v>0</v>
      </c>
      <c r="F1146" s="5">
        <f t="shared" si="17"/>
        <v>368</v>
      </c>
    </row>
    <row r="1147" spans="1:6" x14ac:dyDescent="0.45">
      <c r="A1147" s="6">
        <v>10684</v>
      </c>
      <c r="B1147" s="3">
        <v>47</v>
      </c>
      <c r="C1147" s="3">
        <v>9.5</v>
      </c>
      <c r="D1147" s="3">
        <v>40</v>
      </c>
      <c r="E1147" s="4">
        <v>0</v>
      </c>
      <c r="F1147" s="5">
        <f t="shared" si="17"/>
        <v>380</v>
      </c>
    </row>
    <row r="1148" spans="1:6" x14ac:dyDescent="0.45">
      <c r="A1148" s="6">
        <v>10684</v>
      </c>
      <c r="B1148" s="3">
        <v>60</v>
      </c>
      <c r="C1148" s="3">
        <v>34</v>
      </c>
      <c r="D1148" s="3">
        <v>30</v>
      </c>
      <c r="E1148" s="4">
        <v>0</v>
      </c>
      <c r="F1148" s="5">
        <f t="shared" si="17"/>
        <v>1020</v>
      </c>
    </row>
    <row r="1149" spans="1:6" x14ac:dyDescent="0.45">
      <c r="A1149" s="6">
        <v>10685</v>
      </c>
      <c r="B1149" s="3">
        <v>10</v>
      </c>
      <c r="C1149" s="3">
        <v>31</v>
      </c>
      <c r="D1149" s="3">
        <v>20</v>
      </c>
      <c r="E1149" s="4">
        <v>0</v>
      </c>
      <c r="F1149" s="5">
        <f t="shared" si="17"/>
        <v>620</v>
      </c>
    </row>
    <row r="1150" spans="1:6" x14ac:dyDescent="0.45">
      <c r="A1150" s="6">
        <v>10685</v>
      </c>
      <c r="B1150" s="3">
        <v>41</v>
      </c>
      <c r="C1150" s="3">
        <v>9.65</v>
      </c>
      <c r="D1150" s="3">
        <v>4</v>
      </c>
      <c r="E1150" s="4">
        <v>0</v>
      </c>
      <c r="F1150" s="5">
        <f t="shared" si="17"/>
        <v>38.6</v>
      </c>
    </row>
    <row r="1151" spans="1:6" x14ac:dyDescent="0.45">
      <c r="A1151" s="6">
        <v>10685</v>
      </c>
      <c r="B1151" s="3">
        <v>47</v>
      </c>
      <c r="C1151" s="3">
        <v>9.5</v>
      </c>
      <c r="D1151" s="3">
        <v>15</v>
      </c>
      <c r="E1151" s="4">
        <v>0</v>
      </c>
      <c r="F1151" s="5">
        <f t="shared" si="17"/>
        <v>142.5</v>
      </c>
    </row>
    <row r="1152" spans="1:6" x14ac:dyDescent="0.45">
      <c r="A1152" s="6">
        <v>10686</v>
      </c>
      <c r="B1152" s="3">
        <v>17</v>
      </c>
      <c r="C1152" s="3">
        <v>39</v>
      </c>
      <c r="D1152" s="3">
        <v>30</v>
      </c>
      <c r="E1152" s="4">
        <v>0.2</v>
      </c>
      <c r="F1152" s="5">
        <f t="shared" si="17"/>
        <v>936</v>
      </c>
    </row>
    <row r="1153" spans="1:6" x14ac:dyDescent="0.45">
      <c r="A1153" s="6">
        <v>10686</v>
      </c>
      <c r="B1153" s="3">
        <v>26</v>
      </c>
      <c r="C1153" s="3">
        <v>31.23</v>
      </c>
      <c r="D1153" s="3">
        <v>15</v>
      </c>
      <c r="E1153" s="4">
        <v>0</v>
      </c>
      <c r="F1153" s="5">
        <f t="shared" si="17"/>
        <v>468.45</v>
      </c>
    </row>
    <row r="1154" spans="1:6" x14ac:dyDescent="0.45">
      <c r="A1154" s="6">
        <v>10687</v>
      </c>
      <c r="B1154" s="3">
        <v>9</v>
      </c>
      <c r="C1154" s="3">
        <v>97</v>
      </c>
      <c r="D1154" s="3">
        <v>50</v>
      </c>
      <c r="E1154" s="4">
        <v>0.25</v>
      </c>
      <c r="F1154" s="5">
        <f t="shared" ref="F1154:F1217" si="18">C1154*D1154*(1-E1154)</f>
        <v>3637.5</v>
      </c>
    </row>
    <row r="1155" spans="1:6" x14ac:dyDescent="0.45">
      <c r="A1155" s="6">
        <v>10687</v>
      </c>
      <c r="B1155" s="3">
        <v>29</v>
      </c>
      <c r="C1155" s="3">
        <v>123.79</v>
      </c>
      <c r="D1155" s="3">
        <v>10</v>
      </c>
      <c r="E1155" s="4">
        <v>0</v>
      </c>
      <c r="F1155" s="5">
        <f t="shared" si="18"/>
        <v>1237.9000000000001</v>
      </c>
    </row>
    <row r="1156" spans="1:6" x14ac:dyDescent="0.45">
      <c r="A1156" s="6">
        <v>10687</v>
      </c>
      <c r="B1156" s="3">
        <v>36</v>
      </c>
      <c r="C1156" s="3">
        <v>19</v>
      </c>
      <c r="D1156" s="3">
        <v>6</v>
      </c>
      <c r="E1156" s="4">
        <v>0.25</v>
      </c>
      <c r="F1156" s="5">
        <f t="shared" si="18"/>
        <v>85.5</v>
      </c>
    </row>
    <row r="1157" spans="1:6" x14ac:dyDescent="0.45">
      <c r="A1157" s="6">
        <v>10688</v>
      </c>
      <c r="B1157" s="3">
        <v>10</v>
      </c>
      <c r="C1157" s="3">
        <v>31</v>
      </c>
      <c r="D1157" s="3">
        <v>18</v>
      </c>
      <c r="E1157" s="4">
        <v>0.1</v>
      </c>
      <c r="F1157" s="5">
        <f t="shared" si="18"/>
        <v>502.2</v>
      </c>
    </row>
    <row r="1158" spans="1:6" x14ac:dyDescent="0.45">
      <c r="A1158" s="6">
        <v>10688</v>
      </c>
      <c r="B1158" s="3">
        <v>28</v>
      </c>
      <c r="C1158" s="3">
        <v>45.6</v>
      </c>
      <c r="D1158" s="3">
        <v>60</v>
      </c>
      <c r="E1158" s="4">
        <v>0.1</v>
      </c>
      <c r="F1158" s="5">
        <f t="shared" si="18"/>
        <v>2462.4</v>
      </c>
    </row>
    <row r="1159" spans="1:6" x14ac:dyDescent="0.45">
      <c r="A1159" s="6">
        <v>10688</v>
      </c>
      <c r="B1159" s="3">
        <v>34</v>
      </c>
      <c r="C1159" s="3">
        <v>14</v>
      </c>
      <c r="D1159" s="3">
        <v>14</v>
      </c>
      <c r="E1159" s="4">
        <v>0</v>
      </c>
      <c r="F1159" s="5">
        <f t="shared" si="18"/>
        <v>196</v>
      </c>
    </row>
    <row r="1160" spans="1:6" x14ac:dyDescent="0.45">
      <c r="A1160" s="6">
        <v>10689</v>
      </c>
      <c r="B1160" s="3">
        <v>1</v>
      </c>
      <c r="C1160" s="3">
        <v>18</v>
      </c>
      <c r="D1160" s="3">
        <v>35</v>
      </c>
      <c r="E1160" s="4">
        <v>0.25</v>
      </c>
      <c r="F1160" s="5">
        <f t="shared" si="18"/>
        <v>472.5</v>
      </c>
    </row>
    <row r="1161" spans="1:6" x14ac:dyDescent="0.45">
      <c r="A1161" s="6">
        <v>10690</v>
      </c>
      <c r="B1161" s="3">
        <v>56</v>
      </c>
      <c r="C1161" s="3">
        <v>38</v>
      </c>
      <c r="D1161" s="3">
        <v>20</v>
      </c>
      <c r="E1161" s="4">
        <v>0.25</v>
      </c>
      <c r="F1161" s="5">
        <f t="shared" si="18"/>
        <v>570</v>
      </c>
    </row>
    <row r="1162" spans="1:6" x14ac:dyDescent="0.45">
      <c r="A1162" s="6">
        <v>10690</v>
      </c>
      <c r="B1162" s="3">
        <v>77</v>
      </c>
      <c r="C1162" s="3">
        <v>13</v>
      </c>
      <c r="D1162" s="3">
        <v>30</v>
      </c>
      <c r="E1162" s="4">
        <v>0.25</v>
      </c>
      <c r="F1162" s="5">
        <f t="shared" si="18"/>
        <v>292.5</v>
      </c>
    </row>
    <row r="1163" spans="1:6" x14ac:dyDescent="0.45">
      <c r="A1163" s="6">
        <v>10691</v>
      </c>
      <c r="B1163" s="3">
        <v>1</v>
      </c>
      <c r="C1163" s="3">
        <v>18</v>
      </c>
      <c r="D1163" s="3">
        <v>30</v>
      </c>
      <c r="E1163" s="4">
        <v>0</v>
      </c>
      <c r="F1163" s="5">
        <f t="shared" si="18"/>
        <v>540</v>
      </c>
    </row>
    <row r="1164" spans="1:6" x14ac:dyDescent="0.45">
      <c r="A1164" s="6">
        <v>10691</v>
      </c>
      <c r="B1164" s="3">
        <v>29</v>
      </c>
      <c r="C1164" s="3">
        <v>123.79</v>
      </c>
      <c r="D1164" s="3">
        <v>40</v>
      </c>
      <c r="E1164" s="4">
        <v>0</v>
      </c>
      <c r="F1164" s="5">
        <f t="shared" si="18"/>
        <v>4951.6000000000004</v>
      </c>
    </row>
    <row r="1165" spans="1:6" x14ac:dyDescent="0.45">
      <c r="A1165" s="6">
        <v>10691</v>
      </c>
      <c r="B1165" s="3">
        <v>43</v>
      </c>
      <c r="C1165" s="3">
        <v>46</v>
      </c>
      <c r="D1165" s="3">
        <v>40</v>
      </c>
      <c r="E1165" s="4">
        <v>0</v>
      </c>
      <c r="F1165" s="5">
        <f t="shared" si="18"/>
        <v>1840</v>
      </c>
    </row>
    <row r="1166" spans="1:6" x14ac:dyDescent="0.45">
      <c r="A1166" s="6">
        <v>10691</v>
      </c>
      <c r="B1166" s="3">
        <v>44</v>
      </c>
      <c r="C1166" s="3">
        <v>19.45</v>
      </c>
      <c r="D1166" s="3">
        <v>24</v>
      </c>
      <c r="E1166" s="4">
        <v>0</v>
      </c>
      <c r="F1166" s="5">
        <f t="shared" si="18"/>
        <v>466.79999999999995</v>
      </c>
    </row>
    <row r="1167" spans="1:6" x14ac:dyDescent="0.45">
      <c r="A1167" s="6">
        <v>10691</v>
      </c>
      <c r="B1167" s="3">
        <v>62</v>
      </c>
      <c r="C1167" s="3">
        <v>49.3</v>
      </c>
      <c r="D1167" s="3">
        <v>48</v>
      </c>
      <c r="E1167" s="4">
        <v>0</v>
      </c>
      <c r="F1167" s="5">
        <f t="shared" si="18"/>
        <v>2366.3999999999996</v>
      </c>
    </row>
    <row r="1168" spans="1:6" x14ac:dyDescent="0.45">
      <c r="A1168" s="6">
        <v>10692</v>
      </c>
      <c r="B1168" s="3">
        <v>63</v>
      </c>
      <c r="C1168" s="3">
        <v>43.9</v>
      </c>
      <c r="D1168" s="3">
        <v>20</v>
      </c>
      <c r="E1168" s="4">
        <v>0</v>
      </c>
      <c r="F1168" s="5">
        <f t="shared" si="18"/>
        <v>878</v>
      </c>
    </row>
    <row r="1169" spans="1:6" x14ac:dyDescent="0.45">
      <c r="A1169" s="6">
        <v>10693</v>
      </c>
      <c r="B1169" s="3">
        <v>9</v>
      </c>
      <c r="C1169" s="3">
        <v>97</v>
      </c>
      <c r="D1169" s="3">
        <v>6</v>
      </c>
      <c r="E1169" s="4">
        <v>0</v>
      </c>
      <c r="F1169" s="5">
        <f t="shared" si="18"/>
        <v>582</v>
      </c>
    </row>
    <row r="1170" spans="1:6" x14ac:dyDescent="0.45">
      <c r="A1170" s="6">
        <v>10693</v>
      </c>
      <c r="B1170" s="3">
        <v>54</v>
      </c>
      <c r="C1170" s="3">
        <v>7.45</v>
      </c>
      <c r="D1170" s="3">
        <v>60</v>
      </c>
      <c r="E1170" s="4">
        <v>0.15</v>
      </c>
      <c r="F1170" s="5">
        <f t="shared" si="18"/>
        <v>379.95</v>
      </c>
    </row>
    <row r="1171" spans="1:6" x14ac:dyDescent="0.45">
      <c r="A1171" s="6">
        <v>10693</v>
      </c>
      <c r="B1171" s="3">
        <v>69</v>
      </c>
      <c r="C1171" s="3">
        <v>36</v>
      </c>
      <c r="D1171" s="3">
        <v>30</v>
      </c>
      <c r="E1171" s="4">
        <v>0.15</v>
      </c>
      <c r="F1171" s="5">
        <f t="shared" si="18"/>
        <v>918</v>
      </c>
    </row>
    <row r="1172" spans="1:6" x14ac:dyDescent="0.45">
      <c r="A1172" s="6">
        <v>10693</v>
      </c>
      <c r="B1172" s="3">
        <v>73</v>
      </c>
      <c r="C1172" s="3">
        <v>15</v>
      </c>
      <c r="D1172" s="3">
        <v>15</v>
      </c>
      <c r="E1172" s="4">
        <v>0.15</v>
      </c>
      <c r="F1172" s="5">
        <f t="shared" si="18"/>
        <v>191.25</v>
      </c>
    </row>
    <row r="1173" spans="1:6" x14ac:dyDescent="0.45">
      <c r="A1173" s="6">
        <v>10694</v>
      </c>
      <c r="B1173" s="3">
        <v>7</v>
      </c>
      <c r="C1173" s="3">
        <v>30</v>
      </c>
      <c r="D1173" s="3">
        <v>90</v>
      </c>
      <c r="E1173" s="4">
        <v>0</v>
      </c>
      <c r="F1173" s="5">
        <f t="shared" si="18"/>
        <v>2700</v>
      </c>
    </row>
    <row r="1174" spans="1:6" x14ac:dyDescent="0.45">
      <c r="A1174" s="6">
        <v>10694</v>
      </c>
      <c r="B1174" s="3">
        <v>59</v>
      </c>
      <c r="C1174" s="3">
        <v>55</v>
      </c>
      <c r="D1174" s="3">
        <v>25</v>
      </c>
      <c r="E1174" s="4">
        <v>0</v>
      </c>
      <c r="F1174" s="5">
        <f t="shared" si="18"/>
        <v>1375</v>
      </c>
    </row>
    <row r="1175" spans="1:6" x14ac:dyDescent="0.45">
      <c r="A1175" s="6">
        <v>10694</v>
      </c>
      <c r="B1175" s="3">
        <v>70</v>
      </c>
      <c r="C1175" s="3">
        <v>15</v>
      </c>
      <c r="D1175" s="3">
        <v>50</v>
      </c>
      <c r="E1175" s="4">
        <v>0</v>
      </c>
      <c r="F1175" s="5">
        <f t="shared" si="18"/>
        <v>750</v>
      </c>
    </row>
    <row r="1176" spans="1:6" x14ac:dyDescent="0.45">
      <c r="A1176" s="6">
        <v>10695</v>
      </c>
      <c r="B1176" s="3">
        <v>8</v>
      </c>
      <c r="C1176" s="3">
        <v>40</v>
      </c>
      <c r="D1176" s="3">
        <v>10</v>
      </c>
      <c r="E1176" s="4">
        <v>0</v>
      </c>
      <c r="F1176" s="5">
        <f t="shared" si="18"/>
        <v>400</v>
      </c>
    </row>
    <row r="1177" spans="1:6" x14ac:dyDescent="0.45">
      <c r="A1177" s="6">
        <v>10695</v>
      </c>
      <c r="B1177" s="3">
        <v>12</v>
      </c>
      <c r="C1177" s="3">
        <v>38</v>
      </c>
      <c r="D1177" s="3">
        <v>4</v>
      </c>
      <c r="E1177" s="4">
        <v>0</v>
      </c>
      <c r="F1177" s="5">
        <f t="shared" si="18"/>
        <v>152</v>
      </c>
    </row>
    <row r="1178" spans="1:6" x14ac:dyDescent="0.45">
      <c r="A1178" s="6">
        <v>10695</v>
      </c>
      <c r="B1178" s="3">
        <v>24</v>
      </c>
      <c r="C1178" s="3">
        <v>4.5</v>
      </c>
      <c r="D1178" s="3">
        <v>20</v>
      </c>
      <c r="E1178" s="4">
        <v>0</v>
      </c>
      <c r="F1178" s="5">
        <f t="shared" si="18"/>
        <v>90</v>
      </c>
    </row>
    <row r="1179" spans="1:6" x14ac:dyDescent="0.45">
      <c r="A1179" s="6">
        <v>10696</v>
      </c>
      <c r="B1179" s="3">
        <v>17</v>
      </c>
      <c r="C1179" s="3">
        <v>39</v>
      </c>
      <c r="D1179" s="3">
        <v>20</v>
      </c>
      <c r="E1179" s="4">
        <v>0</v>
      </c>
      <c r="F1179" s="5">
        <f t="shared" si="18"/>
        <v>780</v>
      </c>
    </row>
    <row r="1180" spans="1:6" x14ac:dyDescent="0.45">
      <c r="A1180" s="6">
        <v>10696</v>
      </c>
      <c r="B1180" s="3">
        <v>46</v>
      </c>
      <c r="C1180" s="3">
        <v>12</v>
      </c>
      <c r="D1180" s="3">
        <v>18</v>
      </c>
      <c r="E1180" s="4">
        <v>0</v>
      </c>
      <c r="F1180" s="5">
        <f t="shared" si="18"/>
        <v>216</v>
      </c>
    </row>
    <row r="1181" spans="1:6" x14ac:dyDescent="0.45">
      <c r="A1181" s="6">
        <v>10697</v>
      </c>
      <c r="B1181" s="3">
        <v>19</v>
      </c>
      <c r="C1181" s="3">
        <v>9.1999999999999993</v>
      </c>
      <c r="D1181" s="3">
        <v>7</v>
      </c>
      <c r="E1181" s="4">
        <v>0.25</v>
      </c>
      <c r="F1181" s="5">
        <f t="shared" si="18"/>
        <v>48.3</v>
      </c>
    </row>
    <row r="1182" spans="1:6" x14ac:dyDescent="0.45">
      <c r="A1182" s="6">
        <v>10697</v>
      </c>
      <c r="B1182" s="3">
        <v>35</v>
      </c>
      <c r="C1182" s="3">
        <v>18</v>
      </c>
      <c r="D1182" s="3">
        <v>9</v>
      </c>
      <c r="E1182" s="4">
        <v>0.25</v>
      </c>
      <c r="F1182" s="5">
        <f t="shared" si="18"/>
        <v>121.5</v>
      </c>
    </row>
    <row r="1183" spans="1:6" x14ac:dyDescent="0.45">
      <c r="A1183" s="6">
        <v>10697</v>
      </c>
      <c r="B1183" s="3">
        <v>58</v>
      </c>
      <c r="C1183" s="3">
        <v>13.25</v>
      </c>
      <c r="D1183" s="3">
        <v>30</v>
      </c>
      <c r="E1183" s="4">
        <v>0.25</v>
      </c>
      <c r="F1183" s="5">
        <f t="shared" si="18"/>
        <v>298.125</v>
      </c>
    </row>
    <row r="1184" spans="1:6" x14ac:dyDescent="0.45">
      <c r="A1184" s="6">
        <v>10697</v>
      </c>
      <c r="B1184" s="3">
        <v>70</v>
      </c>
      <c r="C1184" s="3">
        <v>15</v>
      </c>
      <c r="D1184" s="3">
        <v>30</v>
      </c>
      <c r="E1184" s="4">
        <v>0.25</v>
      </c>
      <c r="F1184" s="5">
        <f t="shared" si="18"/>
        <v>337.5</v>
      </c>
    </row>
    <row r="1185" spans="1:6" x14ac:dyDescent="0.45">
      <c r="A1185" s="6">
        <v>10698</v>
      </c>
      <c r="B1185" s="3">
        <v>11</v>
      </c>
      <c r="C1185" s="3">
        <v>21</v>
      </c>
      <c r="D1185" s="3">
        <v>15</v>
      </c>
      <c r="E1185" s="4">
        <v>0</v>
      </c>
      <c r="F1185" s="5">
        <f t="shared" si="18"/>
        <v>315</v>
      </c>
    </row>
    <row r="1186" spans="1:6" x14ac:dyDescent="0.45">
      <c r="A1186" s="6">
        <v>10698</v>
      </c>
      <c r="B1186" s="3">
        <v>17</v>
      </c>
      <c r="C1186" s="3">
        <v>39</v>
      </c>
      <c r="D1186" s="3">
        <v>8</v>
      </c>
      <c r="E1186" s="4">
        <v>0.05</v>
      </c>
      <c r="F1186" s="5">
        <f t="shared" si="18"/>
        <v>296.39999999999998</v>
      </c>
    </row>
    <row r="1187" spans="1:6" x14ac:dyDescent="0.45">
      <c r="A1187" s="6">
        <v>10698</v>
      </c>
      <c r="B1187" s="3">
        <v>29</v>
      </c>
      <c r="C1187" s="3">
        <v>123.79</v>
      </c>
      <c r="D1187" s="3">
        <v>12</v>
      </c>
      <c r="E1187" s="4">
        <v>0.05</v>
      </c>
      <c r="F1187" s="5">
        <f t="shared" si="18"/>
        <v>1411.2059999999999</v>
      </c>
    </row>
    <row r="1188" spans="1:6" x14ac:dyDescent="0.45">
      <c r="A1188" s="6">
        <v>10698</v>
      </c>
      <c r="B1188" s="3">
        <v>65</v>
      </c>
      <c r="C1188" s="3">
        <v>21.05</v>
      </c>
      <c r="D1188" s="3">
        <v>65</v>
      </c>
      <c r="E1188" s="4">
        <v>0.05</v>
      </c>
      <c r="F1188" s="5">
        <f t="shared" si="18"/>
        <v>1299.8374999999999</v>
      </c>
    </row>
    <row r="1189" spans="1:6" x14ac:dyDescent="0.45">
      <c r="A1189" s="6">
        <v>10698</v>
      </c>
      <c r="B1189" s="3">
        <v>70</v>
      </c>
      <c r="C1189" s="3">
        <v>15</v>
      </c>
      <c r="D1189" s="3">
        <v>8</v>
      </c>
      <c r="E1189" s="4">
        <v>0.05</v>
      </c>
      <c r="F1189" s="5">
        <f t="shared" si="18"/>
        <v>114</v>
      </c>
    </row>
    <row r="1190" spans="1:6" x14ac:dyDescent="0.45">
      <c r="A1190" s="6">
        <v>10699</v>
      </c>
      <c r="B1190" s="3">
        <v>47</v>
      </c>
      <c r="C1190" s="3">
        <v>9.5</v>
      </c>
      <c r="D1190" s="3">
        <v>12</v>
      </c>
      <c r="E1190" s="4">
        <v>0</v>
      </c>
      <c r="F1190" s="5">
        <f t="shared" si="18"/>
        <v>114</v>
      </c>
    </row>
    <row r="1191" spans="1:6" x14ac:dyDescent="0.45">
      <c r="A1191" s="6">
        <v>10700</v>
      </c>
      <c r="B1191" s="3">
        <v>1</v>
      </c>
      <c r="C1191" s="3">
        <v>18</v>
      </c>
      <c r="D1191" s="3">
        <v>5</v>
      </c>
      <c r="E1191" s="4">
        <v>0.2</v>
      </c>
      <c r="F1191" s="5">
        <f t="shared" si="18"/>
        <v>72</v>
      </c>
    </row>
    <row r="1192" spans="1:6" x14ac:dyDescent="0.45">
      <c r="A1192" s="6">
        <v>10700</v>
      </c>
      <c r="B1192" s="3">
        <v>34</v>
      </c>
      <c r="C1192" s="3">
        <v>14</v>
      </c>
      <c r="D1192" s="3">
        <v>12</v>
      </c>
      <c r="E1192" s="4">
        <v>0.2</v>
      </c>
      <c r="F1192" s="5">
        <f t="shared" si="18"/>
        <v>134.4</v>
      </c>
    </row>
    <row r="1193" spans="1:6" x14ac:dyDescent="0.45">
      <c r="A1193" s="6">
        <v>10700</v>
      </c>
      <c r="B1193" s="3">
        <v>68</v>
      </c>
      <c r="C1193" s="3">
        <v>12.5</v>
      </c>
      <c r="D1193" s="3">
        <v>40</v>
      </c>
      <c r="E1193" s="4">
        <v>0.2</v>
      </c>
      <c r="F1193" s="5">
        <f t="shared" si="18"/>
        <v>400</v>
      </c>
    </row>
    <row r="1194" spans="1:6" x14ac:dyDescent="0.45">
      <c r="A1194" s="6">
        <v>10700</v>
      </c>
      <c r="B1194" s="3">
        <v>71</v>
      </c>
      <c r="C1194" s="3">
        <v>21.5</v>
      </c>
      <c r="D1194" s="3">
        <v>60</v>
      </c>
      <c r="E1194" s="4">
        <v>0.2</v>
      </c>
      <c r="F1194" s="5">
        <f t="shared" si="18"/>
        <v>1032</v>
      </c>
    </row>
    <row r="1195" spans="1:6" x14ac:dyDescent="0.45">
      <c r="A1195" s="6">
        <v>10701</v>
      </c>
      <c r="B1195" s="3">
        <v>59</v>
      </c>
      <c r="C1195" s="3">
        <v>55</v>
      </c>
      <c r="D1195" s="3">
        <v>42</v>
      </c>
      <c r="E1195" s="4">
        <v>0.15</v>
      </c>
      <c r="F1195" s="5">
        <f t="shared" si="18"/>
        <v>1963.5</v>
      </c>
    </row>
    <row r="1196" spans="1:6" x14ac:dyDescent="0.45">
      <c r="A1196" s="6">
        <v>10701</v>
      </c>
      <c r="B1196" s="3">
        <v>71</v>
      </c>
      <c r="C1196" s="3">
        <v>21.5</v>
      </c>
      <c r="D1196" s="3">
        <v>20</v>
      </c>
      <c r="E1196" s="4">
        <v>0.15</v>
      </c>
      <c r="F1196" s="5">
        <f t="shared" si="18"/>
        <v>365.5</v>
      </c>
    </row>
    <row r="1197" spans="1:6" x14ac:dyDescent="0.45">
      <c r="A1197" s="6">
        <v>10701</v>
      </c>
      <c r="B1197" s="3">
        <v>76</v>
      </c>
      <c r="C1197" s="3">
        <v>18</v>
      </c>
      <c r="D1197" s="3">
        <v>35</v>
      </c>
      <c r="E1197" s="4">
        <v>0.15</v>
      </c>
      <c r="F1197" s="5">
        <f t="shared" si="18"/>
        <v>535.5</v>
      </c>
    </row>
    <row r="1198" spans="1:6" x14ac:dyDescent="0.45">
      <c r="A1198" s="6">
        <v>10702</v>
      </c>
      <c r="B1198" s="3">
        <v>3</v>
      </c>
      <c r="C1198" s="3">
        <v>10</v>
      </c>
      <c r="D1198" s="3">
        <v>6</v>
      </c>
      <c r="E1198" s="4">
        <v>0</v>
      </c>
      <c r="F1198" s="5">
        <f t="shared" si="18"/>
        <v>60</v>
      </c>
    </row>
    <row r="1199" spans="1:6" x14ac:dyDescent="0.45">
      <c r="A1199" s="6">
        <v>10702</v>
      </c>
      <c r="B1199" s="3">
        <v>76</v>
      </c>
      <c r="C1199" s="3">
        <v>18</v>
      </c>
      <c r="D1199" s="3">
        <v>15</v>
      </c>
      <c r="E1199" s="4">
        <v>0</v>
      </c>
      <c r="F1199" s="5">
        <f t="shared" si="18"/>
        <v>270</v>
      </c>
    </row>
    <row r="1200" spans="1:6" x14ac:dyDescent="0.45">
      <c r="A1200" s="6">
        <v>10703</v>
      </c>
      <c r="B1200" s="3">
        <v>2</v>
      </c>
      <c r="C1200" s="3">
        <v>19</v>
      </c>
      <c r="D1200" s="3">
        <v>5</v>
      </c>
      <c r="E1200" s="4">
        <v>0</v>
      </c>
      <c r="F1200" s="5">
        <f t="shared" si="18"/>
        <v>95</v>
      </c>
    </row>
    <row r="1201" spans="1:6" x14ac:dyDescent="0.45">
      <c r="A1201" s="6">
        <v>10703</v>
      </c>
      <c r="B1201" s="3">
        <v>59</v>
      </c>
      <c r="C1201" s="3">
        <v>55</v>
      </c>
      <c r="D1201" s="3">
        <v>35</v>
      </c>
      <c r="E1201" s="4">
        <v>0</v>
      </c>
      <c r="F1201" s="5">
        <f t="shared" si="18"/>
        <v>1925</v>
      </c>
    </row>
    <row r="1202" spans="1:6" x14ac:dyDescent="0.45">
      <c r="A1202" s="6">
        <v>10703</v>
      </c>
      <c r="B1202" s="3">
        <v>73</v>
      </c>
      <c r="C1202" s="3">
        <v>15</v>
      </c>
      <c r="D1202" s="3">
        <v>35</v>
      </c>
      <c r="E1202" s="4">
        <v>0</v>
      </c>
      <c r="F1202" s="5">
        <f t="shared" si="18"/>
        <v>525</v>
      </c>
    </row>
    <row r="1203" spans="1:6" x14ac:dyDescent="0.45">
      <c r="A1203" s="6">
        <v>10704</v>
      </c>
      <c r="B1203" s="3">
        <v>4</v>
      </c>
      <c r="C1203" s="3">
        <v>22</v>
      </c>
      <c r="D1203" s="3">
        <v>6</v>
      </c>
      <c r="E1203" s="4">
        <v>0</v>
      </c>
      <c r="F1203" s="5">
        <f t="shared" si="18"/>
        <v>132</v>
      </c>
    </row>
    <row r="1204" spans="1:6" x14ac:dyDescent="0.45">
      <c r="A1204" s="6">
        <v>10704</v>
      </c>
      <c r="B1204" s="3">
        <v>24</v>
      </c>
      <c r="C1204" s="3">
        <v>4.5</v>
      </c>
      <c r="D1204" s="3">
        <v>35</v>
      </c>
      <c r="E1204" s="4">
        <v>0</v>
      </c>
      <c r="F1204" s="5">
        <f t="shared" si="18"/>
        <v>157.5</v>
      </c>
    </row>
    <row r="1205" spans="1:6" x14ac:dyDescent="0.45">
      <c r="A1205" s="6">
        <v>10704</v>
      </c>
      <c r="B1205" s="3">
        <v>48</v>
      </c>
      <c r="C1205" s="3">
        <v>12.75</v>
      </c>
      <c r="D1205" s="3">
        <v>24</v>
      </c>
      <c r="E1205" s="4">
        <v>0</v>
      </c>
      <c r="F1205" s="5">
        <f t="shared" si="18"/>
        <v>306</v>
      </c>
    </row>
    <row r="1206" spans="1:6" x14ac:dyDescent="0.45">
      <c r="A1206" s="6">
        <v>10705</v>
      </c>
      <c r="B1206" s="3">
        <v>31</v>
      </c>
      <c r="C1206" s="3">
        <v>12.5</v>
      </c>
      <c r="D1206" s="3">
        <v>20</v>
      </c>
      <c r="E1206" s="4">
        <v>0</v>
      </c>
      <c r="F1206" s="5">
        <f t="shared" si="18"/>
        <v>250</v>
      </c>
    </row>
    <row r="1207" spans="1:6" x14ac:dyDescent="0.45">
      <c r="A1207" s="6">
        <v>10705</v>
      </c>
      <c r="B1207" s="3">
        <v>32</v>
      </c>
      <c r="C1207" s="3">
        <v>32</v>
      </c>
      <c r="D1207" s="3">
        <v>4</v>
      </c>
      <c r="E1207" s="4">
        <v>0</v>
      </c>
      <c r="F1207" s="5">
        <f t="shared" si="18"/>
        <v>128</v>
      </c>
    </row>
    <row r="1208" spans="1:6" x14ac:dyDescent="0.45">
      <c r="A1208" s="6">
        <v>10706</v>
      </c>
      <c r="B1208" s="3">
        <v>16</v>
      </c>
      <c r="C1208" s="3">
        <v>17.45</v>
      </c>
      <c r="D1208" s="3">
        <v>20</v>
      </c>
      <c r="E1208" s="4">
        <v>0</v>
      </c>
      <c r="F1208" s="5">
        <f t="shared" si="18"/>
        <v>349</v>
      </c>
    </row>
    <row r="1209" spans="1:6" x14ac:dyDescent="0.45">
      <c r="A1209" s="6">
        <v>10706</v>
      </c>
      <c r="B1209" s="3">
        <v>43</v>
      </c>
      <c r="C1209" s="3">
        <v>46</v>
      </c>
      <c r="D1209" s="3">
        <v>24</v>
      </c>
      <c r="E1209" s="4">
        <v>0</v>
      </c>
      <c r="F1209" s="5">
        <f t="shared" si="18"/>
        <v>1104</v>
      </c>
    </row>
    <row r="1210" spans="1:6" x14ac:dyDescent="0.45">
      <c r="A1210" s="6">
        <v>10706</v>
      </c>
      <c r="B1210" s="3">
        <v>59</v>
      </c>
      <c r="C1210" s="3">
        <v>55</v>
      </c>
      <c r="D1210" s="3">
        <v>8</v>
      </c>
      <c r="E1210" s="4">
        <v>0</v>
      </c>
      <c r="F1210" s="5">
        <f t="shared" si="18"/>
        <v>440</v>
      </c>
    </row>
    <row r="1211" spans="1:6" x14ac:dyDescent="0.45">
      <c r="A1211" s="6">
        <v>10707</v>
      </c>
      <c r="B1211" s="3">
        <v>55</v>
      </c>
      <c r="C1211" s="3">
        <v>24</v>
      </c>
      <c r="D1211" s="3">
        <v>21</v>
      </c>
      <c r="E1211" s="4">
        <v>0</v>
      </c>
      <c r="F1211" s="5">
        <f t="shared" si="18"/>
        <v>504</v>
      </c>
    </row>
    <row r="1212" spans="1:6" x14ac:dyDescent="0.45">
      <c r="A1212" s="6">
        <v>10707</v>
      </c>
      <c r="B1212" s="3">
        <v>57</v>
      </c>
      <c r="C1212" s="3">
        <v>19.5</v>
      </c>
      <c r="D1212" s="3">
        <v>40</v>
      </c>
      <c r="E1212" s="4">
        <v>0</v>
      </c>
      <c r="F1212" s="5">
        <f t="shared" si="18"/>
        <v>780</v>
      </c>
    </row>
    <row r="1213" spans="1:6" x14ac:dyDescent="0.45">
      <c r="A1213" s="6">
        <v>10707</v>
      </c>
      <c r="B1213" s="3">
        <v>70</v>
      </c>
      <c r="C1213" s="3">
        <v>15</v>
      </c>
      <c r="D1213" s="3">
        <v>28</v>
      </c>
      <c r="E1213" s="4">
        <v>0.15</v>
      </c>
      <c r="F1213" s="5">
        <f t="shared" si="18"/>
        <v>357</v>
      </c>
    </row>
    <row r="1214" spans="1:6" x14ac:dyDescent="0.45">
      <c r="A1214" s="6">
        <v>10708</v>
      </c>
      <c r="B1214" s="3">
        <v>5</v>
      </c>
      <c r="C1214" s="3">
        <v>21.35</v>
      </c>
      <c r="D1214" s="3">
        <v>4</v>
      </c>
      <c r="E1214" s="4">
        <v>0</v>
      </c>
      <c r="F1214" s="5">
        <f t="shared" si="18"/>
        <v>85.4</v>
      </c>
    </row>
    <row r="1215" spans="1:6" x14ac:dyDescent="0.45">
      <c r="A1215" s="6">
        <v>10708</v>
      </c>
      <c r="B1215" s="3">
        <v>36</v>
      </c>
      <c r="C1215" s="3">
        <v>19</v>
      </c>
      <c r="D1215" s="3">
        <v>5</v>
      </c>
      <c r="E1215" s="4">
        <v>0</v>
      </c>
      <c r="F1215" s="5">
        <f t="shared" si="18"/>
        <v>95</v>
      </c>
    </row>
    <row r="1216" spans="1:6" x14ac:dyDescent="0.45">
      <c r="A1216" s="6">
        <v>10709</v>
      </c>
      <c r="B1216" s="3">
        <v>8</v>
      </c>
      <c r="C1216" s="3">
        <v>40</v>
      </c>
      <c r="D1216" s="3">
        <v>40</v>
      </c>
      <c r="E1216" s="4">
        <v>0</v>
      </c>
      <c r="F1216" s="5">
        <f t="shared" si="18"/>
        <v>1600</v>
      </c>
    </row>
    <row r="1217" spans="1:6" x14ac:dyDescent="0.45">
      <c r="A1217" s="6">
        <v>10709</v>
      </c>
      <c r="B1217" s="3">
        <v>51</v>
      </c>
      <c r="C1217" s="3">
        <v>53</v>
      </c>
      <c r="D1217" s="3">
        <v>28</v>
      </c>
      <c r="E1217" s="4">
        <v>0</v>
      </c>
      <c r="F1217" s="5">
        <f t="shared" si="18"/>
        <v>1484</v>
      </c>
    </row>
    <row r="1218" spans="1:6" x14ac:dyDescent="0.45">
      <c r="A1218" s="6">
        <v>10709</v>
      </c>
      <c r="B1218" s="3">
        <v>60</v>
      </c>
      <c r="C1218" s="3">
        <v>34</v>
      </c>
      <c r="D1218" s="3">
        <v>10</v>
      </c>
      <c r="E1218" s="4">
        <v>0</v>
      </c>
      <c r="F1218" s="5">
        <f t="shared" ref="F1218:F1281" si="19">C1218*D1218*(1-E1218)</f>
        <v>340</v>
      </c>
    </row>
    <row r="1219" spans="1:6" x14ac:dyDescent="0.45">
      <c r="A1219" s="6">
        <v>10710</v>
      </c>
      <c r="B1219" s="3">
        <v>19</v>
      </c>
      <c r="C1219" s="3">
        <v>9.1999999999999993</v>
      </c>
      <c r="D1219" s="3">
        <v>5</v>
      </c>
      <c r="E1219" s="4">
        <v>0</v>
      </c>
      <c r="F1219" s="5">
        <f t="shared" si="19"/>
        <v>46</v>
      </c>
    </row>
    <row r="1220" spans="1:6" x14ac:dyDescent="0.45">
      <c r="A1220" s="6">
        <v>10710</v>
      </c>
      <c r="B1220" s="3">
        <v>47</v>
      </c>
      <c r="C1220" s="3">
        <v>9.5</v>
      </c>
      <c r="D1220" s="3">
        <v>5</v>
      </c>
      <c r="E1220" s="4">
        <v>0</v>
      </c>
      <c r="F1220" s="5">
        <f t="shared" si="19"/>
        <v>47.5</v>
      </c>
    </row>
    <row r="1221" spans="1:6" x14ac:dyDescent="0.45">
      <c r="A1221" s="6">
        <v>10711</v>
      </c>
      <c r="B1221" s="3">
        <v>19</v>
      </c>
      <c r="C1221" s="3">
        <v>9.1999999999999993</v>
      </c>
      <c r="D1221" s="3">
        <v>12</v>
      </c>
      <c r="E1221" s="4">
        <v>0</v>
      </c>
      <c r="F1221" s="5">
        <f t="shared" si="19"/>
        <v>110.39999999999999</v>
      </c>
    </row>
    <row r="1222" spans="1:6" x14ac:dyDescent="0.45">
      <c r="A1222" s="6">
        <v>10711</v>
      </c>
      <c r="B1222" s="3">
        <v>41</v>
      </c>
      <c r="C1222" s="3">
        <v>9.65</v>
      </c>
      <c r="D1222" s="3">
        <v>42</v>
      </c>
      <c r="E1222" s="4">
        <v>0</v>
      </c>
      <c r="F1222" s="5">
        <f t="shared" si="19"/>
        <v>405.3</v>
      </c>
    </row>
    <row r="1223" spans="1:6" x14ac:dyDescent="0.45">
      <c r="A1223" s="6">
        <v>10711</v>
      </c>
      <c r="B1223" s="3">
        <v>53</v>
      </c>
      <c r="C1223" s="3">
        <v>32.799999999999997</v>
      </c>
      <c r="D1223" s="3">
        <v>120</v>
      </c>
      <c r="E1223" s="4">
        <v>0</v>
      </c>
      <c r="F1223" s="5">
        <f t="shared" si="19"/>
        <v>3935.9999999999995</v>
      </c>
    </row>
    <row r="1224" spans="1:6" x14ac:dyDescent="0.45">
      <c r="A1224" s="6">
        <v>10712</v>
      </c>
      <c r="B1224" s="3">
        <v>53</v>
      </c>
      <c r="C1224" s="3">
        <v>32.799999999999997</v>
      </c>
      <c r="D1224" s="3">
        <v>3</v>
      </c>
      <c r="E1224" s="4">
        <v>0.05</v>
      </c>
      <c r="F1224" s="5">
        <f t="shared" si="19"/>
        <v>93.47999999999999</v>
      </c>
    </row>
    <row r="1225" spans="1:6" x14ac:dyDescent="0.45">
      <c r="A1225" s="6">
        <v>10712</v>
      </c>
      <c r="B1225" s="3">
        <v>56</v>
      </c>
      <c r="C1225" s="3">
        <v>38</v>
      </c>
      <c r="D1225" s="3">
        <v>30</v>
      </c>
      <c r="E1225" s="4">
        <v>0</v>
      </c>
      <c r="F1225" s="5">
        <f t="shared" si="19"/>
        <v>1140</v>
      </c>
    </row>
    <row r="1226" spans="1:6" x14ac:dyDescent="0.45">
      <c r="A1226" s="6">
        <v>10713</v>
      </c>
      <c r="B1226" s="3">
        <v>10</v>
      </c>
      <c r="C1226" s="3">
        <v>31</v>
      </c>
      <c r="D1226" s="3">
        <v>18</v>
      </c>
      <c r="E1226" s="4">
        <v>0</v>
      </c>
      <c r="F1226" s="5">
        <f t="shared" si="19"/>
        <v>558</v>
      </c>
    </row>
    <row r="1227" spans="1:6" x14ac:dyDescent="0.45">
      <c r="A1227" s="6">
        <v>10713</v>
      </c>
      <c r="B1227" s="3">
        <v>26</v>
      </c>
      <c r="C1227" s="3">
        <v>31.23</v>
      </c>
      <c r="D1227" s="3">
        <v>30</v>
      </c>
      <c r="E1227" s="4">
        <v>0</v>
      </c>
      <c r="F1227" s="5">
        <f t="shared" si="19"/>
        <v>936.9</v>
      </c>
    </row>
    <row r="1228" spans="1:6" x14ac:dyDescent="0.45">
      <c r="A1228" s="6">
        <v>10713</v>
      </c>
      <c r="B1228" s="3">
        <v>45</v>
      </c>
      <c r="C1228" s="3">
        <v>9.5</v>
      </c>
      <c r="D1228" s="3">
        <v>110</v>
      </c>
      <c r="E1228" s="4">
        <v>0</v>
      </c>
      <c r="F1228" s="5">
        <f t="shared" si="19"/>
        <v>1045</v>
      </c>
    </row>
    <row r="1229" spans="1:6" x14ac:dyDescent="0.45">
      <c r="A1229" s="6">
        <v>10713</v>
      </c>
      <c r="B1229" s="3">
        <v>46</v>
      </c>
      <c r="C1229" s="3">
        <v>12</v>
      </c>
      <c r="D1229" s="3">
        <v>24</v>
      </c>
      <c r="E1229" s="4">
        <v>0</v>
      </c>
      <c r="F1229" s="5">
        <f t="shared" si="19"/>
        <v>288</v>
      </c>
    </row>
    <row r="1230" spans="1:6" x14ac:dyDescent="0.45">
      <c r="A1230" s="6">
        <v>10714</v>
      </c>
      <c r="B1230" s="3">
        <v>2</v>
      </c>
      <c r="C1230" s="3">
        <v>19</v>
      </c>
      <c r="D1230" s="3">
        <v>30</v>
      </c>
      <c r="E1230" s="4">
        <v>0.25</v>
      </c>
      <c r="F1230" s="5">
        <f t="shared" si="19"/>
        <v>427.5</v>
      </c>
    </row>
    <row r="1231" spans="1:6" x14ac:dyDescent="0.45">
      <c r="A1231" s="6">
        <v>10714</v>
      </c>
      <c r="B1231" s="3">
        <v>17</v>
      </c>
      <c r="C1231" s="3">
        <v>39</v>
      </c>
      <c r="D1231" s="3">
        <v>27</v>
      </c>
      <c r="E1231" s="4">
        <v>0.25</v>
      </c>
      <c r="F1231" s="5">
        <f t="shared" si="19"/>
        <v>789.75</v>
      </c>
    </row>
    <row r="1232" spans="1:6" x14ac:dyDescent="0.45">
      <c r="A1232" s="6">
        <v>10714</v>
      </c>
      <c r="B1232" s="3">
        <v>47</v>
      </c>
      <c r="C1232" s="3">
        <v>9.5</v>
      </c>
      <c r="D1232" s="3">
        <v>50</v>
      </c>
      <c r="E1232" s="4">
        <v>0.25</v>
      </c>
      <c r="F1232" s="5">
        <f t="shared" si="19"/>
        <v>356.25</v>
      </c>
    </row>
    <row r="1233" spans="1:6" x14ac:dyDescent="0.45">
      <c r="A1233" s="6">
        <v>10714</v>
      </c>
      <c r="B1233" s="3">
        <v>56</v>
      </c>
      <c r="C1233" s="3">
        <v>38</v>
      </c>
      <c r="D1233" s="3">
        <v>18</v>
      </c>
      <c r="E1233" s="4">
        <v>0.25</v>
      </c>
      <c r="F1233" s="5">
        <f t="shared" si="19"/>
        <v>513</v>
      </c>
    </row>
    <row r="1234" spans="1:6" x14ac:dyDescent="0.45">
      <c r="A1234" s="6">
        <v>10714</v>
      </c>
      <c r="B1234" s="3">
        <v>58</v>
      </c>
      <c r="C1234" s="3">
        <v>13.25</v>
      </c>
      <c r="D1234" s="3">
        <v>12</v>
      </c>
      <c r="E1234" s="4">
        <v>0.25</v>
      </c>
      <c r="F1234" s="5">
        <f t="shared" si="19"/>
        <v>119.25</v>
      </c>
    </row>
    <row r="1235" spans="1:6" x14ac:dyDescent="0.45">
      <c r="A1235" s="6">
        <v>10715</v>
      </c>
      <c r="B1235" s="3">
        <v>10</v>
      </c>
      <c r="C1235" s="3">
        <v>31</v>
      </c>
      <c r="D1235" s="3">
        <v>21</v>
      </c>
      <c r="E1235" s="4">
        <v>0</v>
      </c>
      <c r="F1235" s="5">
        <f t="shared" si="19"/>
        <v>651</v>
      </c>
    </row>
    <row r="1236" spans="1:6" x14ac:dyDescent="0.45">
      <c r="A1236" s="6">
        <v>10715</v>
      </c>
      <c r="B1236" s="3">
        <v>71</v>
      </c>
      <c r="C1236" s="3">
        <v>21.5</v>
      </c>
      <c r="D1236" s="3">
        <v>30</v>
      </c>
      <c r="E1236" s="4">
        <v>0</v>
      </c>
      <c r="F1236" s="5">
        <f t="shared" si="19"/>
        <v>645</v>
      </c>
    </row>
    <row r="1237" spans="1:6" x14ac:dyDescent="0.45">
      <c r="A1237" s="6">
        <v>10716</v>
      </c>
      <c r="B1237" s="3">
        <v>21</v>
      </c>
      <c r="C1237" s="3">
        <v>10</v>
      </c>
      <c r="D1237" s="3">
        <v>5</v>
      </c>
      <c r="E1237" s="4">
        <v>0</v>
      </c>
      <c r="F1237" s="5">
        <f t="shared" si="19"/>
        <v>50</v>
      </c>
    </row>
    <row r="1238" spans="1:6" x14ac:dyDescent="0.45">
      <c r="A1238" s="6">
        <v>10716</v>
      </c>
      <c r="B1238" s="3">
        <v>51</v>
      </c>
      <c r="C1238" s="3">
        <v>53</v>
      </c>
      <c r="D1238" s="3">
        <v>7</v>
      </c>
      <c r="E1238" s="4">
        <v>0</v>
      </c>
      <c r="F1238" s="5">
        <f t="shared" si="19"/>
        <v>371</v>
      </c>
    </row>
    <row r="1239" spans="1:6" x14ac:dyDescent="0.45">
      <c r="A1239" s="6">
        <v>10716</v>
      </c>
      <c r="B1239" s="3">
        <v>61</v>
      </c>
      <c r="C1239" s="3">
        <v>28.5</v>
      </c>
      <c r="D1239" s="3">
        <v>10</v>
      </c>
      <c r="E1239" s="4">
        <v>0</v>
      </c>
      <c r="F1239" s="5">
        <f t="shared" si="19"/>
        <v>285</v>
      </c>
    </row>
    <row r="1240" spans="1:6" x14ac:dyDescent="0.45">
      <c r="A1240" s="6">
        <v>10717</v>
      </c>
      <c r="B1240" s="3">
        <v>21</v>
      </c>
      <c r="C1240" s="3">
        <v>10</v>
      </c>
      <c r="D1240" s="3">
        <v>32</v>
      </c>
      <c r="E1240" s="4">
        <v>0.05</v>
      </c>
      <c r="F1240" s="5">
        <f t="shared" si="19"/>
        <v>304</v>
      </c>
    </row>
    <row r="1241" spans="1:6" x14ac:dyDescent="0.45">
      <c r="A1241" s="6">
        <v>10717</v>
      </c>
      <c r="B1241" s="3">
        <v>54</v>
      </c>
      <c r="C1241" s="3">
        <v>7.45</v>
      </c>
      <c r="D1241" s="3">
        <v>15</v>
      </c>
      <c r="E1241" s="4">
        <v>0</v>
      </c>
      <c r="F1241" s="5">
        <f t="shared" si="19"/>
        <v>111.75</v>
      </c>
    </row>
    <row r="1242" spans="1:6" x14ac:dyDescent="0.45">
      <c r="A1242" s="6">
        <v>10717</v>
      </c>
      <c r="B1242" s="3">
        <v>69</v>
      </c>
      <c r="C1242" s="3">
        <v>36</v>
      </c>
      <c r="D1242" s="3">
        <v>25</v>
      </c>
      <c r="E1242" s="4">
        <v>0.05</v>
      </c>
      <c r="F1242" s="5">
        <f t="shared" si="19"/>
        <v>855</v>
      </c>
    </row>
    <row r="1243" spans="1:6" x14ac:dyDescent="0.45">
      <c r="A1243" s="6">
        <v>10718</v>
      </c>
      <c r="B1243" s="3">
        <v>12</v>
      </c>
      <c r="C1243" s="3">
        <v>38</v>
      </c>
      <c r="D1243" s="3">
        <v>36</v>
      </c>
      <c r="E1243" s="4">
        <v>0</v>
      </c>
      <c r="F1243" s="5">
        <f t="shared" si="19"/>
        <v>1368</v>
      </c>
    </row>
    <row r="1244" spans="1:6" x14ac:dyDescent="0.45">
      <c r="A1244" s="6">
        <v>10718</v>
      </c>
      <c r="B1244" s="3">
        <v>16</v>
      </c>
      <c r="C1244" s="3">
        <v>17.45</v>
      </c>
      <c r="D1244" s="3">
        <v>20</v>
      </c>
      <c r="E1244" s="4">
        <v>0</v>
      </c>
      <c r="F1244" s="5">
        <f t="shared" si="19"/>
        <v>349</v>
      </c>
    </row>
    <row r="1245" spans="1:6" x14ac:dyDescent="0.45">
      <c r="A1245" s="6">
        <v>10718</v>
      </c>
      <c r="B1245" s="3">
        <v>36</v>
      </c>
      <c r="C1245" s="3">
        <v>19</v>
      </c>
      <c r="D1245" s="3">
        <v>40</v>
      </c>
      <c r="E1245" s="4">
        <v>0</v>
      </c>
      <c r="F1245" s="5">
        <f t="shared" si="19"/>
        <v>760</v>
      </c>
    </row>
    <row r="1246" spans="1:6" x14ac:dyDescent="0.45">
      <c r="A1246" s="6">
        <v>10718</v>
      </c>
      <c r="B1246" s="3">
        <v>62</v>
      </c>
      <c r="C1246" s="3">
        <v>49.3</v>
      </c>
      <c r="D1246" s="3">
        <v>20</v>
      </c>
      <c r="E1246" s="4">
        <v>0</v>
      </c>
      <c r="F1246" s="5">
        <f t="shared" si="19"/>
        <v>986</v>
      </c>
    </row>
    <row r="1247" spans="1:6" x14ac:dyDescent="0.45">
      <c r="A1247" s="6">
        <v>10719</v>
      </c>
      <c r="B1247" s="3">
        <v>18</v>
      </c>
      <c r="C1247" s="3">
        <v>62.5</v>
      </c>
      <c r="D1247" s="3">
        <v>12</v>
      </c>
      <c r="E1247" s="4">
        <v>0.25</v>
      </c>
      <c r="F1247" s="5">
        <f t="shared" si="19"/>
        <v>562.5</v>
      </c>
    </row>
    <row r="1248" spans="1:6" x14ac:dyDescent="0.45">
      <c r="A1248" s="6">
        <v>10719</v>
      </c>
      <c r="B1248" s="3">
        <v>30</v>
      </c>
      <c r="C1248" s="3">
        <v>25.89</v>
      </c>
      <c r="D1248" s="3">
        <v>3</v>
      </c>
      <c r="E1248" s="4">
        <v>0.25</v>
      </c>
      <c r="F1248" s="5">
        <f t="shared" si="19"/>
        <v>58.252499999999998</v>
      </c>
    </row>
    <row r="1249" spans="1:6" x14ac:dyDescent="0.45">
      <c r="A1249" s="6">
        <v>10719</v>
      </c>
      <c r="B1249" s="3">
        <v>54</v>
      </c>
      <c r="C1249" s="3">
        <v>7.45</v>
      </c>
      <c r="D1249" s="3">
        <v>40</v>
      </c>
      <c r="E1249" s="4">
        <v>0.25</v>
      </c>
      <c r="F1249" s="5">
        <f t="shared" si="19"/>
        <v>223.5</v>
      </c>
    </row>
    <row r="1250" spans="1:6" x14ac:dyDescent="0.45">
      <c r="A1250" s="6">
        <v>10720</v>
      </c>
      <c r="B1250" s="3">
        <v>35</v>
      </c>
      <c r="C1250" s="3">
        <v>18</v>
      </c>
      <c r="D1250" s="3">
        <v>21</v>
      </c>
      <c r="E1250" s="4">
        <v>0</v>
      </c>
      <c r="F1250" s="5">
        <f t="shared" si="19"/>
        <v>378</v>
      </c>
    </row>
    <row r="1251" spans="1:6" x14ac:dyDescent="0.45">
      <c r="A1251" s="6">
        <v>10720</v>
      </c>
      <c r="B1251" s="3">
        <v>71</v>
      </c>
      <c r="C1251" s="3">
        <v>21.5</v>
      </c>
      <c r="D1251" s="3">
        <v>8</v>
      </c>
      <c r="E1251" s="4">
        <v>0</v>
      </c>
      <c r="F1251" s="5">
        <f t="shared" si="19"/>
        <v>172</v>
      </c>
    </row>
    <row r="1252" spans="1:6" x14ac:dyDescent="0.45">
      <c r="A1252" s="6">
        <v>10721</v>
      </c>
      <c r="B1252" s="3">
        <v>44</v>
      </c>
      <c r="C1252" s="3">
        <v>19.45</v>
      </c>
      <c r="D1252" s="3">
        <v>50</v>
      </c>
      <c r="E1252" s="4">
        <v>0.05</v>
      </c>
      <c r="F1252" s="5">
        <f t="shared" si="19"/>
        <v>923.875</v>
      </c>
    </row>
    <row r="1253" spans="1:6" x14ac:dyDescent="0.45">
      <c r="A1253" s="6">
        <v>10722</v>
      </c>
      <c r="B1253" s="3">
        <v>2</v>
      </c>
      <c r="C1253" s="3">
        <v>19</v>
      </c>
      <c r="D1253" s="3">
        <v>3</v>
      </c>
      <c r="E1253" s="4">
        <v>0</v>
      </c>
      <c r="F1253" s="5">
        <f t="shared" si="19"/>
        <v>57</v>
      </c>
    </row>
    <row r="1254" spans="1:6" x14ac:dyDescent="0.45">
      <c r="A1254" s="6">
        <v>10722</v>
      </c>
      <c r="B1254" s="3">
        <v>31</v>
      </c>
      <c r="C1254" s="3">
        <v>12.5</v>
      </c>
      <c r="D1254" s="3">
        <v>50</v>
      </c>
      <c r="E1254" s="4">
        <v>0</v>
      </c>
      <c r="F1254" s="5">
        <f t="shared" si="19"/>
        <v>625</v>
      </c>
    </row>
    <row r="1255" spans="1:6" x14ac:dyDescent="0.45">
      <c r="A1255" s="6">
        <v>10722</v>
      </c>
      <c r="B1255" s="3">
        <v>68</v>
      </c>
      <c r="C1255" s="3">
        <v>12.5</v>
      </c>
      <c r="D1255" s="3">
        <v>45</v>
      </c>
      <c r="E1255" s="4">
        <v>0</v>
      </c>
      <c r="F1255" s="5">
        <f t="shared" si="19"/>
        <v>562.5</v>
      </c>
    </row>
    <row r="1256" spans="1:6" x14ac:dyDescent="0.45">
      <c r="A1256" s="6">
        <v>10722</v>
      </c>
      <c r="B1256" s="3">
        <v>75</v>
      </c>
      <c r="C1256" s="3">
        <v>7.75</v>
      </c>
      <c r="D1256" s="3">
        <v>42</v>
      </c>
      <c r="E1256" s="4">
        <v>0</v>
      </c>
      <c r="F1256" s="5">
        <f t="shared" si="19"/>
        <v>325.5</v>
      </c>
    </row>
    <row r="1257" spans="1:6" x14ac:dyDescent="0.45">
      <c r="A1257" s="6">
        <v>10723</v>
      </c>
      <c r="B1257" s="3">
        <v>26</v>
      </c>
      <c r="C1257" s="3">
        <v>31.23</v>
      </c>
      <c r="D1257" s="3">
        <v>15</v>
      </c>
      <c r="E1257" s="4">
        <v>0</v>
      </c>
      <c r="F1257" s="5">
        <f t="shared" si="19"/>
        <v>468.45</v>
      </c>
    </row>
    <row r="1258" spans="1:6" x14ac:dyDescent="0.45">
      <c r="A1258" s="6">
        <v>10724</v>
      </c>
      <c r="B1258" s="3">
        <v>10</v>
      </c>
      <c r="C1258" s="3">
        <v>31</v>
      </c>
      <c r="D1258" s="3">
        <v>16</v>
      </c>
      <c r="E1258" s="4">
        <v>0</v>
      </c>
      <c r="F1258" s="5">
        <f t="shared" si="19"/>
        <v>496</v>
      </c>
    </row>
    <row r="1259" spans="1:6" x14ac:dyDescent="0.45">
      <c r="A1259" s="6">
        <v>10724</v>
      </c>
      <c r="B1259" s="3">
        <v>61</v>
      </c>
      <c r="C1259" s="3">
        <v>28.5</v>
      </c>
      <c r="D1259" s="3">
        <v>5</v>
      </c>
      <c r="E1259" s="4">
        <v>0</v>
      </c>
      <c r="F1259" s="5">
        <f t="shared" si="19"/>
        <v>142.5</v>
      </c>
    </row>
    <row r="1260" spans="1:6" x14ac:dyDescent="0.45">
      <c r="A1260" s="6">
        <v>10725</v>
      </c>
      <c r="B1260" s="3">
        <v>41</v>
      </c>
      <c r="C1260" s="3">
        <v>9.65</v>
      </c>
      <c r="D1260" s="3">
        <v>12</v>
      </c>
      <c r="E1260" s="4">
        <v>0</v>
      </c>
      <c r="F1260" s="5">
        <f t="shared" si="19"/>
        <v>115.80000000000001</v>
      </c>
    </row>
    <row r="1261" spans="1:6" x14ac:dyDescent="0.45">
      <c r="A1261" s="6">
        <v>10725</v>
      </c>
      <c r="B1261" s="3">
        <v>52</v>
      </c>
      <c r="C1261" s="3">
        <v>7</v>
      </c>
      <c r="D1261" s="3">
        <v>4</v>
      </c>
      <c r="E1261" s="4">
        <v>0</v>
      </c>
      <c r="F1261" s="5">
        <f t="shared" si="19"/>
        <v>28</v>
      </c>
    </row>
    <row r="1262" spans="1:6" x14ac:dyDescent="0.45">
      <c r="A1262" s="6">
        <v>10725</v>
      </c>
      <c r="B1262" s="3">
        <v>55</v>
      </c>
      <c r="C1262" s="3">
        <v>24</v>
      </c>
      <c r="D1262" s="3">
        <v>6</v>
      </c>
      <c r="E1262" s="4">
        <v>0</v>
      </c>
      <c r="F1262" s="5">
        <f t="shared" si="19"/>
        <v>144</v>
      </c>
    </row>
    <row r="1263" spans="1:6" x14ac:dyDescent="0.45">
      <c r="A1263" s="6">
        <v>10726</v>
      </c>
      <c r="B1263" s="3">
        <v>4</v>
      </c>
      <c r="C1263" s="3">
        <v>22</v>
      </c>
      <c r="D1263" s="3">
        <v>25</v>
      </c>
      <c r="E1263" s="4">
        <v>0</v>
      </c>
      <c r="F1263" s="5">
        <f t="shared" si="19"/>
        <v>550</v>
      </c>
    </row>
    <row r="1264" spans="1:6" x14ac:dyDescent="0.45">
      <c r="A1264" s="6">
        <v>10726</v>
      </c>
      <c r="B1264" s="3">
        <v>11</v>
      </c>
      <c r="C1264" s="3">
        <v>21</v>
      </c>
      <c r="D1264" s="3">
        <v>5</v>
      </c>
      <c r="E1264" s="4">
        <v>0</v>
      </c>
      <c r="F1264" s="5">
        <f t="shared" si="19"/>
        <v>105</v>
      </c>
    </row>
    <row r="1265" spans="1:6" x14ac:dyDescent="0.45">
      <c r="A1265" s="6">
        <v>10727</v>
      </c>
      <c r="B1265" s="3">
        <v>17</v>
      </c>
      <c r="C1265" s="3">
        <v>39</v>
      </c>
      <c r="D1265" s="3">
        <v>20</v>
      </c>
      <c r="E1265" s="4">
        <v>0.05</v>
      </c>
      <c r="F1265" s="5">
        <f t="shared" si="19"/>
        <v>741</v>
      </c>
    </row>
    <row r="1266" spans="1:6" x14ac:dyDescent="0.45">
      <c r="A1266" s="6">
        <v>10727</v>
      </c>
      <c r="B1266" s="3">
        <v>56</v>
      </c>
      <c r="C1266" s="3">
        <v>38</v>
      </c>
      <c r="D1266" s="3">
        <v>10</v>
      </c>
      <c r="E1266" s="4">
        <v>0.05</v>
      </c>
      <c r="F1266" s="5">
        <f t="shared" si="19"/>
        <v>361</v>
      </c>
    </row>
    <row r="1267" spans="1:6" x14ac:dyDescent="0.45">
      <c r="A1267" s="6">
        <v>10727</v>
      </c>
      <c r="B1267" s="3">
        <v>59</v>
      </c>
      <c r="C1267" s="3">
        <v>55</v>
      </c>
      <c r="D1267" s="3">
        <v>10</v>
      </c>
      <c r="E1267" s="4">
        <v>0.05</v>
      </c>
      <c r="F1267" s="5">
        <f t="shared" si="19"/>
        <v>522.5</v>
      </c>
    </row>
    <row r="1268" spans="1:6" x14ac:dyDescent="0.45">
      <c r="A1268" s="6">
        <v>10728</v>
      </c>
      <c r="B1268" s="3">
        <v>30</v>
      </c>
      <c r="C1268" s="3">
        <v>25.89</v>
      </c>
      <c r="D1268" s="3">
        <v>15</v>
      </c>
      <c r="E1268" s="4">
        <v>0</v>
      </c>
      <c r="F1268" s="5">
        <f t="shared" si="19"/>
        <v>388.35</v>
      </c>
    </row>
    <row r="1269" spans="1:6" x14ac:dyDescent="0.45">
      <c r="A1269" s="6">
        <v>10728</v>
      </c>
      <c r="B1269" s="3">
        <v>40</v>
      </c>
      <c r="C1269" s="3">
        <v>18.399999999999999</v>
      </c>
      <c r="D1269" s="3">
        <v>6</v>
      </c>
      <c r="E1269" s="4">
        <v>0</v>
      </c>
      <c r="F1269" s="5">
        <f t="shared" si="19"/>
        <v>110.39999999999999</v>
      </c>
    </row>
    <row r="1270" spans="1:6" x14ac:dyDescent="0.45">
      <c r="A1270" s="6">
        <v>10728</v>
      </c>
      <c r="B1270" s="3">
        <v>55</v>
      </c>
      <c r="C1270" s="3">
        <v>24</v>
      </c>
      <c r="D1270" s="3">
        <v>12</v>
      </c>
      <c r="E1270" s="4">
        <v>0</v>
      </c>
      <c r="F1270" s="5">
        <f t="shared" si="19"/>
        <v>288</v>
      </c>
    </row>
    <row r="1271" spans="1:6" x14ac:dyDescent="0.45">
      <c r="A1271" s="6">
        <v>10728</v>
      </c>
      <c r="B1271" s="3">
        <v>60</v>
      </c>
      <c r="C1271" s="3">
        <v>34</v>
      </c>
      <c r="D1271" s="3">
        <v>15</v>
      </c>
      <c r="E1271" s="4">
        <v>0</v>
      </c>
      <c r="F1271" s="5">
        <f t="shared" si="19"/>
        <v>510</v>
      </c>
    </row>
    <row r="1272" spans="1:6" x14ac:dyDescent="0.45">
      <c r="A1272" s="6">
        <v>10729</v>
      </c>
      <c r="B1272" s="3">
        <v>1</v>
      </c>
      <c r="C1272" s="3">
        <v>18</v>
      </c>
      <c r="D1272" s="3">
        <v>50</v>
      </c>
      <c r="E1272" s="4">
        <v>0</v>
      </c>
      <c r="F1272" s="5">
        <f t="shared" si="19"/>
        <v>900</v>
      </c>
    </row>
    <row r="1273" spans="1:6" x14ac:dyDescent="0.45">
      <c r="A1273" s="6">
        <v>10729</v>
      </c>
      <c r="B1273" s="3">
        <v>21</v>
      </c>
      <c r="C1273" s="3">
        <v>10</v>
      </c>
      <c r="D1273" s="3">
        <v>30</v>
      </c>
      <c r="E1273" s="4">
        <v>0</v>
      </c>
      <c r="F1273" s="5">
        <f t="shared" si="19"/>
        <v>300</v>
      </c>
    </row>
    <row r="1274" spans="1:6" x14ac:dyDescent="0.45">
      <c r="A1274" s="6">
        <v>10729</v>
      </c>
      <c r="B1274" s="3">
        <v>50</v>
      </c>
      <c r="C1274" s="3">
        <v>16.25</v>
      </c>
      <c r="D1274" s="3">
        <v>40</v>
      </c>
      <c r="E1274" s="4">
        <v>0</v>
      </c>
      <c r="F1274" s="5">
        <f t="shared" si="19"/>
        <v>650</v>
      </c>
    </row>
    <row r="1275" spans="1:6" x14ac:dyDescent="0.45">
      <c r="A1275" s="6">
        <v>10730</v>
      </c>
      <c r="B1275" s="3">
        <v>16</v>
      </c>
      <c r="C1275" s="3">
        <v>17.45</v>
      </c>
      <c r="D1275" s="3">
        <v>15</v>
      </c>
      <c r="E1275" s="4">
        <v>0.05</v>
      </c>
      <c r="F1275" s="5">
        <f t="shared" si="19"/>
        <v>248.66249999999999</v>
      </c>
    </row>
    <row r="1276" spans="1:6" x14ac:dyDescent="0.45">
      <c r="A1276" s="6">
        <v>10730</v>
      </c>
      <c r="B1276" s="3">
        <v>31</v>
      </c>
      <c r="C1276" s="3">
        <v>12.5</v>
      </c>
      <c r="D1276" s="3">
        <v>3</v>
      </c>
      <c r="E1276" s="4">
        <v>0.05</v>
      </c>
      <c r="F1276" s="5">
        <f t="shared" si="19"/>
        <v>35.625</v>
      </c>
    </row>
    <row r="1277" spans="1:6" x14ac:dyDescent="0.45">
      <c r="A1277" s="6">
        <v>10730</v>
      </c>
      <c r="B1277" s="3">
        <v>65</v>
      </c>
      <c r="C1277" s="3">
        <v>21.05</v>
      </c>
      <c r="D1277" s="3">
        <v>10</v>
      </c>
      <c r="E1277" s="4">
        <v>0.05</v>
      </c>
      <c r="F1277" s="5">
        <f t="shared" si="19"/>
        <v>199.97499999999999</v>
      </c>
    </row>
    <row r="1278" spans="1:6" x14ac:dyDescent="0.45">
      <c r="A1278" s="6">
        <v>10731</v>
      </c>
      <c r="B1278" s="3">
        <v>21</v>
      </c>
      <c r="C1278" s="3">
        <v>10</v>
      </c>
      <c r="D1278" s="3">
        <v>40</v>
      </c>
      <c r="E1278" s="4">
        <v>0.05</v>
      </c>
      <c r="F1278" s="5">
        <f t="shared" si="19"/>
        <v>380</v>
      </c>
    </row>
    <row r="1279" spans="1:6" x14ac:dyDescent="0.45">
      <c r="A1279" s="6">
        <v>10731</v>
      </c>
      <c r="B1279" s="3">
        <v>51</v>
      </c>
      <c r="C1279" s="3">
        <v>53</v>
      </c>
      <c r="D1279" s="3">
        <v>30</v>
      </c>
      <c r="E1279" s="4">
        <v>0.05</v>
      </c>
      <c r="F1279" s="5">
        <f t="shared" si="19"/>
        <v>1510.5</v>
      </c>
    </row>
    <row r="1280" spans="1:6" x14ac:dyDescent="0.45">
      <c r="A1280" s="6">
        <v>10732</v>
      </c>
      <c r="B1280" s="3">
        <v>76</v>
      </c>
      <c r="C1280" s="3">
        <v>18</v>
      </c>
      <c r="D1280" s="3">
        <v>20</v>
      </c>
      <c r="E1280" s="4">
        <v>0</v>
      </c>
      <c r="F1280" s="5">
        <f t="shared" si="19"/>
        <v>360</v>
      </c>
    </row>
    <row r="1281" spans="1:6" x14ac:dyDescent="0.45">
      <c r="A1281" s="6">
        <v>10733</v>
      </c>
      <c r="B1281" s="3">
        <v>14</v>
      </c>
      <c r="C1281" s="3">
        <v>23.25</v>
      </c>
      <c r="D1281" s="3">
        <v>16</v>
      </c>
      <c r="E1281" s="4">
        <v>0</v>
      </c>
      <c r="F1281" s="5">
        <f t="shared" si="19"/>
        <v>372</v>
      </c>
    </row>
    <row r="1282" spans="1:6" x14ac:dyDescent="0.45">
      <c r="A1282" s="6">
        <v>10733</v>
      </c>
      <c r="B1282" s="3">
        <v>28</v>
      </c>
      <c r="C1282" s="3">
        <v>45.6</v>
      </c>
      <c r="D1282" s="3">
        <v>20</v>
      </c>
      <c r="E1282" s="4">
        <v>0</v>
      </c>
      <c r="F1282" s="5">
        <f t="shared" ref="F1282:F1345" si="20">C1282*D1282*(1-E1282)</f>
        <v>912</v>
      </c>
    </row>
    <row r="1283" spans="1:6" x14ac:dyDescent="0.45">
      <c r="A1283" s="6">
        <v>10733</v>
      </c>
      <c r="B1283" s="3">
        <v>52</v>
      </c>
      <c r="C1283" s="3">
        <v>7</v>
      </c>
      <c r="D1283" s="3">
        <v>25</v>
      </c>
      <c r="E1283" s="4">
        <v>0</v>
      </c>
      <c r="F1283" s="5">
        <f t="shared" si="20"/>
        <v>175</v>
      </c>
    </row>
    <row r="1284" spans="1:6" x14ac:dyDescent="0.45">
      <c r="A1284" s="6">
        <v>10734</v>
      </c>
      <c r="B1284" s="3">
        <v>6</v>
      </c>
      <c r="C1284" s="3">
        <v>25</v>
      </c>
      <c r="D1284" s="3">
        <v>30</v>
      </c>
      <c r="E1284" s="4">
        <v>0</v>
      </c>
      <c r="F1284" s="5">
        <f t="shared" si="20"/>
        <v>750</v>
      </c>
    </row>
    <row r="1285" spans="1:6" x14ac:dyDescent="0.45">
      <c r="A1285" s="6">
        <v>10734</v>
      </c>
      <c r="B1285" s="3">
        <v>30</v>
      </c>
      <c r="C1285" s="3">
        <v>25.89</v>
      </c>
      <c r="D1285" s="3">
        <v>15</v>
      </c>
      <c r="E1285" s="4">
        <v>0</v>
      </c>
      <c r="F1285" s="5">
        <f t="shared" si="20"/>
        <v>388.35</v>
      </c>
    </row>
    <row r="1286" spans="1:6" x14ac:dyDescent="0.45">
      <c r="A1286" s="6">
        <v>10734</v>
      </c>
      <c r="B1286" s="3">
        <v>76</v>
      </c>
      <c r="C1286" s="3">
        <v>18</v>
      </c>
      <c r="D1286" s="3">
        <v>20</v>
      </c>
      <c r="E1286" s="4">
        <v>0</v>
      </c>
      <c r="F1286" s="5">
        <f t="shared" si="20"/>
        <v>360</v>
      </c>
    </row>
    <row r="1287" spans="1:6" x14ac:dyDescent="0.45">
      <c r="A1287" s="6">
        <v>10735</v>
      </c>
      <c r="B1287" s="3">
        <v>61</v>
      </c>
      <c r="C1287" s="3">
        <v>28.5</v>
      </c>
      <c r="D1287" s="3">
        <v>20</v>
      </c>
      <c r="E1287" s="4">
        <v>0.1</v>
      </c>
      <c r="F1287" s="5">
        <f t="shared" si="20"/>
        <v>513</v>
      </c>
    </row>
    <row r="1288" spans="1:6" x14ac:dyDescent="0.45">
      <c r="A1288" s="6">
        <v>10735</v>
      </c>
      <c r="B1288" s="3">
        <v>77</v>
      </c>
      <c r="C1288" s="3">
        <v>13</v>
      </c>
      <c r="D1288" s="3">
        <v>2</v>
      </c>
      <c r="E1288" s="4">
        <v>0.1</v>
      </c>
      <c r="F1288" s="5">
        <f t="shared" si="20"/>
        <v>23.400000000000002</v>
      </c>
    </row>
    <row r="1289" spans="1:6" x14ac:dyDescent="0.45">
      <c r="A1289" s="6">
        <v>10736</v>
      </c>
      <c r="B1289" s="3">
        <v>65</v>
      </c>
      <c r="C1289" s="3">
        <v>21.05</v>
      </c>
      <c r="D1289" s="3">
        <v>40</v>
      </c>
      <c r="E1289" s="4">
        <v>0</v>
      </c>
      <c r="F1289" s="5">
        <f t="shared" si="20"/>
        <v>842</v>
      </c>
    </row>
    <row r="1290" spans="1:6" x14ac:dyDescent="0.45">
      <c r="A1290" s="6">
        <v>10736</v>
      </c>
      <c r="B1290" s="3">
        <v>75</v>
      </c>
      <c r="C1290" s="3">
        <v>7.75</v>
      </c>
      <c r="D1290" s="3">
        <v>20</v>
      </c>
      <c r="E1290" s="4">
        <v>0</v>
      </c>
      <c r="F1290" s="5">
        <f t="shared" si="20"/>
        <v>155</v>
      </c>
    </row>
    <row r="1291" spans="1:6" x14ac:dyDescent="0.45">
      <c r="A1291" s="6">
        <v>10737</v>
      </c>
      <c r="B1291" s="3">
        <v>13</v>
      </c>
      <c r="C1291" s="3">
        <v>6</v>
      </c>
      <c r="D1291" s="3">
        <v>4</v>
      </c>
      <c r="E1291" s="4">
        <v>0</v>
      </c>
      <c r="F1291" s="5">
        <f t="shared" si="20"/>
        <v>24</v>
      </c>
    </row>
    <row r="1292" spans="1:6" x14ac:dyDescent="0.45">
      <c r="A1292" s="6">
        <v>10737</v>
      </c>
      <c r="B1292" s="3">
        <v>41</v>
      </c>
      <c r="C1292" s="3">
        <v>9.65</v>
      </c>
      <c r="D1292" s="3">
        <v>12</v>
      </c>
      <c r="E1292" s="4">
        <v>0</v>
      </c>
      <c r="F1292" s="5">
        <f t="shared" si="20"/>
        <v>115.80000000000001</v>
      </c>
    </row>
    <row r="1293" spans="1:6" x14ac:dyDescent="0.45">
      <c r="A1293" s="6">
        <v>10738</v>
      </c>
      <c r="B1293" s="3">
        <v>16</v>
      </c>
      <c r="C1293" s="3">
        <v>17.45</v>
      </c>
      <c r="D1293" s="3">
        <v>3</v>
      </c>
      <c r="E1293" s="4">
        <v>0</v>
      </c>
      <c r="F1293" s="5">
        <f t="shared" si="20"/>
        <v>52.349999999999994</v>
      </c>
    </row>
    <row r="1294" spans="1:6" x14ac:dyDescent="0.45">
      <c r="A1294" s="6">
        <v>10739</v>
      </c>
      <c r="B1294" s="3">
        <v>36</v>
      </c>
      <c r="C1294" s="3">
        <v>19</v>
      </c>
      <c r="D1294" s="3">
        <v>6</v>
      </c>
      <c r="E1294" s="4">
        <v>0</v>
      </c>
      <c r="F1294" s="5">
        <f t="shared" si="20"/>
        <v>114</v>
      </c>
    </row>
    <row r="1295" spans="1:6" x14ac:dyDescent="0.45">
      <c r="A1295" s="6">
        <v>10739</v>
      </c>
      <c r="B1295" s="3">
        <v>52</v>
      </c>
      <c r="C1295" s="3">
        <v>7</v>
      </c>
      <c r="D1295" s="3">
        <v>18</v>
      </c>
      <c r="E1295" s="4">
        <v>0</v>
      </c>
      <c r="F1295" s="5">
        <f t="shared" si="20"/>
        <v>126</v>
      </c>
    </row>
    <row r="1296" spans="1:6" x14ac:dyDescent="0.45">
      <c r="A1296" s="6">
        <v>10740</v>
      </c>
      <c r="B1296" s="3">
        <v>28</v>
      </c>
      <c r="C1296" s="3">
        <v>45.6</v>
      </c>
      <c r="D1296" s="3">
        <v>5</v>
      </c>
      <c r="E1296" s="4">
        <v>0.2</v>
      </c>
      <c r="F1296" s="5">
        <f t="shared" si="20"/>
        <v>182.4</v>
      </c>
    </row>
    <row r="1297" spans="1:6" x14ac:dyDescent="0.45">
      <c r="A1297" s="6">
        <v>10740</v>
      </c>
      <c r="B1297" s="3">
        <v>35</v>
      </c>
      <c r="C1297" s="3">
        <v>18</v>
      </c>
      <c r="D1297" s="3">
        <v>35</v>
      </c>
      <c r="E1297" s="4">
        <v>0.2</v>
      </c>
      <c r="F1297" s="5">
        <f t="shared" si="20"/>
        <v>504</v>
      </c>
    </row>
    <row r="1298" spans="1:6" x14ac:dyDescent="0.45">
      <c r="A1298" s="6">
        <v>10740</v>
      </c>
      <c r="B1298" s="3">
        <v>45</v>
      </c>
      <c r="C1298" s="3">
        <v>9.5</v>
      </c>
      <c r="D1298" s="3">
        <v>40</v>
      </c>
      <c r="E1298" s="4">
        <v>0.2</v>
      </c>
      <c r="F1298" s="5">
        <f t="shared" si="20"/>
        <v>304</v>
      </c>
    </row>
    <row r="1299" spans="1:6" x14ac:dyDescent="0.45">
      <c r="A1299" s="6">
        <v>10740</v>
      </c>
      <c r="B1299" s="3">
        <v>56</v>
      </c>
      <c r="C1299" s="3">
        <v>38</v>
      </c>
      <c r="D1299" s="3">
        <v>14</v>
      </c>
      <c r="E1299" s="4">
        <v>0.2</v>
      </c>
      <c r="F1299" s="5">
        <f t="shared" si="20"/>
        <v>425.6</v>
      </c>
    </row>
    <row r="1300" spans="1:6" x14ac:dyDescent="0.45">
      <c r="A1300" s="6">
        <v>10741</v>
      </c>
      <c r="B1300" s="3">
        <v>2</v>
      </c>
      <c r="C1300" s="3">
        <v>19</v>
      </c>
      <c r="D1300" s="3">
        <v>15</v>
      </c>
      <c r="E1300" s="4">
        <v>0.2</v>
      </c>
      <c r="F1300" s="5">
        <f t="shared" si="20"/>
        <v>228</v>
      </c>
    </row>
    <row r="1301" spans="1:6" x14ac:dyDescent="0.45">
      <c r="A1301" s="6">
        <v>10742</v>
      </c>
      <c r="B1301" s="3">
        <v>3</v>
      </c>
      <c r="C1301" s="3">
        <v>10</v>
      </c>
      <c r="D1301" s="3">
        <v>20</v>
      </c>
      <c r="E1301" s="4">
        <v>0</v>
      </c>
      <c r="F1301" s="5">
        <f t="shared" si="20"/>
        <v>200</v>
      </c>
    </row>
    <row r="1302" spans="1:6" x14ac:dyDescent="0.45">
      <c r="A1302" s="6">
        <v>10742</v>
      </c>
      <c r="B1302" s="3">
        <v>60</v>
      </c>
      <c r="C1302" s="3">
        <v>34</v>
      </c>
      <c r="D1302" s="3">
        <v>50</v>
      </c>
      <c r="E1302" s="4">
        <v>0</v>
      </c>
      <c r="F1302" s="5">
        <f t="shared" si="20"/>
        <v>1700</v>
      </c>
    </row>
    <row r="1303" spans="1:6" x14ac:dyDescent="0.45">
      <c r="A1303" s="6">
        <v>10742</v>
      </c>
      <c r="B1303" s="3">
        <v>72</v>
      </c>
      <c r="C1303" s="3">
        <v>34.799999999999997</v>
      </c>
      <c r="D1303" s="3">
        <v>35</v>
      </c>
      <c r="E1303" s="4">
        <v>0</v>
      </c>
      <c r="F1303" s="5">
        <f t="shared" si="20"/>
        <v>1218</v>
      </c>
    </row>
    <row r="1304" spans="1:6" x14ac:dyDescent="0.45">
      <c r="A1304" s="6">
        <v>10743</v>
      </c>
      <c r="B1304" s="3">
        <v>46</v>
      </c>
      <c r="C1304" s="3">
        <v>12</v>
      </c>
      <c r="D1304" s="3">
        <v>28</v>
      </c>
      <c r="E1304" s="4">
        <v>0.05</v>
      </c>
      <c r="F1304" s="5">
        <f t="shared" si="20"/>
        <v>319.2</v>
      </c>
    </row>
    <row r="1305" spans="1:6" x14ac:dyDescent="0.45">
      <c r="A1305" s="6">
        <v>10744</v>
      </c>
      <c r="B1305" s="3">
        <v>40</v>
      </c>
      <c r="C1305" s="3">
        <v>18.399999999999999</v>
      </c>
      <c r="D1305" s="3">
        <v>50</v>
      </c>
      <c r="E1305" s="4">
        <v>0.2</v>
      </c>
      <c r="F1305" s="5">
        <f t="shared" si="20"/>
        <v>736</v>
      </c>
    </row>
    <row r="1306" spans="1:6" x14ac:dyDescent="0.45">
      <c r="A1306" s="6">
        <v>10745</v>
      </c>
      <c r="B1306" s="3">
        <v>18</v>
      </c>
      <c r="C1306" s="3">
        <v>62.5</v>
      </c>
      <c r="D1306" s="3">
        <v>24</v>
      </c>
      <c r="E1306" s="4">
        <v>0</v>
      </c>
      <c r="F1306" s="5">
        <f t="shared" si="20"/>
        <v>1500</v>
      </c>
    </row>
    <row r="1307" spans="1:6" x14ac:dyDescent="0.45">
      <c r="A1307" s="6">
        <v>10745</v>
      </c>
      <c r="B1307" s="3">
        <v>44</v>
      </c>
      <c r="C1307" s="3">
        <v>19.45</v>
      </c>
      <c r="D1307" s="3">
        <v>16</v>
      </c>
      <c r="E1307" s="4">
        <v>0</v>
      </c>
      <c r="F1307" s="5">
        <f t="shared" si="20"/>
        <v>311.2</v>
      </c>
    </row>
    <row r="1308" spans="1:6" x14ac:dyDescent="0.45">
      <c r="A1308" s="6">
        <v>10745</v>
      </c>
      <c r="B1308" s="3">
        <v>59</v>
      </c>
      <c r="C1308" s="3">
        <v>55</v>
      </c>
      <c r="D1308" s="3">
        <v>45</v>
      </c>
      <c r="E1308" s="4">
        <v>0</v>
      </c>
      <c r="F1308" s="5">
        <f t="shared" si="20"/>
        <v>2475</v>
      </c>
    </row>
    <row r="1309" spans="1:6" x14ac:dyDescent="0.45">
      <c r="A1309" s="6">
        <v>10745</v>
      </c>
      <c r="B1309" s="3">
        <v>72</v>
      </c>
      <c r="C1309" s="3">
        <v>34.799999999999997</v>
      </c>
      <c r="D1309" s="3">
        <v>7</v>
      </c>
      <c r="E1309" s="4">
        <v>0</v>
      </c>
      <c r="F1309" s="5">
        <f t="shared" si="20"/>
        <v>243.59999999999997</v>
      </c>
    </row>
    <row r="1310" spans="1:6" x14ac:dyDescent="0.45">
      <c r="A1310" s="6">
        <v>10746</v>
      </c>
      <c r="B1310" s="3">
        <v>13</v>
      </c>
      <c r="C1310" s="3">
        <v>6</v>
      </c>
      <c r="D1310" s="3">
        <v>6</v>
      </c>
      <c r="E1310" s="4">
        <v>0</v>
      </c>
      <c r="F1310" s="5">
        <f t="shared" si="20"/>
        <v>36</v>
      </c>
    </row>
    <row r="1311" spans="1:6" x14ac:dyDescent="0.45">
      <c r="A1311" s="6">
        <v>10746</v>
      </c>
      <c r="B1311" s="3">
        <v>42</v>
      </c>
      <c r="C1311" s="3">
        <v>14</v>
      </c>
      <c r="D1311" s="3">
        <v>28</v>
      </c>
      <c r="E1311" s="4">
        <v>0</v>
      </c>
      <c r="F1311" s="5">
        <f t="shared" si="20"/>
        <v>392</v>
      </c>
    </row>
    <row r="1312" spans="1:6" x14ac:dyDescent="0.45">
      <c r="A1312" s="6">
        <v>10746</v>
      </c>
      <c r="B1312" s="3">
        <v>62</v>
      </c>
      <c r="C1312" s="3">
        <v>49.3</v>
      </c>
      <c r="D1312" s="3">
        <v>9</v>
      </c>
      <c r="E1312" s="4">
        <v>0</v>
      </c>
      <c r="F1312" s="5">
        <f t="shared" si="20"/>
        <v>443.7</v>
      </c>
    </row>
    <row r="1313" spans="1:6" x14ac:dyDescent="0.45">
      <c r="A1313" s="6">
        <v>10746</v>
      </c>
      <c r="B1313" s="3">
        <v>69</v>
      </c>
      <c r="C1313" s="3">
        <v>36</v>
      </c>
      <c r="D1313" s="3">
        <v>40</v>
      </c>
      <c r="E1313" s="4">
        <v>0</v>
      </c>
      <c r="F1313" s="5">
        <f t="shared" si="20"/>
        <v>1440</v>
      </c>
    </row>
    <row r="1314" spans="1:6" x14ac:dyDescent="0.45">
      <c r="A1314" s="6">
        <v>10747</v>
      </c>
      <c r="B1314" s="3">
        <v>31</v>
      </c>
      <c r="C1314" s="3">
        <v>12.5</v>
      </c>
      <c r="D1314" s="3">
        <v>8</v>
      </c>
      <c r="E1314" s="4">
        <v>0</v>
      </c>
      <c r="F1314" s="5">
        <f t="shared" si="20"/>
        <v>100</v>
      </c>
    </row>
    <row r="1315" spans="1:6" x14ac:dyDescent="0.45">
      <c r="A1315" s="6">
        <v>10747</v>
      </c>
      <c r="B1315" s="3">
        <v>41</v>
      </c>
      <c r="C1315" s="3">
        <v>9.65</v>
      </c>
      <c r="D1315" s="3">
        <v>35</v>
      </c>
      <c r="E1315" s="4">
        <v>0</v>
      </c>
      <c r="F1315" s="5">
        <f t="shared" si="20"/>
        <v>337.75</v>
      </c>
    </row>
    <row r="1316" spans="1:6" x14ac:dyDescent="0.45">
      <c r="A1316" s="6">
        <v>10747</v>
      </c>
      <c r="B1316" s="3">
        <v>63</v>
      </c>
      <c r="C1316" s="3">
        <v>43.9</v>
      </c>
      <c r="D1316" s="3">
        <v>9</v>
      </c>
      <c r="E1316" s="4">
        <v>0</v>
      </c>
      <c r="F1316" s="5">
        <f t="shared" si="20"/>
        <v>395.09999999999997</v>
      </c>
    </row>
    <row r="1317" spans="1:6" x14ac:dyDescent="0.45">
      <c r="A1317" s="6">
        <v>10747</v>
      </c>
      <c r="B1317" s="3">
        <v>69</v>
      </c>
      <c r="C1317" s="3">
        <v>36</v>
      </c>
      <c r="D1317" s="3">
        <v>30</v>
      </c>
      <c r="E1317" s="4">
        <v>0</v>
      </c>
      <c r="F1317" s="5">
        <f t="shared" si="20"/>
        <v>1080</v>
      </c>
    </row>
    <row r="1318" spans="1:6" x14ac:dyDescent="0.45">
      <c r="A1318" s="6">
        <v>10748</v>
      </c>
      <c r="B1318" s="3">
        <v>23</v>
      </c>
      <c r="C1318" s="3">
        <v>9</v>
      </c>
      <c r="D1318" s="3">
        <v>44</v>
      </c>
      <c r="E1318" s="4">
        <v>0</v>
      </c>
      <c r="F1318" s="5">
        <f t="shared" si="20"/>
        <v>396</v>
      </c>
    </row>
    <row r="1319" spans="1:6" x14ac:dyDescent="0.45">
      <c r="A1319" s="6">
        <v>10748</v>
      </c>
      <c r="B1319" s="3">
        <v>40</v>
      </c>
      <c r="C1319" s="3">
        <v>18.399999999999999</v>
      </c>
      <c r="D1319" s="3">
        <v>40</v>
      </c>
      <c r="E1319" s="4">
        <v>0</v>
      </c>
      <c r="F1319" s="5">
        <f t="shared" si="20"/>
        <v>736</v>
      </c>
    </row>
    <row r="1320" spans="1:6" x14ac:dyDescent="0.45">
      <c r="A1320" s="6">
        <v>10748</v>
      </c>
      <c r="B1320" s="3">
        <v>56</v>
      </c>
      <c r="C1320" s="3">
        <v>38</v>
      </c>
      <c r="D1320" s="3">
        <v>28</v>
      </c>
      <c r="E1320" s="4">
        <v>0</v>
      </c>
      <c r="F1320" s="5">
        <f t="shared" si="20"/>
        <v>1064</v>
      </c>
    </row>
    <row r="1321" spans="1:6" x14ac:dyDescent="0.45">
      <c r="A1321" s="6">
        <v>10749</v>
      </c>
      <c r="B1321" s="3">
        <v>56</v>
      </c>
      <c r="C1321" s="3">
        <v>38</v>
      </c>
      <c r="D1321" s="3">
        <v>15</v>
      </c>
      <c r="E1321" s="4">
        <v>0</v>
      </c>
      <c r="F1321" s="5">
        <f t="shared" si="20"/>
        <v>570</v>
      </c>
    </row>
    <row r="1322" spans="1:6" x14ac:dyDescent="0.45">
      <c r="A1322" s="6">
        <v>10749</v>
      </c>
      <c r="B1322" s="3">
        <v>59</v>
      </c>
      <c r="C1322" s="3">
        <v>55</v>
      </c>
      <c r="D1322" s="3">
        <v>6</v>
      </c>
      <c r="E1322" s="4">
        <v>0</v>
      </c>
      <c r="F1322" s="5">
        <f t="shared" si="20"/>
        <v>330</v>
      </c>
    </row>
    <row r="1323" spans="1:6" x14ac:dyDescent="0.45">
      <c r="A1323" s="6">
        <v>10749</v>
      </c>
      <c r="B1323" s="3">
        <v>76</v>
      </c>
      <c r="C1323" s="3">
        <v>18</v>
      </c>
      <c r="D1323" s="3">
        <v>10</v>
      </c>
      <c r="E1323" s="4">
        <v>0</v>
      </c>
      <c r="F1323" s="5">
        <f t="shared" si="20"/>
        <v>180</v>
      </c>
    </row>
    <row r="1324" spans="1:6" x14ac:dyDescent="0.45">
      <c r="A1324" s="6">
        <v>10750</v>
      </c>
      <c r="B1324" s="3">
        <v>14</v>
      </c>
      <c r="C1324" s="3">
        <v>23.25</v>
      </c>
      <c r="D1324" s="3">
        <v>5</v>
      </c>
      <c r="E1324" s="4">
        <v>0.15</v>
      </c>
      <c r="F1324" s="5">
        <f t="shared" si="20"/>
        <v>98.8125</v>
      </c>
    </row>
    <row r="1325" spans="1:6" x14ac:dyDescent="0.45">
      <c r="A1325" s="6">
        <v>10750</v>
      </c>
      <c r="B1325" s="3">
        <v>45</v>
      </c>
      <c r="C1325" s="3">
        <v>9.5</v>
      </c>
      <c r="D1325" s="3">
        <v>40</v>
      </c>
      <c r="E1325" s="4">
        <v>0.15</v>
      </c>
      <c r="F1325" s="5">
        <f t="shared" si="20"/>
        <v>323</v>
      </c>
    </row>
    <row r="1326" spans="1:6" x14ac:dyDescent="0.45">
      <c r="A1326" s="6">
        <v>10750</v>
      </c>
      <c r="B1326" s="3">
        <v>59</v>
      </c>
      <c r="C1326" s="3">
        <v>55</v>
      </c>
      <c r="D1326" s="3">
        <v>25</v>
      </c>
      <c r="E1326" s="4">
        <v>0.15</v>
      </c>
      <c r="F1326" s="5">
        <f t="shared" si="20"/>
        <v>1168.75</v>
      </c>
    </row>
    <row r="1327" spans="1:6" x14ac:dyDescent="0.45">
      <c r="A1327" s="6">
        <v>10751</v>
      </c>
      <c r="B1327" s="3">
        <v>26</v>
      </c>
      <c r="C1327" s="3">
        <v>31.23</v>
      </c>
      <c r="D1327" s="3">
        <v>12</v>
      </c>
      <c r="E1327" s="4">
        <v>0.1</v>
      </c>
      <c r="F1327" s="5">
        <f t="shared" si="20"/>
        <v>337.28399999999999</v>
      </c>
    </row>
    <row r="1328" spans="1:6" x14ac:dyDescent="0.45">
      <c r="A1328" s="6">
        <v>10751</v>
      </c>
      <c r="B1328" s="3">
        <v>30</v>
      </c>
      <c r="C1328" s="3">
        <v>25.89</v>
      </c>
      <c r="D1328" s="3">
        <v>30</v>
      </c>
      <c r="E1328" s="4">
        <v>0</v>
      </c>
      <c r="F1328" s="5">
        <f t="shared" si="20"/>
        <v>776.7</v>
      </c>
    </row>
    <row r="1329" spans="1:6" x14ac:dyDescent="0.45">
      <c r="A1329" s="6">
        <v>10751</v>
      </c>
      <c r="B1329" s="3">
        <v>50</v>
      </c>
      <c r="C1329" s="3">
        <v>16.25</v>
      </c>
      <c r="D1329" s="3">
        <v>20</v>
      </c>
      <c r="E1329" s="4">
        <v>0.1</v>
      </c>
      <c r="F1329" s="5">
        <f t="shared" si="20"/>
        <v>292.5</v>
      </c>
    </row>
    <row r="1330" spans="1:6" x14ac:dyDescent="0.45">
      <c r="A1330" s="6">
        <v>10751</v>
      </c>
      <c r="B1330" s="3">
        <v>73</v>
      </c>
      <c r="C1330" s="3">
        <v>15</v>
      </c>
      <c r="D1330" s="3">
        <v>15</v>
      </c>
      <c r="E1330" s="4">
        <v>0</v>
      </c>
      <c r="F1330" s="5">
        <f t="shared" si="20"/>
        <v>225</v>
      </c>
    </row>
    <row r="1331" spans="1:6" x14ac:dyDescent="0.45">
      <c r="A1331" s="6">
        <v>10752</v>
      </c>
      <c r="B1331" s="3">
        <v>1</v>
      </c>
      <c r="C1331" s="3">
        <v>18</v>
      </c>
      <c r="D1331" s="3">
        <v>8</v>
      </c>
      <c r="E1331" s="4">
        <v>0</v>
      </c>
      <c r="F1331" s="5">
        <f t="shared" si="20"/>
        <v>144</v>
      </c>
    </row>
    <row r="1332" spans="1:6" x14ac:dyDescent="0.45">
      <c r="A1332" s="6">
        <v>10752</v>
      </c>
      <c r="B1332" s="3">
        <v>69</v>
      </c>
      <c r="C1332" s="3">
        <v>36</v>
      </c>
      <c r="D1332" s="3">
        <v>3</v>
      </c>
      <c r="E1332" s="4">
        <v>0</v>
      </c>
      <c r="F1332" s="5">
        <f t="shared" si="20"/>
        <v>108</v>
      </c>
    </row>
    <row r="1333" spans="1:6" x14ac:dyDescent="0.45">
      <c r="A1333" s="6">
        <v>10753</v>
      </c>
      <c r="B1333" s="3">
        <v>45</v>
      </c>
      <c r="C1333" s="3">
        <v>9.5</v>
      </c>
      <c r="D1333" s="3">
        <v>4</v>
      </c>
      <c r="E1333" s="4">
        <v>0</v>
      </c>
      <c r="F1333" s="5">
        <f t="shared" si="20"/>
        <v>38</v>
      </c>
    </row>
    <row r="1334" spans="1:6" x14ac:dyDescent="0.45">
      <c r="A1334" s="6">
        <v>10753</v>
      </c>
      <c r="B1334" s="3">
        <v>74</v>
      </c>
      <c r="C1334" s="3">
        <v>10</v>
      </c>
      <c r="D1334" s="3">
        <v>5</v>
      </c>
      <c r="E1334" s="4">
        <v>0</v>
      </c>
      <c r="F1334" s="5">
        <f t="shared" si="20"/>
        <v>50</v>
      </c>
    </row>
    <row r="1335" spans="1:6" x14ac:dyDescent="0.45">
      <c r="A1335" s="6">
        <v>10754</v>
      </c>
      <c r="B1335" s="3">
        <v>40</v>
      </c>
      <c r="C1335" s="3">
        <v>18.399999999999999</v>
      </c>
      <c r="D1335" s="3">
        <v>3</v>
      </c>
      <c r="E1335" s="4">
        <v>0</v>
      </c>
      <c r="F1335" s="5">
        <f t="shared" si="20"/>
        <v>55.199999999999996</v>
      </c>
    </row>
    <row r="1336" spans="1:6" x14ac:dyDescent="0.45">
      <c r="A1336" s="6">
        <v>10755</v>
      </c>
      <c r="B1336" s="3">
        <v>47</v>
      </c>
      <c r="C1336" s="3">
        <v>9.5</v>
      </c>
      <c r="D1336" s="3">
        <v>30</v>
      </c>
      <c r="E1336" s="4">
        <v>0.25</v>
      </c>
      <c r="F1336" s="5">
        <f t="shared" si="20"/>
        <v>213.75</v>
      </c>
    </row>
    <row r="1337" spans="1:6" x14ac:dyDescent="0.45">
      <c r="A1337" s="6">
        <v>10755</v>
      </c>
      <c r="B1337" s="3">
        <v>56</v>
      </c>
      <c r="C1337" s="3">
        <v>38</v>
      </c>
      <c r="D1337" s="3">
        <v>30</v>
      </c>
      <c r="E1337" s="4">
        <v>0.25</v>
      </c>
      <c r="F1337" s="5">
        <f t="shared" si="20"/>
        <v>855</v>
      </c>
    </row>
    <row r="1338" spans="1:6" x14ac:dyDescent="0.45">
      <c r="A1338" s="6">
        <v>10755</v>
      </c>
      <c r="B1338" s="3">
        <v>57</v>
      </c>
      <c r="C1338" s="3">
        <v>19.5</v>
      </c>
      <c r="D1338" s="3">
        <v>14</v>
      </c>
      <c r="E1338" s="4">
        <v>0.25</v>
      </c>
      <c r="F1338" s="5">
        <f t="shared" si="20"/>
        <v>204.75</v>
      </c>
    </row>
    <row r="1339" spans="1:6" x14ac:dyDescent="0.45">
      <c r="A1339" s="6">
        <v>10755</v>
      </c>
      <c r="B1339" s="3">
        <v>69</v>
      </c>
      <c r="C1339" s="3">
        <v>36</v>
      </c>
      <c r="D1339" s="3">
        <v>25</v>
      </c>
      <c r="E1339" s="4">
        <v>0.25</v>
      </c>
      <c r="F1339" s="5">
        <f t="shared" si="20"/>
        <v>675</v>
      </c>
    </row>
    <row r="1340" spans="1:6" x14ac:dyDescent="0.45">
      <c r="A1340" s="6">
        <v>10756</v>
      </c>
      <c r="B1340" s="3">
        <v>18</v>
      </c>
      <c r="C1340" s="3">
        <v>62.5</v>
      </c>
      <c r="D1340" s="3">
        <v>21</v>
      </c>
      <c r="E1340" s="4">
        <v>0.2</v>
      </c>
      <c r="F1340" s="5">
        <f t="shared" si="20"/>
        <v>1050</v>
      </c>
    </row>
    <row r="1341" spans="1:6" x14ac:dyDescent="0.45">
      <c r="A1341" s="6">
        <v>10756</v>
      </c>
      <c r="B1341" s="3">
        <v>36</v>
      </c>
      <c r="C1341" s="3">
        <v>19</v>
      </c>
      <c r="D1341" s="3">
        <v>20</v>
      </c>
      <c r="E1341" s="4">
        <v>0.2</v>
      </c>
      <c r="F1341" s="5">
        <f t="shared" si="20"/>
        <v>304</v>
      </c>
    </row>
    <row r="1342" spans="1:6" x14ac:dyDescent="0.45">
      <c r="A1342" s="6">
        <v>10756</v>
      </c>
      <c r="B1342" s="3">
        <v>68</v>
      </c>
      <c r="C1342" s="3">
        <v>12.5</v>
      </c>
      <c r="D1342" s="3">
        <v>6</v>
      </c>
      <c r="E1342" s="4">
        <v>0.2</v>
      </c>
      <c r="F1342" s="5">
        <f t="shared" si="20"/>
        <v>60</v>
      </c>
    </row>
    <row r="1343" spans="1:6" x14ac:dyDescent="0.45">
      <c r="A1343" s="6">
        <v>10756</v>
      </c>
      <c r="B1343" s="3">
        <v>69</v>
      </c>
      <c r="C1343" s="3">
        <v>36</v>
      </c>
      <c r="D1343" s="3">
        <v>20</v>
      </c>
      <c r="E1343" s="4">
        <v>0.2</v>
      </c>
      <c r="F1343" s="5">
        <f t="shared" si="20"/>
        <v>576</v>
      </c>
    </row>
    <row r="1344" spans="1:6" x14ac:dyDescent="0.45">
      <c r="A1344" s="6">
        <v>10757</v>
      </c>
      <c r="B1344" s="3">
        <v>34</v>
      </c>
      <c r="C1344" s="3">
        <v>14</v>
      </c>
      <c r="D1344" s="3">
        <v>30</v>
      </c>
      <c r="E1344" s="4">
        <v>0</v>
      </c>
      <c r="F1344" s="5">
        <f t="shared" si="20"/>
        <v>420</v>
      </c>
    </row>
    <row r="1345" spans="1:6" x14ac:dyDescent="0.45">
      <c r="A1345" s="6">
        <v>10757</v>
      </c>
      <c r="B1345" s="3">
        <v>59</v>
      </c>
      <c r="C1345" s="3">
        <v>55</v>
      </c>
      <c r="D1345" s="3">
        <v>7</v>
      </c>
      <c r="E1345" s="4">
        <v>0</v>
      </c>
      <c r="F1345" s="5">
        <f t="shared" si="20"/>
        <v>385</v>
      </c>
    </row>
    <row r="1346" spans="1:6" x14ac:dyDescent="0.45">
      <c r="A1346" s="6">
        <v>10757</v>
      </c>
      <c r="B1346" s="3">
        <v>62</v>
      </c>
      <c r="C1346" s="3">
        <v>49.3</v>
      </c>
      <c r="D1346" s="3">
        <v>30</v>
      </c>
      <c r="E1346" s="4">
        <v>0</v>
      </c>
      <c r="F1346" s="5">
        <f t="shared" ref="F1346:F1409" si="21">C1346*D1346*(1-E1346)</f>
        <v>1479</v>
      </c>
    </row>
    <row r="1347" spans="1:6" x14ac:dyDescent="0.45">
      <c r="A1347" s="6">
        <v>10757</v>
      </c>
      <c r="B1347" s="3">
        <v>64</v>
      </c>
      <c r="C1347" s="3">
        <v>33.25</v>
      </c>
      <c r="D1347" s="3">
        <v>24</v>
      </c>
      <c r="E1347" s="4">
        <v>0</v>
      </c>
      <c r="F1347" s="5">
        <f t="shared" si="21"/>
        <v>798</v>
      </c>
    </row>
    <row r="1348" spans="1:6" x14ac:dyDescent="0.45">
      <c r="A1348" s="6">
        <v>10758</v>
      </c>
      <c r="B1348" s="3">
        <v>26</v>
      </c>
      <c r="C1348" s="3">
        <v>31.23</v>
      </c>
      <c r="D1348" s="3">
        <v>20</v>
      </c>
      <c r="E1348" s="4">
        <v>0</v>
      </c>
      <c r="F1348" s="5">
        <f t="shared" si="21"/>
        <v>624.6</v>
      </c>
    </row>
    <row r="1349" spans="1:6" x14ac:dyDescent="0.45">
      <c r="A1349" s="6">
        <v>10758</v>
      </c>
      <c r="B1349" s="3">
        <v>52</v>
      </c>
      <c r="C1349" s="3">
        <v>7</v>
      </c>
      <c r="D1349" s="3">
        <v>60</v>
      </c>
      <c r="E1349" s="4">
        <v>0</v>
      </c>
      <c r="F1349" s="5">
        <f t="shared" si="21"/>
        <v>420</v>
      </c>
    </row>
    <row r="1350" spans="1:6" x14ac:dyDescent="0.45">
      <c r="A1350" s="6">
        <v>10758</v>
      </c>
      <c r="B1350" s="3">
        <v>70</v>
      </c>
      <c r="C1350" s="3">
        <v>15</v>
      </c>
      <c r="D1350" s="3">
        <v>40</v>
      </c>
      <c r="E1350" s="4">
        <v>0</v>
      </c>
      <c r="F1350" s="5">
        <f t="shared" si="21"/>
        <v>600</v>
      </c>
    </row>
    <row r="1351" spans="1:6" x14ac:dyDescent="0.45">
      <c r="A1351" s="6">
        <v>10759</v>
      </c>
      <c r="B1351" s="3">
        <v>32</v>
      </c>
      <c r="C1351" s="3">
        <v>32</v>
      </c>
      <c r="D1351" s="3">
        <v>10</v>
      </c>
      <c r="E1351" s="4">
        <v>0</v>
      </c>
      <c r="F1351" s="5">
        <f t="shared" si="21"/>
        <v>320</v>
      </c>
    </row>
    <row r="1352" spans="1:6" x14ac:dyDescent="0.45">
      <c r="A1352" s="6">
        <v>10760</v>
      </c>
      <c r="B1352" s="3">
        <v>25</v>
      </c>
      <c r="C1352" s="3">
        <v>14</v>
      </c>
      <c r="D1352" s="3">
        <v>12</v>
      </c>
      <c r="E1352" s="4">
        <v>0.25</v>
      </c>
      <c r="F1352" s="5">
        <f t="shared" si="21"/>
        <v>126</v>
      </c>
    </row>
    <row r="1353" spans="1:6" x14ac:dyDescent="0.45">
      <c r="A1353" s="6">
        <v>10760</v>
      </c>
      <c r="B1353" s="3">
        <v>27</v>
      </c>
      <c r="C1353" s="3">
        <v>43.9</v>
      </c>
      <c r="D1353" s="3">
        <v>40</v>
      </c>
      <c r="E1353" s="4">
        <v>0</v>
      </c>
      <c r="F1353" s="5">
        <f t="shared" si="21"/>
        <v>1756</v>
      </c>
    </row>
    <row r="1354" spans="1:6" x14ac:dyDescent="0.45">
      <c r="A1354" s="6">
        <v>10760</v>
      </c>
      <c r="B1354" s="3">
        <v>43</v>
      </c>
      <c r="C1354" s="3">
        <v>46</v>
      </c>
      <c r="D1354" s="3">
        <v>30</v>
      </c>
      <c r="E1354" s="4">
        <v>0.25</v>
      </c>
      <c r="F1354" s="5">
        <f t="shared" si="21"/>
        <v>1035</v>
      </c>
    </row>
    <row r="1355" spans="1:6" x14ac:dyDescent="0.45">
      <c r="A1355" s="6">
        <v>10761</v>
      </c>
      <c r="B1355" s="3">
        <v>25</v>
      </c>
      <c r="C1355" s="3">
        <v>14</v>
      </c>
      <c r="D1355" s="3">
        <v>35</v>
      </c>
      <c r="E1355" s="4">
        <v>0.25</v>
      </c>
      <c r="F1355" s="5">
        <f t="shared" si="21"/>
        <v>367.5</v>
      </c>
    </row>
    <row r="1356" spans="1:6" x14ac:dyDescent="0.45">
      <c r="A1356" s="6">
        <v>10761</v>
      </c>
      <c r="B1356" s="3">
        <v>75</v>
      </c>
      <c r="C1356" s="3">
        <v>7.75</v>
      </c>
      <c r="D1356" s="3">
        <v>18</v>
      </c>
      <c r="E1356" s="4">
        <v>0</v>
      </c>
      <c r="F1356" s="5">
        <f t="shared" si="21"/>
        <v>139.5</v>
      </c>
    </row>
    <row r="1357" spans="1:6" x14ac:dyDescent="0.45">
      <c r="A1357" s="6">
        <v>10762</v>
      </c>
      <c r="B1357" s="3">
        <v>39</v>
      </c>
      <c r="C1357" s="3">
        <v>18</v>
      </c>
      <c r="D1357" s="3">
        <v>16</v>
      </c>
      <c r="E1357" s="4">
        <v>0</v>
      </c>
      <c r="F1357" s="5">
        <f t="shared" si="21"/>
        <v>288</v>
      </c>
    </row>
    <row r="1358" spans="1:6" x14ac:dyDescent="0.45">
      <c r="A1358" s="6">
        <v>10762</v>
      </c>
      <c r="B1358" s="3">
        <v>47</v>
      </c>
      <c r="C1358" s="3">
        <v>9.5</v>
      </c>
      <c r="D1358" s="3">
        <v>30</v>
      </c>
      <c r="E1358" s="4">
        <v>0</v>
      </c>
      <c r="F1358" s="5">
        <f t="shared" si="21"/>
        <v>285</v>
      </c>
    </row>
    <row r="1359" spans="1:6" x14ac:dyDescent="0.45">
      <c r="A1359" s="6">
        <v>10762</v>
      </c>
      <c r="B1359" s="3">
        <v>51</v>
      </c>
      <c r="C1359" s="3">
        <v>53</v>
      </c>
      <c r="D1359" s="3">
        <v>28</v>
      </c>
      <c r="E1359" s="4">
        <v>0</v>
      </c>
      <c r="F1359" s="5">
        <f t="shared" si="21"/>
        <v>1484</v>
      </c>
    </row>
    <row r="1360" spans="1:6" x14ac:dyDescent="0.45">
      <c r="A1360" s="6">
        <v>10762</v>
      </c>
      <c r="B1360" s="3">
        <v>56</v>
      </c>
      <c r="C1360" s="3">
        <v>38</v>
      </c>
      <c r="D1360" s="3">
        <v>60</v>
      </c>
      <c r="E1360" s="4">
        <v>0</v>
      </c>
      <c r="F1360" s="5">
        <f t="shared" si="21"/>
        <v>2280</v>
      </c>
    </row>
    <row r="1361" spans="1:6" x14ac:dyDescent="0.45">
      <c r="A1361" s="6">
        <v>10763</v>
      </c>
      <c r="B1361" s="3">
        <v>21</v>
      </c>
      <c r="C1361" s="3">
        <v>10</v>
      </c>
      <c r="D1361" s="3">
        <v>40</v>
      </c>
      <c r="E1361" s="4">
        <v>0</v>
      </c>
      <c r="F1361" s="5">
        <f t="shared" si="21"/>
        <v>400</v>
      </c>
    </row>
    <row r="1362" spans="1:6" x14ac:dyDescent="0.45">
      <c r="A1362" s="6">
        <v>10763</v>
      </c>
      <c r="B1362" s="3">
        <v>22</v>
      </c>
      <c r="C1362" s="3">
        <v>21</v>
      </c>
      <c r="D1362" s="3">
        <v>6</v>
      </c>
      <c r="E1362" s="4">
        <v>0</v>
      </c>
      <c r="F1362" s="5">
        <f t="shared" si="21"/>
        <v>126</v>
      </c>
    </row>
    <row r="1363" spans="1:6" x14ac:dyDescent="0.45">
      <c r="A1363" s="6">
        <v>10763</v>
      </c>
      <c r="B1363" s="3">
        <v>24</v>
      </c>
      <c r="C1363" s="3">
        <v>4.5</v>
      </c>
      <c r="D1363" s="3">
        <v>20</v>
      </c>
      <c r="E1363" s="4">
        <v>0</v>
      </c>
      <c r="F1363" s="5">
        <f t="shared" si="21"/>
        <v>90</v>
      </c>
    </row>
    <row r="1364" spans="1:6" x14ac:dyDescent="0.45">
      <c r="A1364" s="6">
        <v>10764</v>
      </c>
      <c r="B1364" s="3">
        <v>3</v>
      </c>
      <c r="C1364" s="3">
        <v>10</v>
      </c>
      <c r="D1364" s="3">
        <v>20</v>
      </c>
      <c r="E1364" s="4">
        <v>0.1</v>
      </c>
      <c r="F1364" s="5">
        <f t="shared" si="21"/>
        <v>180</v>
      </c>
    </row>
    <row r="1365" spans="1:6" x14ac:dyDescent="0.45">
      <c r="A1365" s="6">
        <v>10764</v>
      </c>
      <c r="B1365" s="3">
        <v>39</v>
      </c>
      <c r="C1365" s="3">
        <v>18</v>
      </c>
      <c r="D1365" s="3">
        <v>130</v>
      </c>
      <c r="E1365" s="4">
        <v>0.1</v>
      </c>
      <c r="F1365" s="5">
        <f t="shared" si="21"/>
        <v>2106</v>
      </c>
    </row>
    <row r="1366" spans="1:6" x14ac:dyDescent="0.45">
      <c r="A1366" s="6">
        <v>10765</v>
      </c>
      <c r="B1366" s="3">
        <v>65</v>
      </c>
      <c r="C1366" s="3">
        <v>21.05</v>
      </c>
      <c r="D1366" s="3">
        <v>80</v>
      </c>
      <c r="E1366" s="4">
        <v>0.1</v>
      </c>
      <c r="F1366" s="5">
        <f t="shared" si="21"/>
        <v>1515.6000000000001</v>
      </c>
    </row>
    <row r="1367" spans="1:6" x14ac:dyDescent="0.45">
      <c r="A1367" s="6">
        <v>10766</v>
      </c>
      <c r="B1367" s="3">
        <v>2</v>
      </c>
      <c r="C1367" s="3">
        <v>19</v>
      </c>
      <c r="D1367" s="3">
        <v>40</v>
      </c>
      <c r="E1367" s="4">
        <v>0</v>
      </c>
      <c r="F1367" s="5">
        <f t="shared" si="21"/>
        <v>760</v>
      </c>
    </row>
    <row r="1368" spans="1:6" x14ac:dyDescent="0.45">
      <c r="A1368" s="6">
        <v>10766</v>
      </c>
      <c r="B1368" s="3">
        <v>7</v>
      </c>
      <c r="C1368" s="3">
        <v>30</v>
      </c>
      <c r="D1368" s="3">
        <v>35</v>
      </c>
      <c r="E1368" s="4">
        <v>0</v>
      </c>
      <c r="F1368" s="5">
        <f t="shared" si="21"/>
        <v>1050</v>
      </c>
    </row>
    <row r="1369" spans="1:6" x14ac:dyDescent="0.45">
      <c r="A1369" s="6">
        <v>10766</v>
      </c>
      <c r="B1369" s="3">
        <v>68</v>
      </c>
      <c r="C1369" s="3">
        <v>12.5</v>
      </c>
      <c r="D1369" s="3">
        <v>40</v>
      </c>
      <c r="E1369" s="4">
        <v>0</v>
      </c>
      <c r="F1369" s="5">
        <f t="shared" si="21"/>
        <v>500</v>
      </c>
    </row>
    <row r="1370" spans="1:6" x14ac:dyDescent="0.45">
      <c r="A1370" s="6">
        <v>10767</v>
      </c>
      <c r="B1370" s="3">
        <v>42</v>
      </c>
      <c r="C1370" s="3">
        <v>14</v>
      </c>
      <c r="D1370" s="3">
        <v>2</v>
      </c>
      <c r="E1370" s="4">
        <v>0</v>
      </c>
      <c r="F1370" s="5">
        <f t="shared" si="21"/>
        <v>28</v>
      </c>
    </row>
    <row r="1371" spans="1:6" x14ac:dyDescent="0.45">
      <c r="A1371" s="6">
        <v>10768</v>
      </c>
      <c r="B1371" s="3">
        <v>22</v>
      </c>
      <c r="C1371" s="3">
        <v>21</v>
      </c>
      <c r="D1371" s="3">
        <v>4</v>
      </c>
      <c r="E1371" s="4">
        <v>0</v>
      </c>
      <c r="F1371" s="5">
        <f t="shared" si="21"/>
        <v>84</v>
      </c>
    </row>
    <row r="1372" spans="1:6" x14ac:dyDescent="0.45">
      <c r="A1372" s="6">
        <v>10768</v>
      </c>
      <c r="B1372" s="3">
        <v>31</v>
      </c>
      <c r="C1372" s="3">
        <v>12.5</v>
      </c>
      <c r="D1372" s="3">
        <v>50</v>
      </c>
      <c r="E1372" s="4">
        <v>0</v>
      </c>
      <c r="F1372" s="5">
        <f t="shared" si="21"/>
        <v>625</v>
      </c>
    </row>
    <row r="1373" spans="1:6" x14ac:dyDescent="0.45">
      <c r="A1373" s="6">
        <v>10768</v>
      </c>
      <c r="B1373" s="3">
        <v>60</v>
      </c>
      <c r="C1373" s="3">
        <v>34</v>
      </c>
      <c r="D1373" s="3">
        <v>15</v>
      </c>
      <c r="E1373" s="4">
        <v>0</v>
      </c>
      <c r="F1373" s="5">
        <f t="shared" si="21"/>
        <v>510</v>
      </c>
    </row>
    <row r="1374" spans="1:6" x14ac:dyDescent="0.45">
      <c r="A1374" s="6">
        <v>10768</v>
      </c>
      <c r="B1374" s="3">
        <v>71</v>
      </c>
      <c r="C1374" s="3">
        <v>21.5</v>
      </c>
      <c r="D1374" s="3">
        <v>12</v>
      </c>
      <c r="E1374" s="4">
        <v>0</v>
      </c>
      <c r="F1374" s="5">
        <f t="shared" si="21"/>
        <v>258</v>
      </c>
    </row>
    <row r="1375" spans="1:6" x14ac:dyDescent="0.45">
      <c r="A1375" s="6">
        <v>10769</v>
      </c>
      <c r="B1375" s="3">
        <v>41</v>
      </c>
      <c r="C1375" s="3">
        <v>9.65</v>
      </c>
      <c r="D1375" s="3">
        <v>30</v>
      </c>
      <c r="E1375" s="4">
        <v>0.05</v>
      </c>
      <c r="F1375" s="5">
        <f t="shared" si="21"/>
        <v>275.02499999999998</v>
      </c>
    </row>
    <row r="1376" spans="1:6" x14ac:dyDescent="0.45">
      <c r="A1376" s="6">
        <v>10769</v>
      </c>
      <c r="B1376" s="3">
        <v>52</v>
      </c>
      <c r="C1376" s="3">
        <v>7</v>
      </c>
      <c r="D1376" s="3">
        <v>15</v>
      </c>
      <c r="E1376" s="4">
        <v>0.05</v>
      </c>
      <c r="F1376" s="5">
        <f t="shared" si="21"/>
        <v>99.75</v>
      </c>
    </row>
    <row r="1377" spans="1:6" x14ac:dyDescent="0.45">
      <c r="A1377" s="6">
        <v>10769</v>
      </c>
      <c r="B1377" s="3">
        <v>61</v>
      </c>
      <c r="C1377" s="3">
        <v>28.5</v>
      </c>
      <c r="D1377" s="3">
        <v>20</v>
      </c>
      <c r="E1377" s="4">
        <v>0</v>
      </c>
      <c r="F1377" s="5">
        <f t="shared" si="21"/>
        <v>570</v>
      </c>
    </row>
    <row r="1378" spans="1:6" x14ac:dyDescent="0.45">
      <c r="A1378" s="6">
        <v>10769</v>
      </c>
      <c r="B1378" s="3">
        <v>62</v>
      </c>
      <c r="C1378" s="3">
        <v>49.3</v>
      </c>
      <c r="D1378" s="3">
        <v>15</v>
      </c>
      <c r="E1378" s="4">
        <v>0</v>
      </c>
      <c r="F1378" s="5">
        <f t="shared" si="21"/>
        <v>739.5</v>
      </c>
    </row>
    <row r="1379" spans="1:6" x14ac:dyDescent="0.45">
      <c r="A1379" s="6">
        <v>10770</v>
      </c>
      <c r="B1379" s="3">
        <v>11</v>
      </c>
      <c r="C1379" s="3">
        <v>21</v>
      </c>
      <c r="D1379" s="3">
        <v>15</v>
      </c>
      <c r="E1379" s="4">
        <v>0.25</v>
      </c>
      <c r="F1379" s="5">
        <f t="shared" si="21"/>
        <v>236.25</v>
      </c>
    </row>
    <row r="1380" spans="1:6" x14ac:dyDescent="0.45">
      <c r="A1380" s="6">
        <v>10771</v>
      </c>
      <c r="B1380" s="3">
        <v>71</v>
      </c>
      <c r="C1380" s="3">
        <v>21.5</v>
      </c>
      <c r="D1380" s="3">
        <v>16</v>
      </c>
      <c r="E1380" s="4">
        <v>0</v>
      </c>
      <c r="F1380" s="5">
        <f t="shared" si="21"/>
        <v>344</v>
      </c>
    </row>
    <row r="1381" spans="1:6" x14ac:dyDescent="0.45">
      <c r="A1381" s="6">
        <v>10772</v>
      </c>
      <c r="B1381" s="3">
        <v>29</v>
      </c>
      <c r="C1381" s="3">
        <v>123.79</v>
      </c>
      <c r="D1381" s="3">
        <v>18</v>
      </c>
      <c r="E1381" s="4">
        <v>0</v>
      </c>
      <c r="F1381" s="5">
        <f t="shared" si="21"/>
        <v>2228.2200000000003</v>
      </c>
    </row>
    <row r="1382" spans="1:6" x14ac:dyDescent="0.45">
      <c r="A1382" s="6">
        <v>10772</v>
      </c>
      <c r="B1382" s="3">
        <v>59</v>
      </c>
      <c r="C1382" s="3">
        <v>55</v>
      </c>
      <c r="D1382" s="3">
        <v>25</v>
      </c>
      <c r="E1382" s="4">
        <v>0</v>
      </c>
      <c r="F1382" s="5">
        <f t="shared" si="21"/>
        <v>1375</v>
      </c>
    </row>
    <row r="1383" spans="1:6" x14ac:dyDescent="0.45">
      <c r="A1383" s="6">
        <v>10773</v>
      </c>
      <c r="B1383" s="3">
        <v>17</v>
      </c>
      <c r="C1383" s="3">
        <v>39</v>
      </c>
      <c r="D1383" s="3">
        <v>33</v>
      </c>
      <c r="E1383" s="4">
        <v>0</v>
      </c>
      <c r="F1383" s="5">
        <f t="shared" si="21"/>
        <v>1287</v>
      </c>
    </row>
    <row r="1384" spans="1:6" x14ac:dyDescent="0.45">
      <c r="A1384" s="6">
        <v>10773</v>
      </c>
      <c r="B1384" s="3">
        <v>31</v>
      </c>
      <c r="C1384" s="3">
        <v>12.5</v>
      </c>
      <c r="D1384" s="3">
        <v>70</v>
      </c>
      <c r="E1384" s="4">
        <v>0.2</v>
      </c>
      <c r="F1384" s="5">
        <f t="shared" si="21"/>
        <v>700</v>
      </c>
    </row>
    <row r="1385" spans="1:6" x14ac:dyDescent="0.45">
      <c r="A1385" s="6">
        <v>10773</v>
      </c>
      <c r="B1385" s="3">
        <v>75</v>
      </c>
      <c r="C1385" s="3">
        <v>7.75</v>
      </c>
      <c r="D1385" s="3">
        <v>7</v>
      </c>
      <c r="E1385" s="4">
        <v>0.2</v>
      </c>
      <c r="F1385" s="5">
        <f t="shared" si="21"/>
        <v>43.400000000000006</v>
      </c>
    </row>
    <row r="1386" spans="1:6" x14ac:dyDescent="0.45">
      <c r="A1386" s="6">
        <v>10774</v>
      </c>
      <c r="B1386" s="3">
        <v>31</v>
      </c>
      <c r="C1386" s="3">
        <v>12.5</v>
      </c>
      <c r="D1386" s="3">
        <v>2</v>
      </c>
      <c r="E1386" s="4">
        <v>0.25</v>
      </c>
      <c r="F1386" s="5">
        <f t="shared" si="21"/>
        <v>18.75</v>
      </c>
    </row>
    <row r="1387" spans="1:6" x14ac:dyDescent="0.45">
      <c r="A1387" s="6">
        <v>10774</v>
      </c>
      <c r="B1387" s="3">
        <v>66</v>
      </c>
      <c r="C1387" s="3">
        <v>17</v>
      </c>
      <c r="D1387" s="3">
        <v>50</v>
      </c>
      <c r="E1387" s="4">
        <v>0</v>
      </c>
      <c r="F1387" s="5">
        <f t="shared" si="21"/>
        <v>850</v>
      </c>
    </row>
    <row r="1388" spans="1:6" x14ac:dyDescent="0.45">
      <c r="A1388" s="6">
        <v>10775</v>
      </c>
      <c r="B1388" s="3">
        <v>10</v>
      </c>
      <c r="C1388" s="3">
        <v>31</v>
      </c>
      <c r="D1388" s="3">
        <v>6</v>
      </c>
      <c r="E1388" s="4">
        <v>0</v>
      </c>
      <c r="F1388" s="5">
        <f t="shared" si="21"/>
        <v>186</v>
      </c>
    </row>
    <row r="1389" spans="1:6" x14ac:dyDescent="0.45">
      <c r="A1389" s="6">
        <v>10775</v>
      </c>
      <c r="B1389" s="3">
        <v>67</v>
      </c>
      <c r="C1389" s="3">
        <v>14</v>
      </c>
      <c r="D1389" s="3">
        <v>3</v>
      </c>
      <c r="E1389" s="4">
        <v>0</v>
      </c>
      <c r="F1389" s="5">
        <f t="shared" si="21"/>
        <v>42</v>
      </c>
    </row>
    <row r="1390" spans="1:6" x14ac:dyDescent="0.45">
      <c r="A1390" s="6">
        <v>10776</v>
      </c>
      <c r="B1390" s="3">
        <v>31</v>
      </c>
      <c r="C1390" s="3">
        <v>12.5</v>
      </c>
      <c r="D1390" s="3">
        <v>16</v>
      </c>
      <c r="E1390" s="4">
        <v>0.05</v>
      </c>
      <c r="F1390" s="5">
        <f t="shared" si="21"/>
        <v>190</v>
      </c>
    </row>
    <row r="1391" spans="1:6" x14ac:dyDescent="0.45">
      <c r="A1391" s="6">
        <v>10776</v>
      </c>
      <c r="B1391" s="3">
        <v>42</v>
      </c>
      <c r="C1391" s="3">
        <v>14</v>
      </c>
      <c r="D1391" s="3">
        <v>12</v>
      </c>
      <c r="E1391" s="4">
        <v>0.05</v>
      </c>
      <c r="F1391" s="5">
        <f t="shared" si="21"/>
        <v>159.6</v>
      </c>
    </row>
    <row r="1392" spans="1:6" x14ac:dyDescent="0.45">
      <c r="A1392" s="6">
        <v>10776</v>
      </c>
      <c r="B1392" s="3">
        <v>45</v>
      </c>
      <c r="C1392" s="3">
        <v>9.5</v>
      </c>
      <c r="D1392" s="3">
        <v>27</v>
      </c>
      <c r="E1392" s="4">
        <v>0.05</v>
      </c>
      <c r="F1392" s="5">
        <f t="shared" si="21"/>
        <v>243.67499999999998</v>
      </c>
    </row>
    <row r="1393" spans="1:6" x14ac:dyDescent="0.45">
      <c r="A1393" s="6">
        <v>10776</v>
      </c>
      <c r="B1393" s="3">
        <v>51</v>
      </c>
      <c r="C1393" s="3">
        <v>53</v>
      </c>
      <c r="D1393" s="3">
        <v>120</v>
      </c>
      <c r="E1393" s="4">
        <v>0.05</v>
      </c>
      <c r="F1393" s="5">
        <f t="shared" si="21"/>
        <v>6042</v>
      </c>
    </row>
    <row r="1394" spans="1:6" x14ac:dyDescent="0.45">
      <c r="A1394" s="6">
        <v>10777</v>
      </c>
      <c r="B1394" s="3">
        <v>42</v>
      </c>
      <c r="C1394" s="3">
        <v>14</v>
      </c>
      <c r="D1394" s="3">
        <v>20</v>
      </c>
      <c r="E1394" s="4">
        <v>0.2</v>
      </c>
      <c r="F1394" s="5">
        <f t="shared" si="21"/>
        <v>224</v>
      </c>
    </row>
    <row r="1395" spans="1:6" x14ac:dyDescent="0.45">
      <c r="A1395" s="6">
        <v>10778</v>
      </c>
      <c r="B1395" s="3">
        <v>41</v>
      </c>
      <c r="C1395" s="3">
        <v>9.65</v>
      </c>
      <c r="D1395" s="3">
        <v>10</v>
      </c>
      <c r="E1395" s="4">
        <v>0</v>
      </c>
      <c r="F1395" s="5">
        <f t="shared" si="21"/>
        <v>96.5</v>
      </c>
    </row>
    <row r="1396" spans="1:6" x14ac:dyDescent="0.45">
      <c r="A1396" s="6">
        <v>10779</v>
      </c>
      <c r="B1396" s="3">
        <v>16</v>
      </c>
      <c r="C1396" s="3">
        <v>17.45</v>
      </c>
      <c r="D1396" s="3">
        <v>20</v>
      </c>
      <c r="E1396" s="4">
        <v>0</v>
      </c>
      <c r="F1396" s="5">
        <f t="shared" si="21"/>
        <v>349</v>
      </c>
    </row>
    <row r="1397" spans="1:6" x14ac:dyDescent="0.45">
      <c r="A1397" s="6">
        <v>10779</v>
      </c>
      <c r="B1397" s="3">
        <v>62</v>
      </c>
      <c r="C1397" s="3">
        <v>49.3</v>
      </c>
      <c r="D1397" s="3">
        <v>20</v>
      </c>
      <c r="E1397" s="4">
        <v>0</v>
      </c>
      <c r="F1397" s="5">
        <f t="shared" si="21"/>
        <v>986</v>
      </c>
    </row>
    <row r="1398" spans="1:6" x14ac:dyDescent="0.45">
      <c r="A1398" s="6">
        <v>10780</v>
      </c>
      <c r="B1398" s="3">
        <v>70</v>
      </c>
      <c r="C1398" s="3">
        <v>15</v>
      </c>
      <c r="D1398" s="3">
        <v>35</v>
      </c>
      <c r="E1398" s="4">
        <v>0</v>
      </c>
      <c r="F1398" s="5">
        <f t="shared" si="21"/>
        <v>525</v>
      </c>
    </row>
    <row r="1399" spans="1:6" x14ac:dyDescent="0.45">
      <c r="A1399" s="6">
        <v>10780</v>
      </c>
      <c r="B1399" s="3">
        <v>77</v>
      </c>
      <c r="C1399" s="3">
        <v>13</v>
      </c>
      <c r="D1399" s="3">
        <v>15</v>
      </c>
      <c r="E1399" s="4">
        <v>0</v>
      </c>
      <c r="F1399" s="5">
        <f t="shared" si="21"/>
        <v>195</v>
      </c>
    </row>
    <row r="1400" spans="1:6" x14ac:dyDescent="0.45">
      <c r="A1400" s="6">
        <v>10781</v>
      </c>
      <c r="B1400" s="3">
        <v>54</v>
      </c>
      <c r="C1400" s="3">
        <v>7.45</v>
      </c>
      <c r="D1400" s="3">
        <v>3</v>
      </c>
      <c r="E1400" s="4">
        <v>0.2</v>
      </c>
      <c r="F1400" s="5">
        <f t="shared" si="21"/>
        <v>17.880000000000003</v>
      </c>
    </row>
    <row r="1401" spans="1:6" x14ac:dyDescent="0.45">
      <c r="A1401" s="6">
        <v>10781</v>
      </c>
      <c r="B1401" s="3">
        <v>56</v>
      </c>
      <c r="C1401" s="3">
        <v>38</v>
      </c>
      <c r="D1401" s="3">
        <v>20</v>
      </c>
      <c r="E1401" s="4">
        <v>0.2</v>
      </c>
      <c r="F1401" s="5">
        <f t="shared" si="21"/>
        <v>608</v>
      </c>
    </row>
    <row r="1402" spans="1:6" x14ac:dyDescent="0.45">
      <c r="A1402" s="6">
        <v>10781</v>
      </c>
      <c r="B1402" s="3">
        <v>74</v>
      </c>
      <c r="C1402" s="3">
        <v>10</v>
      </c>
      <c r="D1402" s="3">
        <v>35</v>
      </c>
      <c r="E1402" s="4">
        <v>0</v>
      </c>
      <c r="F1402" s="5">
        <f t="shared" si="21"/>
        <v>350</v>
      </c>
    </row>
    <row r="1403" spans="1:6" x14ac:dyDescent="0.45">
      <c r="A1403" s="6">
        <v>10782</v>
      </c>
      <c r="B1403" s="3">
        <v>31</v>
      </c>
      <c r="C1403" s="3">
        <v>12.5</v>
      </c>
      <c r="D1403" s="3">
        <v>1</v>
      </c>
      <c r="E1403" s="4">
        <v>0</v>
      </c>
      <c r="F1403" s="5">
        <f t="shared" si="21"/>
        <v>12.5</v>
      </c>
    </row>
    <row r="1404" spans="1:6" x14ac:dyDescent="0.45">
      <c r="A1404" s="6">
        <v>10783</v>
      </c>
      <c r="B1404" s="3">
        <v>31</v>
      </c>
      <c r="C1404" s="3">
        <v>12.5</v>
      </c>
      <c r="D1404" s="3">
        <v>10</v>
      </c>
      <c r="E1404" s="4">
        <v>0</v>
      </c>
      <c r="F1404" s="5">
        <f t="shared" si="21"/>
        <v>125</v>
      </c>
    </row>
    <row r="1405" spans="1:6" x14ac:dyDescent="0.45">
      <c r="A1405" s="6">
        <v>10783</v>
      </c>
      <c r="B1405" s="3">
        <v>38</v>
      </c>
      <c r="C1405" s="3">
        <v>263.5</v>
      </c>
      <c r="D1405" s="3">
        <v>5</v>
      </c>
      <c r="E1405" s="4">
        <v>0</v>
      </c>
      <c r="F1405" s="5">
        <f t="shared" si="21"/>
        <v>1317.5</v>
      </c>
    </row>
    <row r="1406" spans="1:6" x14ac:dyDescent="0.45">
      <c r="A1406" s="6">
        <v>10784</v>
      </c>
      <c r="B1406" s="3">
        <v>36</v>
      </c>
      <c r="C1406" s="3">
        <v>19</v>
      </c>
      <c r="D1406" s="3">
        <v>30</v>
      </c>
      <c r="E1406" s="4">
        <v>0</v>
      </c>
      <c r="F1406" s="5">
        <f t="shared" si="21"/>
        <v>570</v>
      </c>
    </row>
    <row r="1407" spans="1:6" x14ac:dyDescent="0.45">
      <c r="A1407" s="6">
        <v>10784</v>
      </c>
      <c r="B1407" s="3">
        <v>39</v>
      </c>
      <c r="C1407" s="3">
        <v>18</v>
      </c>
      <c r="D1407" s="3">
        <v>2</v>
      </c>
      <c r="E1407" s="4">
        <v>0.15</v>
      </c>
      <c r="F1407" s="5">
        <f t="shared" si="21"/>
        <v>30.599999999999998</v>
      </c>
    </row>
    <row r="1408" spans="1:6" x14ac:dyDescent="0.45">
      <c r="A1408" s="6">
        <v>10784</v>
      </c>
      <c r="B1408" s="3">
        <v>72</v>
      </c>
      <c r="C1408" s="3">
        <v>34.799999999999997</v>
      </c>
      <c r="D1408" s="3">
        <v>30</v>
      </c>
      <c r="E1408" s="4">
        <v>0.15</v>
      </c>
      <c r="F1408" s="5">
        <f t="shared" si="21"/>
        <v>887.4</v>
      </c>
    </row>
    <row r="1409" spans="1:6" x14ac:dyDescent="0.45">
      <c r="A1409" s="6">
        <v>10785</v>
      </c>
      <c r="B1409" s="3">
        <v>10</v>
      </c>
      <c r="C1409" s="3">
        <v>31</v>
      </c>
      <c r="D1409" s="3">
        <v>10</v>
      </c>
      <c r="E1409" s="4">
        <v>0</v>
      </c>
      <c r="F1409" s="5">
        <f t="shared" si="21"/>
        <v>310</v>
      </c>
    </row>
    <row r="1410" spans="1:6" x14ac:dyDescent="0.45">
      <c r="A1410" s="6">
        <v>10785</v>
      </c>
      <c r="B1410" s="3">
        <v>75</v>
      </c>
      <c r="C1410" s="3">
        <v>7.75</v>
      </c>
      <c r="D1410" s="3">
        <v>10</v>
      </c>
      <c r="E1410" s="4">
        <v>0</v>
      </c>
      <c r="F1410" s="5">
        <f t="shared" ref="F1410:F1473" si="22">C1410*D1410*(1-E1410)</f>
        <v>77.5</v>
      </c>
    </row>
    <row r="1411" spans="1:6" x14ac:dyDescent="0.45">
      <c r="A1411" s="6">
        <v>10786</v>
      </c>
      <c r="B1411" s="3">
        <v>8</v>
      </c>
      <c r="C1411" s="3">
        <v>40</v>
      </c>
      <c r="D1411" s="3">
        <v>30</v>
      </c>
      <c r="E1411" s="4">
        <v>0.2</v>
      </c>
      <c r="F1411" s="5">
        <f t="shared" si="22"/>
        <v>960</v>
      </c>
    </row>
    <row r="1412" spans="1:6" x14ac:dyDescent="0.45">
      <c r="A1412" s="6">
        <v>10786</v>
      </c>
      <c r="B1412" s="3">
        <v>30</v>
      </c>
      <c r="C1412" s="3">
        <v>25.89</v>
      </c>
      <c r="D1412" s="3">
        <v>15</v>
      </c>
      <c r="E1412" s="4">
        <v>0.2</v>
      </c>
      <c r="F1412" s="5">
        <f t="shared" si="22"/>
        <v>310.68000000000006</v>
      </c>
    </row>
    <row r="1413" spans="1:6" x14ac:dyDescent="0.45">
      <c r="A1413" s="6">
        <v>10786</v>
      </c>
      <c r="B1413" s="3">
        <v>75</v>
      </c>
      <c r="C1413" s="3">
        <v>7.75</v>
      </c>
      <c r="D1413" s="3">
        <v>42</v>
      </c>
      <c r="E1413" s="4">
        <v>0.2</v>
      </c>
      <c r="F1413" s="5">
        <f t="shared" si="22"/>
        <v>260.40000000000003</v>
      </c>
    </row>
    <row r="1414" spans="1:6" x14ac:dyDescent="0.45">
      <c r="A1414" s="6">
        <v>10787</v>
      </c>
      <c r="B1414" s="3">
        <v>2</v>
      </c>
      <c r="C1414" s="3">
        <v>19</v>
      </c>
      <c r="D1414" s="3">
        <v>15</v>
      </c>
      <c r="E1414" s="4">
        <v>0.05</v>
      </c>
      <c r="F1414" s="5">
        <f t="shared" si="22"/>
        <v>270.75</v>
      </c>
    </row>
    <row r="1415" spans="1:6" x14ac:dyDescent="0.45">
      <c r="A1415" s="6">
        <v>10787</v>
      </c>
      <c r="B1415" s="3">
        <v>29</v>
      </c>
      <c r="C1415" s="3">
        <v>123.79</v>
      </c>
      <c r="D1415" s="3">
        <v>20</v>
      </c>
      <c r="E1415" s="4">
        <v>0.05</v>
      </c>
      <c r="F1415" s="5">
        <f t="shared" si="22"/>
        <v>2352.0100000000002</v>
      </c>
    </row>
    <row r="1416" spans="1:6" x14ac:dyDescent="0.45">
      <c r="A1416" s="6">
        <v>10788</v>
      </c>
      <c r="B1416" s="3">
        <v>19</v>
      </c>
      <c r="C1416" s="3">
        <v>9.1999999999999993</v>
      </c>
      <c r="D1416" s="3">
        <v>50</v>
      </c>
      <c r="E1416" s="4">
        <v>0.05</v>
      </c>
      <c r="F1416" s="5">
        <f t="shared" si="22"/>
        <v>436.99999999999994</v>
      </c>
    </row>
    <row r="1417" spans="1:6" x14ac:dyDescent="0.45">
      <c r="A1417" s="6">
        <v>10788</v>
      </c>
      <c r="B1417" s="3">
        <v>75</v>
      </c>
      <c r="C1417" s="3">
        <v>7.75</v>
      </c>
      <c r="D1417" s="3">
        <v>40</v>
      </c>
      <c r="E1417" s="4">
        <v>0.05</v>
      </c>
      <c r="F1417" s="5">
        <f t="shared" si="22"/>
        <v>294.5</v>
      </c>
    </row>
    <row r="1418" spans="1:6" x14ac:dyDescent="0.45">
      <c r="A1418" s="6">
        <v>10789</v>
      </c>
      <c r="B1418" s="3">
        <v>18</v>
      </c>
      <c r="C1418" s="3">
        <v>62.5</v>
      </c>
      <c r="D1418" s="3">
        <v>30</v>
      </c>
      <c r="E1418" s="4">
        <v>0</v>
      </c>
      <c r="F1418" s="5">
        <f t="shared" si="22"/>
        <v>1875</v>
      </c>
    </row>
    <row r="1419" spans="1:6" x14ac:dyDescent="0.45">
      <c r="A1419" s="6">
        <v>10789</v>
      </c>
      <c r="B1419" s="3">
        <v>35</v>
      </c>
      <c r="C1419" s="3">
        <v>18</v>
      </c>
      <c r="D1419" s="3">
        <v>15</v>
      </c>
      <c r="E1419" s="4">
        <v>0</v>
      </c>
      <c r="F1419" s="5">
        <f t="shared" si="22"/>
        <v>270</v>
      </c>
    </row>
    <row r="1420" spans="1:6" x14ac:dyDescent="0.45">
      <c r="A1420" s="6">
        <v>10789</v>
      </c>
      <c r="B1420" s="3">
        <v>63</v>
      </c>
      <c r="C1420" s="3">
        <v>43.9</v>
      </c>
      <c r="D1420" s="3">
        <v>30</v>
      </c>
      <c r="E1420" s="4">
        <v>0</v>
      </c>
      <c r="F1420" s="5">
        <f t="shared" si="22"/>
        <v>1317</v>
      </c>
    </row>
    <row r="1421" spans="1:6" x14ac:dyDescent="0.45">
      <c r="A1421" s="6">
        <v>10789</v>
      </c>
      <c r="B1421" s="3">
        <v>68</v>
      </c>
      <c r="C1421" s="3">
        <v>12.5</v>
      </c>
      <c r="D1421" s="3">
        <v>18</v>
      </c>
      <c r="E1421" s="4">
        <v>0</v>
      </c>
      <c r="F1421" s="5">
        <f t="shared" si="22"/>
        <v>225</v>
      </c>
    </row>
    <row r="1422" spans="1:6" x14ac:dyDescent="0.45">
      <c r="A1422" s="6">
        <v>10790</v>
      </c>
      <c r="B1422" s="3">
        <v>7</v>
      </c>
      <c r="C1422" s="3">
        <v>30</v>
      </c>
      <c r="D1422" s="3">
        <v>3</v>
      </c>
      <c r="E1422" s="4">
        <v>0.15</v>
      </c>
      <c r="F1422" s="5">
        <f t="shared" si="22"/>
        <v>76.5</v>
      </c>
    </row>
    <row r="1423" spans="1:6" x14ac:dyDescent="0.45">
      <c r="A1423" s="6">
        <v>10790</v>
      </c>
      <c r="B1423" s="3">
        <v>56</v>
      </c>
      <c r="C1423" s="3">
        <v>38</v>
      </c>
      <c r="D1423" s="3">
        <v>20</v>
      </c>
      <c r="E1423" s="4">
        <v>0.15</v>
      </c>
      <c r="F1423" s="5">
        <f t="shared" si="22"/>
        <v>646</v>
      </c>
    </row>
    <row r="1424" spans="1:6" x14ac:dyDescent="0.45">
      <c r="A1424" s="6">
        <v>10791</v>
      </c>
      <c r="B1424" s="3">
        <v>29</v>
      </c>
      <c r="C1424" s="3">
        <v>123.79</v>
      </c>
      <c r="D1424" s="3">
        <v>14</v>
      </c>
      <c r="E1424" s="4">
        <v>0.05</v>
      </c>
      <c r="F1424" s="5">
        <f t="shared" si="22"/>
        <v>1646.4070000000002</v>
      </c>
    </row>
    <row r="1425" spans="1:6" x14ac:dyDescent="0.45">
      <c r="A1425" s="6">
        <v>10791</v>
      </c>
      <c r="B1425" s="3">
        <v>41</v>
      </c>
      <c r="C1425" s="3">
        <v>9.65</v>
      </c>
      <c r="D1425" s="3">
        <v>20</v>
      </c>
      <c r="E1425" s="4">
        <v>0.05</v>
      </c>
      <c r="F1425" s="5">
        <f t="shared" si="22"/>
        <v>183.35</v>
      </c>
    </row>
    <row r="1426" spans="1:6" x14ac:dyDescent="0.45">
      <c r="A1426" s="6">
        <v>10792</v>
      </c>
      <c r="B1426" s="3">
        <v>2</v>
      </c>
      <c r="C1426" s="3">
        <v>19</v>
      </c>
      <c r="D1426" s="3">
        <v>10</v>
      </c>
      <c r="E1426" s="4">
        <v>0</v>
      </c>
      <c r="F1426" s="5">
        <f t="shared" si="22"/>
        <v>190</v>
      </c>
    </row>
    <row r="1427" spans="1:6" x14ac:dyDescent="0.45">
      <c r="A1427" s="6">
        <v>10792</v>
      </c>
      <c r="B1427" s="3">
        <v>54</v>
      </c>
      <c r="C1427" s="3">
        <v>7.45</v>
      </c>
      <c r="D1427" s="3">
        <v>3</v>
      </c>
      <c r="E1427" s="4">
        <v>0</v>
      </c>
      <c r="F1427" s="5">
        <f t="shared" si="22"/>
        <v>22.35</v>
      </c>
    </row>
    <row r="1428" spans="1:6" x14ac:dyDescent="0.45">
      <c r="A1428" s="6">
        <v>10792</v>
      </c>
      <c r="B1428" s="3">
        <v>68</v>
      </c>
      <c r="C1428" s="3">
        <v>12.5</v>
      </c>
      <c r="D1428" s="3">
        <v>15</v>
      </c>
      <c r="E1428" s="4">
        <v>0</v>
      </c>
      <c r="F1428" s="5">
        <f t="shared" si="22"/>
        <v>187.5</v>
      </c>
    </row>
    <row r="1429" spans="1:6" x14ac:dyDescent="0.45">
      <c r="A1429" s="6">
        <v>10793</v>
      </c>
      <c r="B1429" s="3">
        <v>41</v>
      </c>
      <c r="C1429" s="3">
        <v>9.65</v>
      </c>
      <c r="D1429" s="3">
        <v>14</v>
      </c>
      <c r="E1429" s="4">
        <v>0</v>
      </c>
      <c r="F1429" s="5">
        <f t="shared" si="22"/>
        <v>135.1</v>
      </c>
    </row>
    <row r="1430" spans="1:6" x14ac:dyDescent="0.45">
      <c r="A1430" s="6">
        <v>10793</v>
      </c>
      <c r="B1430" s="3">
        <v>52</v>
      </c>
      <c r="C1430" s="3">
        <v>7</v>
      </c>
      <c r="D1430" s="3">
        <v>8</v>
      </c>
      <c r="E1430" s="4">
        <v>0</v>
      </c>
      <c r="F1430" s="5">
        <f t="shared" si="22"/>
        <v>56</v>
      </c>
    </row>
    <row r="1431" spans="1:6" x14ac:dyDescent="0.45">
      <c r="A1431" s="6">
        <v>10794</v>
      </c>
      <c r="B1431" s="3">
        <v>14</v>
      </c>
      <c r="C1431" s="3">
        <v>23.25</v>
      </c>
      <c r="D1431" s="3">
        <v>15</v>
      </c>
      <c r="E1431" s="4">
        <v>0.2</v>
      </c>
      <c r="F1431" s="5">
        <f t="shared" si="22"/>
        <v>279</v>
      </c>
    </row>
    <row r="1432" spans="1:6" x14ac:dyDescent="0.45">
      <c r="A1432" s="6">
        <v>10794</v>
      </c>
      <c r="B1432" s="3">
        <v>54</v>
      </c>
      <c r="C1432" s="3">
        <v>7.45</v>
      </c>
      <c r="D1432" s="3">
        <v>6</v>
      </c>
      <c r="E1432" s="4">
        <v>0.2</v>
      </c>
      <c r="F1432" s="5">
        <f t="shared" si="22"/>
        <v>35.760000000000005</v>
      </c>
    </row>
    <row r="1433" spans="1:6" x14ac:dyDescent="0.45">
      <c r="A1433" s="6">
        <v>10795</v>
      </c>
      <c r="B1433" s="3">
        <v>16</v>
      </c>
      <c r="C1433" s="3">
        <v>17.45</v>
      </c>
      <c r="D1433" s="3">
        <v>65</v>
      </c>
      <c r="E1433" s="4">
        <v>0</v>
      </c>
      <c r="F1433" s="5">
        <f t="shared" si="22"/>
        <v>1134.25</v>
      </c>
    </row>
    <row r="1434" spans="1:6" x14ac:dyDescent="0.45">
      <c r="A1434" s="6">
        <v>10795</v>
      </c>
      <c r="B1434" s="3">
        <v>17</v>
      </c>
      <c r="C1434" s="3">
        <v>39</v>
      </c>
      <c r="D1434" s="3">
        <v>35</v>
      </c>
      <c r="E1434" s="4">
        <v>0.25</v>
      </c>
      <c r="F1434" s="5">
        <f t="shared" si="22"/>
        <v>1023.75</v>
      </c>
    </row>
    <row r="1435" spans="1:6" x14ac:dyDescent="0.45">
      <c r="A1435" s="6">
        <v>10796</v>
      </c>
      <c r="B1435" s="3">
        <v>26</v>
      </c>
      <c r="C1435" s="3">
        <v>31.23</v>
      </c>
      <c r="D1435" s="3">
        <v>21</v>
      </c>
      <c r="E1435" s="4">
        <v>0.2</v>
      </c>
      <c r="F1435" s="5">
        <f t="shared" si="22"/>
        <v>524.6640000000001</v>
      </c>
    </row>
    <row r="1436" spans="1:6" x14ac:dyDescent="0.45">
      <c r="A1436" s="6">
        <v>10796</v>
      </c>
      <c r="B1436" s="3">
        <v>44</v>
      </c>
      <c r="C1436" s="3">
        <v>19.45</v>
      </c>
      <c r="D1436" s="3">
        <v>10</v>
      </c>
      <c r="E1436" s="4">
        <v>0</v>
      </c>
      <c r="F1436" s="5">
        <f t="shared" si="22"/>
        <v>194.5</v>
      </c>
    </row>
    <row r="1437" spans="1:6" x14ac:dyDescent="0.45">
      <c r="A1437" s="6">
        <v>10796</v>
      </c>
      <c r="B1437" s="3">
        <v>64</v>
      </c>
      <c r="C1437" s="3">
        <v>33.25</v>
      </c>
      <c r="D1437" s="3">
        <v>35</v>
      </c>
      <c r="E1437" s="4">
        <v>0.2</v>
      </c>
      <c r="F1437" s="5">
        <f t="shared" si="22"/>
        <v>931</v>
      </c>
    </row>
    <row r="1438" spans="1:6" x14ac:dyDescent="0.45">
      <c r="A1438" s="6">
        <v>10796</v>
      </c>
      <c r="B1438" s="3">
        <v>69</v>
      </c>
      <c r="C1438" s="3">
        <v>36</v>
      </c>
      <c r="D1438" s="3">
        <v>24</v>
      </c>
      <c r="E1438" s="4">
        <v>0.2</v>
      </c>
      <c r="F1438" s="5">
        <f t="shared" si="22"/>
        <v>691.2</v>
      </c>
    </row>
    <row r="1439" spans="1:6" x14ac:dyDescent="0.45">
      <c r="A1439" s="6">
        <v>10797</v>
      </c>
      <c r="B1439" s="3">
        <v>11</v>
      </c>
      <c r="C1439" s="3">
        <v>21</v>
      </c>
      <c r="D1439" s="3">
        <v>20</v>
      </c>
      <c r="E1439" s="4">
        <v>0</v>
      </c>
      <c r="F1439" s="5">
        <f t="shared" si="22"/>
        <v>420</v>
      </c>
    </row>
    <row r="1440" spans="1:6" x14ac:dyDescent="0.45">
      <c r="A1440" s="6">
        <v>10798</v>
      </c>
      <c r="B1440" s="3">
        <v>62</v>
      </c>
      <c r="C1440" s="3">
        <v>49.3</v>
      </c>
      <c r="D1440" s="3">
        <v>2</v>
      </c>
      <c r="E1440" s="4">
        <v>0</v>
      </c>
      <c r="F1440" s="5">
        <f t="shared" si="22"/>
        <v>98.6</v>
      </c>
    </row>
    <row r="1441" spans="1:6" x14ac:dyDescent="0.45">
      <c r="A1441" s="6">
        <v>10798</v>
      </c>
      <c r="B1441" s="3">
        <v>72</v>
      </c>
      <c r="C1441" s="3">
        <v>34.799999999999997</v>
      </c>
      <c r="D1441" s="3">
        <v>10</v>
      </c>
      <c r="E1441" s="4">
        <v>0</v>
      </c>
      <c r="F1441" s="5">
        <f t="shared" si="22"/>
        <v>348</v>
      </c>
    </row>
    <row r="1442" spans="1:6" x14ac:dyDescent="0.45">
      <c r="A1442" s="6">
        <v>10799</v>
      </c>
      <c r="B1442" s="3">
        <v>13</v>
      </c>
      <c r="C1442" s="3">
        <v>6</v>
      </c>
      <c r="D1442" s="3">
        <v>20</v>
      </c>
      <c r="E1442" s="4">
        <v>0.15</v>
      </c>
      <c r="F1442" s="5">
        <f t="shared" si="22"/>
        <v>102</v>
      </c>
    </row>
    <row r="1443" spans="1:6" x14ac:dyDescent="0.45">
      <c r="A1443" s="6">
        <v>10799</v>
      </c>
      <c r="B1443" s="3">
        <v>24</v>
      </c>
      <c r="C1443" s="3">
        <v>4.5</v>
      </c>
      <c r="D1443" s="3">
        <v>20</v>
      </c>
      <c r="E1443" s="4">
        <v>0.15</v>
      </c>
      <c r="F1443" s="5">
        <f t="shared" si="22"/>
        <v>76.5</v>
      </c>
    </row>
    <row r="1444" spans="1:6" x14ac:dyDescent="0.45">
      <c r="A1444" s="6">
        <v>10799</v>
      </c>
      <c r="B1444" s="3">
        <v>59</v>
      </c>
      <c r="C1444" s="3">
        <v>55</v>
      </c>
      <c r="D1444" s="3">
        <v>25</v>
      </c>
      <c r="E1444" s="4">
        <v>0</v>
      </c>
      <c r="F1444" s="5">
        <f t="shared" si="22"/>
        <v>1375</v>
      </c>
    </row>
    <row r="1445" spans="1:6" x14ac:dyDescent="0.45">
      <c r="A1445" s="6">
        <v>10800</v>
      </c>
      <c r="B1445" s="3">
        <v>11</v>
      </c>
      <c r="C1445" s="3">
        <v>21</v>
      </c>
      <c r="D1445" s="3">
        <v>50</v>
      </c>
      <c r="E1445" s="4">
        <v>0.1</v>
      </c>
      <c r="F1445" s="5">
        <f t="shared" si="22"/>
        <v>945</v>
      </c>
    </row>
    <row r="1446" spans="1:6" x14ac:dyDescent="0.45">
      <c r="A1446" s="6">
        <v>10800</v>
      </c>
      <c r="B1446" s="3">
        <v>51</v>
      </c>
      <c r="C1446" s="3">
        <v>53</v>
      </c>
      <c r="D1446" s="3">
        <v>10</v>
      </c>
      <c r="E1446" s="4">
        <v>0.1</v>
      </c>
      <c r="F1446" s="5">
        <f t="shared" si="22"/>
        <v>477</v>
      </c>
    </row>
    <row r="1447" spans="1:6" x14ac:dyDescent="0.45">
      <c r="A1447" s="6">
        <v>10800</v>
      </c>
      <c r="B1447" s="3">
        <v>54</v>
      </c>
      <c r="C1447" s="3">
        <v>7.45</v>
      </c>
      <c r="D1447" s="3">
        <v>7</v>
      </c>
      <c r="E1447" s="4">
        <v>0.1</v>
      </c>
      <c r="F1447" s="5">
        <f t="shared" si="22"/>
        <v>46.935000000000002</v>
      </c>
    </row>
    <row r="1448" spans="1:6" x14ac:dyDescent="0.45">
      <c r="A1448" s="6">
        <v>10801</v>
      </c>
      <c r="B1448" s="3">
        <v>17</v>
      </c>
      <c r="C1448" s="3">
        <v>39</v>
      </c>
      <c r="D1448" s="3">
        <v>40</v>
      </c>
      <c r="E1448" s="4">
        <v>0.25</v>
      </c>
      <c r="F1448" s="5">
        <f t="shared" si="22"/>
        <v>1170</v>
      </c>
    </row>
    <row r="1449" spans="1:6" x14ac:dyDescent="0.45">
      <c r="A1449" s="6">
        <v>10801</v>
      </c>
      <c r="B1449" s="3">
        <v>29</v>
      </c>
      <c r="C1449" s="3">
        <v>123.79</v>
      </c>
      <c r="D1449" s="3">
        <v>20</v>
      </c>
      <c r="E1449" s="4">
        <v>0.25</v>
      </c>
      <c r="F1449" s="5">
        <f t="shared" si="22"/>
        <v>1856.8500000000001</v>
      </c>
    </row>
    <row r="1450" spans="1:6" x14ac:dyDescent="0.45">
      <c r="A1450" s="6">
        <v>10802</v>
      </c>
      <c r="B1450" s="3">
        <v>30</v>
      </c>
      <c r="C1450" s="3">
        <v>25.89</v>
      </c>
      <c r="D1450" s="3">
        <v>25</v>
      </c>
      <c r="E1450" s="4">
        <v>0.25</v>
      </c>
      <c r="F1450" s="5">
        <f t="shared" si="22"/>
        <v>485.4375</v>
      </c>
    </row>
    <row r="1451" spans="1:6" x14ac:dyDescent="0.45">
      <c r="A1451" s="6">
        <v>10802</v>
      </c>
      <c r="B1451" s="3">
        <v>51</v>
      </c>
      <c r="C1451" s="3">
        <v>53</v>
      </c>
      <c r="D1451" s="3">
        <v>30</v>
      </c>
      <c r="E1451" s="4">
        <v>0.25</v>
      </c>
      <c r="F1451" s="5">
        <f t="shared" si="22"/>
        <v>1192.5</v>
      </c>
    </row>
    <row r="1452" spans="1:6" x14ac:dyDescent="0.45">
      <c r="A1452" s="6">
        <v>10802</v>
      </c>
      <c r="B1452" s="3">
        <v>55</v>
      </c>
      <c r="C1452" s="3">
        <v>24</v>
      </c>
      <c r="D1452" s="3">
        <v>60</v>
      </c>
      <c r="E1452" s="4">
        <v>0.25</v>
      </c>
      <c r="F1452" s="5">
        <f t="shared" si="22"/>
        <v>1080</v>
      </c>
    </row>
    <row r="1453" spans="1:6" x14ac:dyDescent="0.45">
      <c r="A1453" s="6">
        <v>10802</v>
      </c>
      <c r="B1453" s="3">
        <v>62</v>
      </c>
      <c r="C1453" s="3">
        <v>49.3</v>
      </c>
      <c r="D1453" s="3">
        <v>5</v>
      </c>
      <c r="E1453" s="4">
        <v>0.25</v>
      </c>
      <c r="F1453" s="5">
        <f t="shared" si="22"/>
        <v>184.875</v>
      </c>
    </row>
    <row r="1454" spans="1:6" x14ac:dyDescent="0.45">
      <c r="A1454" s="6">
        <v>10803</v>
      </c>
      <c r="B1454" s="3">
        <v>19</v>
      </c>
      <c r="C1454" s="3">
        <v>9.1999999999999993</v>
      </c>
      <c r="D1454" s="3">
        <v>24</v>
      </c>
      <c r="E1454" s="4">
        <v>0.05</v>
      </c>
      <c r="F1454" s="5">
        <f t="shared" si="22"/>
        <v>209.75999999999996</v>
      </c>
    </row>
    <row r="1455" spans="1:6" x14ac:dyDescent="0.45">
      <c r="A1455" s="6">
        <v>10803</v>
      </c>
      <c r="B1455" s="3">
        <v>25</v>
      </c>
      <c r="C1455" s="3">
        <v>14</v>
      </c>
      <c r="D1455" s="3">
        <v>15</v>
      </c>
      <c r="E1455" s="4">
        <v>0.05</v>
      </c>
      <c r="F1455" s="5">
        <f t="shared" si="22"/>
        <v>199.5</v>
      </c>
    </row>
    <row r="1456" spans="1:6" x14ac:dyDescent="0.45">
      <c r="A1456" s="6">
        <v>10803</v>
      </c>
      <c r="B1456" s="3">
        <v>59</v>
      </c>
      <c r="C1456" s="3">
        <v>55</v>
      </c>
      <c r="D1456" s="3">
        <v>15</v>
      </c>
      <c r="E1456" s="4">
        <v>0.05</v>
      </c>
      <c r="F1456" s="5">
        <f t="shared" si="22"/>
        <v>783.75</v>
      </c>
    </row>
    <row r="1457" spans="1:6" x14ac:dyDescent="0.45">
      <c r="A1457" s="6">
        <v>10804</v>
      </c>
      <c r="B1457" s="3">
        <v>10</v>
      </c>
      <c r="C1457" s="3">
        <v>31</v>
      </c>
      <c r="D1457" s="3">
        <v>36</v>
      </c>
      <c r="E1457" s="4">
        <v>0</v>
      </c>
      <c r="F1457" s="5">
        <f t="shared" si="22"/>
        <v>1116</v>
      </c>
    </row>
    <row r="1458" spans="1:6" x14ac:dyDescent="0.45">
      <c r="A1458" s="6">
        <v>10804</v>
      </c>
      <c r="B1458" s="3">
        <v>28</v>
      </c>
      <c r="C1458" s="3">
        <v>45.6</v>
      </c>
      <c r="D1458" s="3">
        <v>24</v>
      </c>
      <c r="E1458" s="4">
        <v>0</v>
      </c>
      <c r="F1458" s="5">
        <f t="shared" si="22"/>
        <v>1094.4000000000001</v>
      </c>
    </row>
    <row r="1459" spans="1:6" x14ac:dyDescent="0.45">
      <c r="A1459" s="6">
        <v>10804</v>
      </c>
      <c r="B1459" s="3">
        <v>49</v>
      </c>
      <c r="C1459" s="3">
        <v>20</v>
      </c>
      <c r="D1459" s="3">
        <v>4</v>
      </c>
      <c r="E1459" s="4">
        <v>0.15</v>
      </c>
      <c r="F1459" s="5">
        <f t="shared" si="22"/>
        <v>68</v>
      </c>
    </row>
    <row r="1460" spans="1:6" x14ac:dyDescent="0.45">
      <c r="A1460" s="6">
        <v>10805</v>
      </c>
      <c r="B1460" s="3">
        <v>34</v>
      </c>
      <c r="C1460" s="3">
        <v>14</v>
      </c>
      <c r="D1460" s="3">
        <v>10</v>
      </c>
      <c r="E1460" s="4">
        <v>0</v>
      </c>
      <c r="F1460" s="5">
        <f t="shared" si="22"/>
        <v>140</v>
      </c>
    </row>
    <row r="1461" spans="1:6" x14ac:dyDescent="0.45">
      <c r="A1461" s="6">
        <v>10805</v>
      </c>
      <c r="B1461" s="3">
        <v>38</v>
      </c>
      <c r="C1461" s="3">
        <v>263.5</v>
      </c>
      <c r="D1461" s="3">
        <v>10</v>
      </c>
      <c r="E1461" s="4">
        <v>0</v>
      </c>
      <c r="F1461" s="5">
        <f t="shared" si="22"/>
        <v>2635</v>
      </c>
    </row>
    <row r="1462" spans="1:6" x14ac:dyDescent="0.45">
      <c r="A1462" s="6">
        <v>10806</v>
      </c>
      <c r="B1462" s="3">
        <v>2</v>
      </c>
      <c r="C1462" s="3">
        <v>19</v>
      </c>
      <c r="D1462" s="3">
        <v>20</v>
      </c>
      <c r="E1462" s="4">
        <v>0.25</v>
      </c>
      <c r="F1462" s="5">
        <f t="shared" si="22"/>
        <v>285</v>
      </c>
    </row>
    <row r="1463" spans="1:6" x14ac:dyDescent="0.45">
      <c r="A1463" s="6">
        <v>10806</v>
      </c>
      <c r="B1463" s="3">
        <v>65</v>
      </c>
      <c r="C1463" s="3">
        <v>21.05</v>
      </c>
      <c r="D1463" s="3">
        <v>2</v>
      </c>
      <c r="E1463" s="4">
        <v>0</v>
      </c>
      <c r="F1463" s="5">
        <f t="shared" si="22"/>
        <v>42.1</v>
      </c>
    </row>
    <row r="1464" spans="1:6" x14ac:dyDescent="0.45">
      <c r="A1464" s="6">
        <v>10806</v>
      </c>
      <c r="B1464" s="3">
        <v>74</v>
      </c>
      <c r="C1464" s="3">
        <v>10</v>
      </c>
      <c r="D1464" s="3">
        <v>15</v>
      </c>
      <c r="E1464" s="4">
        <v>0.25</v>
      </c>
      <c r="F1464" s="5">
        <f t="shared" si="22"/>
        <v>112.5</v>
      </c>
    </row>
    <row r="1465" spans="1:6" x14ac:dyDescent="0.45">
      <c r="A1465" s="6">
        <v>10807</v>
      </c>
      <c r="B1465" s="3">
        <v>40</v>
      </c>
      <c r="C1465" s="3">
        <v>18.399999999999999</v>
      </c>
      <c r="D1465" s="3">
        <v>1</v>
      </c>
      <c r="E1465" s="4">
        <v>0</v>
      </c>
      <c r="F1465" s="5">
        <f t="shared" si="22"/>
        <v>18.399999999999999</v>
      </c>
    </row>
    <row r="1466" spans="1:6" x14ac:dyDescent="0.45">
      <c r="A1466" s="6">
        <v>10808</v>
      </c>
      <c r="B1466" s="3">
        <v>56</v>
      </c>
      <c r="C1466" s="3">
        <v>38</v>
      </c>
      <c r="D1466" s="3">
        <v>20</v>
      </c>
      <c r="E1466" s="4">
        <v>0.15</v>
      </c>
      <c r="F1466" s="5">
        <f t="shared" si="22"/>
        <v>646</v>
      </c>
    </row>
    <row r="1467" spans="1:6" x14ac:dyDescent="0.45">
      <c r="A1467" s="6">
        <v>10808</v>
      </c>
      <c r="B1467" s="3">
        <v>76</v>
      </c>
      <c r="C1467" s="3">
        <v>18</v>
      </c>
      <c r="D1467" s="3">
        <v>50</v>
      </c>
      <c r="E1467" s="4">
        <v>0.15</v>
      </c>
      <c r="F1467" s="5">
        <f t="shared" si="22"/>
        <v>765</v>
      </c>
    </row>
    <row r="1468" spans="1:6" x14ac:dyDescent="0.45">
      <c r="A1468" s="6">
        <v>10809</v>
      </c>
      <c r="B1468" s="3">
        <v>52</v>
      </c>
      <c r="C1468" s="3">
        <v>7</v>
      </c>
      <c r="D1468" s="3">
        <v>20</v>
      </c>
      <c r="E1468" s="4">
        <v>0</v>
      </c>
      <c r="F1468" s="5">
        <f t="shared" si="22"/>
        <v>140</v>
      </c>
    </row>
    <row r="1469" spans="1:6" x14ac:dyDescent="0.45">
      <c r="A1469" s="6">
        <v>10810</v>
      </c>
      <c r="B1469" s="3">
        <v>13</v>
      </c>
      <c r="C1469" s="3">
        <v>6</v>
      </c>
      <c r="D1469" s="3">
        <v>7</v>
      </c>
      <c r="E1469" s="4">
        <v>0</v>
      </c>
      <c r="F1469" s="5">
        <f t="shared" si="22"/>
        <v>42</v>
      </c>
    </row>
    <row r="1470" spans="1:6" x14ac:dyDescent="0.45">
      <c r="A1470" s="6">
        <v>10810</v>
      </c>
      <c r="B1470" s="3">
        <v>25</v>
      </c>
      <c r="C1470" s="3">
        <v>14</v>
      </c>
      <c r="D1470" s="3">
        <v>5</v>
      </c>
      <c r="E1470" s="4">
        <v>0</v>
      </c>
      <c r="F1470" s="5">
        <f t="shared" si="22"/>
        <v>70</v>
      </c>
    </row>
    <row r="1471" spans="1:6" x14ac:dyDescent="0.45">
      <c r="A1471" s="6">
        <v>10810</v>
      </c>
      <c r="B1471" s="3">
        <v>70</v>
      </c>
      <c r="C1471" s="3">
        <v>15</v>
      </c>
      <c r="D1471" s="3">
        <v>5</v>
      </c>
      <c r="E1471" s="4">
        <v>0</v>
      </c>
      <c r="F1471" s="5">
        <f t="shared" si="22"/>
        <v>75</v>
      </c>
    </row>
    <row r="1472" spans="1:6" x14ac:dyDescent="0.45">
      <c r="A1472" s="6">
        <v>10811</v>
      </c>
      <c r="B1472" s="3">
        <v>19</v>
      </c>
      <c r="C1472" s="3">
        <v>9.1999999999999993</v>
      </c>
      <c r="D1472" s="3">
        <v>15</v>
      </c>
      <c r="E1472" s="4">
        <v>0</v>
      </c>
      <c r="F1472" s="5">
        <f t="shared" si="22"/>
        <v>138</v>
      </c>
    </row>
    <row r="1473" spans="1:6" x14ac:dyDescent="0.45">
      <c r="A1473" s="6">
        <v>10811</v>
      </c>
      <c r="B1473" s="3">
        <v>23</v>
      </c>
      <c r="C1473" s="3">
        <v>9</v>
      </c>
      <c r="D1473" s="3">
        <v>18</v>
      </c>
      <c r="E1473" s="4">
        <v>0</v>
      </c>
      <c r="F1473" s="5">
        <f t="shared" si="22"/>
        <v>162</v>
      </c>
    </row>
    <row r="1474" spans="1:6" x14ac:dyDescent="0.45">
      <c r="A1474" s="6">
        <v>10811</v>
      </c>
      <c r="B1474" s="3">
        <v>40</v>
      </c>
      <c r="C1474" s="3">
        <v>18.399999999999999</v>
      </c>
      <c r="D1474" s="3">
        <v>30</v>
      </c>
      <c r="E1474" s="4">
        <v>0</v>
      </c>
      <c r="F1474" s="5">
        <f t="shared" ref="F1474:F1537" si="23">C1474*D1474*(1-E1474)</f>
        <v>552</v>
      </c>
    </row>
    <row r="1475" spans="1:6" x14ac:dyDescent="0.45">
      <c r="A1475" s="6">
        <v>10812</v>
      </c>
      <c r="B1475" s="3">
        <v>31</v>
      </c>
      <c r="C1475" s="3">
        <v>12.5</v>
      </c>
      <c r="D1475" s="3">
        <v>16</v>
      </c>
      <c r="E1475" s="4">
        <v>0.1</v>
      </c>
      <c r="F1475" s="5">
        <f t="shared" si="23"/>
        <v>180</v>
      </c>
    </row>
    <row r="1476" spans="1:6" x14ac:dyDescent="0.45">
      <c r="A1476" s="6">
        <v>10812</v>
      </c>
      <c r="B1476" s="3">
        <v>72</v>
      </c>
      <c r="C1476" s="3">
        <v>34.799999999999997</v>
      </c>
      <c r="D1476" s="3">
        <v>40</v>
      </c>
      <c r="E1476" s="4">
        <v>0.1</v>
      </c>
      <c r="F1476" s="5">
        <f t="shared" si="23"/>
        <v>1252.8</v>
      </c>
    </row>
    <row r="1477" spans="1:6" x14ac:dyDescent="0.45">
      <c r="A1477" s="6">
        <v>10812</v>
      </c>
      <c r="B1477" s="3">
        <v>77</v>
      </c>
      <c r="C1477" s="3">
        <v>13</v>
      </c>
      <c r="D1477" s="3">
        <v>20</v>
      </c>
      <c r="E1477" s="4">
        <v>0</v>
      </c>
      <c r="F1477" s="5">
        <f t="shared" si="23"/>
        <v>260</v>
      </c>
    </row>
    <row r="1478" spans="1:6" x14ac:dyDescent="0.45">
      <c r="A1478" s="6">
        <v>10813</v>
      </c>
      <c r="B1478" s="3">
        <v>2</v>
      </c>
      <c r="C1478" s="3">
        <v>19</v>
      </c>
      <c r="D1478" s="3">
        <v>12</v>
      </c>
      <c r="E1478" s="4">
        <v>0.2</v>
      </c>
      <c r="F1478" s="5">
        <f t="shared" si="23"/>
        <v>182.4</v>
      </c>
    </row>
    <row r="1479" spans="1:6" x14ac:dyDescent="0.45">
      <c r="A1479" s="6">
        <v>10813</v>
      </c>
      <c r="B1479" s="3">
        <v>46</v>
      </c>
      <c r="C1479" s="3">
        <v>12</v>
      </c>
      <c r="D1479" s="3">
        <v>35</v>
      </c>
      <c r="E1479" s="4">
        <v>0</v>
      </c>
      <c r="F1479" s="5">
        <f t="shared" si="23"/>
        <v>420</v>
      </c>
    </row>
    <row r="1480" spans="1:6" x14ac:dyDescent="0.45">
      <c r="A1480" s="6">
        <v>10814</v>
      </c>
      <c r="B1480" s="3">
        <v>41</v>
      </c>
      <c r="C1480" s="3">
        <v>9.65</v>
      </c>
      <c r="D1480" s="3">
        <v>20</v>
      </c>
      <c r="E1480" s="4">
        <v>0</v>
      </c>
      <c r="F1480" s="5">
        <f t="shared" si="23"/>
        <v>193</v>
      </c>
    </row>
    <row r="1481" spans="1:6" x14ac:dyDescent="0.45">
      <c r="A1481" s="6">
        <v>10814</v>
      </c>
      <c r="B1481" s="3">
        <v>43</v>
      </c>
      <c r="C1481" s="3">
        <v>46</v>
      </c>
      <c r="D1481" s="3">
        <v>20</v>
      </c>
      <c r="E1481" s="4">
        <v>0.15</v>
      </c>
      <c r="F1481" s="5">
        <f t="shared" si="23"/>
        <v>782</v>
      </c>
    </row>
    <row r="1482" spans="1:6" x14ac:dyDescent="0.45">
      <c r="A1482" s="6">
        <v>10814</v>
      </c>
      <c r="B1482" s="3">
        <v>48</v>
      </c>
      <c r="C1482" s="3">
        <v>12.75</v>
      </c>
      <c r="D1482" s="3">
        <v>8</v>
      </c>
      <c r="E1482" s="4">
        <v>0.15</v>
      </c>
      <c r="F1482" s="5">
        <f t="shared" si="23"/>
        <v>86.7</v>
      </c>
    </row>
    <row r="1483" spans="1:6" x14ac:dyDescent="0.45">
      <c r="A1483" s="6">
        <v>10814</v>
      </c>
      <c r="B1483" s="3">
        <v>61</v>
      </c>
      <c r="C1483" s="3">
        <v>28.5</v>
      </c>
      <c r="D1483" s="3">
        <v>30</v>
      </c>
      <c r="E1483" s="4">
        <v>0.15</v>
      </c>
      <c r="F1483" s="5">
        <f t="shared" si="23"/>
        <v>726.75</v>
      </c>
    </row>
    <row r="1484" spans="1:6" x14ac:dyDescent="0.45">
      <c r="A1484" s="6">
        <v>10815</v>
      </c>
      <c r="B1484" s="3">
        <v>33</v>
      </c>
      <c r="C1484" s="3">
        <v>2.5</v>
      </c>
      <c r="D1484" s="3">
        <v>16</v>
      </c>
      <c r="E1484" s="4">
        <v>0</v>
      </c>
      <c r="F1484" s="5">
        <f t="shared" si="23"/>
        <v>40</v>
      </c>
    </row>
    <row r="1485" spans="1:6" x14ac:dyDescent="0.45">
      <c r="A1485" s="6">
        <v>10816</v>
      </c>
      <c r="B1485" s="3">
        <v>38</v>
      </c>
      <c r="C1485" s="3">
        <v>263.5</v>
      </c>
      <c r="D1485" s="3">
        <v>30</v>
      </c>
      <c r="E1485" s="4">
        <v>0.05</v>
      </c>
      <c r="F1485" s="5">
        <f t="shared" si="23"/>
        <v>7509.75</v>
      </c>
    </row>
    <row r="1486" spans="1:6" x14ac:dyDescent="0.45">
      <c r="A1486" s="6">
        <v>10816</v>
      </c>
      <c r="B1486" s="3">
        <v>62</v>
      </c>
      <c r="C1486" s="3">
        <v>49.3</v>
      </c>
      <c r="D1486" s="3">
        <v>20</v>
      </c>
      <c r="E1486" s="4">
        <v>0.05</v>
      </c>
      <c r="F1486" s="5">
        <f t="shared" si="23"/>
        <v>936.69999999999993</v>
      </c>
    </row>
    <row r="1487" spans="1:6" x14ac:dyDescent="0.45">
      <c r="A1487" s="6">
        <v>10817</v>
      </c>
      <c r="B1487" s="3">
        <v>26</v>
      </c>
      <c r="C1487" s="3">
        <v>31.23</v>
      </c>
      <c r="D1487" s="3">
        <v>40</v>
      </c>
      <c r="E1487" s="4">
        <v>0.15</v>
      </c>
      <c r="F1487" s="5">
        <f t="shared" si="23"/>
        <v>1061.82</v>
      </c>
    </row>
    <row r="1488" spans="1:6" x14ac:dyDescent="0.45">
      <c r="A1488" s="6">
        <v>10817</v>
      </c>
      <c r="B1488" s="3">
        <v>38</v>
      </c>
      <c r="C1488" s="3">
        <v>263.5</v>
      </c>
      <c r="D1488" s="3">
        <v>30</v>
      </c>
      <c r="E1488" s="4">
        <v>0</v>
      </c>
      <c r="F1488" s="5">
        <f t="shared" si="23"/>
        <v>7905</v>
      </c>
    </row>
    <row r="1489" spans="1:6" x14ac:dyDescent="0.45">
      <c r="A1489" s="6">
        <v>10817</v>
      </c>
      <c r="B1489" s="3">
        <v>40</v>
      </c>
      <c r="C1489" s="3">
        <v>18.399999999999999</v>
      </c>
      <c r="D1489" s="3">
        <v>60</v>
      </c>
      <c r="E1489" s="4">
        <v>0.15</v>
      </c>
      <c r="F1489" s="5">
        <f t="shared" si="23"/>
        <v>938.4</v>
      </c>
    </row>
    <row r="1490" spans="1:6" x14ac:dyDescent="0.45">
      <c r="A1490" s="6">
        <v>10817</v>
      </c>
      <c r="B1490" s="3">
        <v>62</v>
      </c>
      <c r="C1490" s="3">
        <v>49.3</v>
      </c>
      <c r="D1490" s="3">
        <v>25</v>
      </c>
      <c r="E1490" s="4">
        <v>0.15</v>
      </c>
      <c r="F1490" s="5">
        <f t="shared" si="23"/>
        <v>1047.625</v>
      </c>
    </row>
    <row r="1491" spans="1:6" x14ac:dyDescent="0.45">
      <c r="A1491" s="6">
        <v>10818</v>
      </c>
      <c r="B1491" s="3">
        <v>32</v>
      </c>
      <c r="C1491" s="3">
        <v>32</v>
      </c>
      <c r="D1491" s="3">
        <v>20</v>
      </c>
      <c r="E1491" s="4">
        <v>0</v>
      </c>
      <c r="F1491" s="5">
        <f t="shared" si="23"/>
        <v>640</v>
      </c>
    </row>
    <row r="1492" spans="1:6" x14ac:dyDescent="0.45">
      <c r="A1492" s="6">
        <v>10818</v>
      </c>
      <c r="B1492" s="3">
        <v>41</v>
      </c>
      <c r="C1492" s="3">
        <v>9.65</v>
      </c>
      <c r="D1492" s="3">
        <v>20</v>
      </c>
      <c r="E1492" s="4">
        <v>0</v>
      </c>
      <c r="F1492" s="5">
        <f t="shared" si="23"/>
        <v>193</v>
      </c>
    </row>
    <row r="1493" spans="1:6" x14ac:dyDescent="0.45">
      <c r="A1493" s="6">
        <v>10819</v>
      </c>
      <c r="B1493" s="3">
        <v>43</v>
      </c>
      <c r="C1493" s="3">
        <v>46</v>
      </c>
      <c r="D1493" s="3">
        <v>7</v>
      </c>
      <c r="E1493" s="4">
        <v>0</v>
      </c>
      <c r="F1493" s="5">
        <f t="shared" si="23"/>
        <v>322</v>
      </c>
    </row>
    <row r="1494" spans="1:6" x14ac:dyDescent="0.45">
      <c r="A1494" s="6">
        <v>10819</v>
      </c>
      <c r="B1494" s="3">
        <v>75</v>
      </c>
      <c r="C1494" s="3">
        <v>7.75</v>
      </c>
      <c r="D1494" s="3">
        <v>20</v>
      </c>
      <c r="E1494" s="4">
        <v>0</v>
      </c>
      <c r="F1494" s="5">
        <f t="shared" si="23"/>
        <v>155</v>
      </c>
    </row>
    <row r="1495" spans="1:6" x14ac:dyDescent="0.45">
      <c r="A1495" s="6">
        <v>10820</v>
      </c>
      <c r="B1495" s="3">
        <v>56</v>
      </c>
      <c r="C1495" s="3">
        <v>38</v>
      </c>
      <c r="D1495" s="3">
        <v>30</v>
      </c>
      <c r="E1495" s="4">
        <v>0</v>
      </c>
      <c r="F1495" s="5">
        <f t="shared" si="23"/>
        <v>1140</v>
      </c>
    </row>
    <row r="1496" spans="1:6" x14ac:dyDescent="0.45">
      <c r="A1496" s="6">
        <v>10821</v>
      </c>
      <c r="B1496" s="3">
        <v>35</v>
      </c>
      <c r="C1496" s="3">
        <v>18</v>
      </c>
      <c r="D1496" s="3">
        <v>20</v>
      </c>
      <c r="E1496" s="4">
        <v>0</v>
      </c>
      <c r="F1496" s="5">
        <f t="shared" si="23"/>
        <v>360</v>
      </c>
    </row>
    <row r="1497" spans="1:6" x14ac:dyDescent="0.45">
      <c r="A1497" s="6">
        <v>10821</v>
      </c>
      <c r="B1497" s="3">
        <v>51</v>
      </c>
      <c r="C1497" s="3">
        <v>53</v>
      </c>
      <c r="D1497" s="3">
        <v>6</v>
      </c>
      <c r="E1497" s="4">
        <v>0</v>
      </c>
      <c r="F1497" s="5">
        <f t="shared" si="23"/>
        <v>318</v>
      </c>
    </row>
    <row r="1498" spans="1:6" x14ac:dyDescent="0.45">
      <c r="A1498" s="6">
        <v>10822</v>
      </c>
      <c r="B1498" s="3">
        <v>62</v>
      </c>
      <c r="C1498" s="3">
        <v>49.3</v>
      </c>
      <c r="D1498" s="3">
        <v>3</v>
      </c>
      <c r="E1498" s="4">
        <v>0</v>
      </c>
      <c r="F1498" s="5">
        <f t="shared" si="23"/>
        <v>147.89999999999998</v>
      </c>
    </row>
    <row r="1499" spans="1:6" x14ac:dyDescent="0.45">
      <c r="A1499" s="6">
        <v>10822</v>
      </c>
      <c r="B1499" s="3">
        <v>70</v>
      </c>
      <c r="C1499" s="3">
        <v>15</v>
      </c>
      <c r="D1499" s="3">
        <v>6</v>
      </c>
      <c r="E1499" s="4">
        <v>0</v>
      </c>
      <c r="F1499" s="5">
        <f t="shared" si="23"/>
        <v>90</v>
      </c>
    </row>
    <row r="1500" spans="1:6" x14ac:dyDescent="0.45">
      <c r="A1500" s="6">
        <v>10823</v>
      </c>
      <c r="B1500" s="3">
        <v>11</v>
      </c>
      <c r="C1500" s="3">
        <v>21</v>
      </c>
      <c r="D1500" s="3">
        <v>20</v>
      </c>
      <c r="E1500" s="4">
        <v>0.1</v>
      </c>
      <c r="F1500" s="5">
        <f t="shared" si="23"/>
        <v>378</v>
      </c>
    </row>
    <row r="1501" spans="1:6" x14ac:dyDescent="0.45">
      <c r="A1501" s="6">
        <v>10823</v>
      </c>
      <c r="B1501" s="3">
        <v>57</v>
      </c>
      <c r="C1501" s="3">
        <v>19.5</v>
      </c>
      <c r="D1501" s="3">
        <v>15</v>
      </c>
      <c r="E1501" s="4">
        <v>0</v>
      </c>
      <c r="F1501" s="5">
        <f t="shared" si="23"/>
        <v>292.5</v>
      </c>
    </row>
    <row r="1502" spans="1:6" x14ac:dyDescent="0.45">
      <c r="A1502" s="6">
        <v>10823</v>
      </c>
      <c r="B1502" s="3">
        <v>59</v>
      </c>
      <c r="C1502" s="3">
        <v>55</v>
      </c>
      <c r="D1502" s="3">
        <v>40</v>
      </c>
      <c r="E1502" s="4">
        <v>0.1</v>
      </c>
      <c r="F1502" s="5">
        <f t="shared" si="23"/>
        <v>1980</v>
      </c>
    </row>
    <row r="1503" spans="1:6" x14ac:dyDescent="0.45">
      <c r="A1503" s="6">
        <v>10823</v>
      </c>
      <c r="B1503" s="3">
        <v>77</v>
      </c>
      <c r="C1503" s="3">
        <v>13</v>
      </c>
      <c r="D1503" s="3">
        <v>15</v>
      </c>
      <c r="E1503" s="4">
        <v>0.1</v>
      </c>
      <c r="F1503" s="5">
        <f t="shared" si="23"/>
        <v>175.5</v>
      </c>
    </row>
    <row r="1504" spans="1:6" x14ac:dyDescent="0.45">
      <c r="A1504" s="6">
        <v>10824</v>
      </c>
      <c r="B1504" s="3">
        <v>41</v>
      </c>
      <c r="C1504" s="3">
        <v>9.65</v>
      </c>
      <c r="D1504" s="3">
        <v>12</v>
      </c>
      <c r="E1504" s="4">
        <v>0</v>
      </c>
      <c r="F1504" s="5">
        <f t="shared" si="23"/>
        <v>115.80000000000001</v>
      </c>
    </row>
    <row r="1505" spans="1:6" x14ac:dyDescent="0.45">
      <c r="A1505" s="6">
        <v>10824</v>
      </c>
      <c r="B1505" s="3">
        <v>70</v>
      </c>
      <c r="C1505" s="3">
        <v>15</v>
      </c>
      <c r="D1505" s="3">
        <v>9</v>
      </c>
      <c r="E1505" s="4">
        <v>0</v>
      </c>
      <c r="F1505" s="5">
        <f t="shared" si="23"/>
        <v>135</v>
      </c>
    </row>
    <row r="1506" spans="1:6" x14ac:dyDescent="0.45">
      <c r="A1506" s="6">
        <v>10825</v>
      </c>
      <c r="B1506" s="3">
        <v>26</v>
      </c>
      <c r="C1506" s="3">
        <v>31.23</v>
      </c>
      <c r="D1506" s="3">
        <v>12</v>
      </c>
      <c r="E1506" s="4">
        <v>0</v>
      </c>
      <c r="F1506" s="5">
        <f t="shared" si="23"/>
        <v>374.76</v>
      </c>
    </row>
    <row r="1507" spans="1:6" x14ac:dyDescent="0.45">
      <c r="A1507" s="6">
        <v>10825</v>
      </c>
      <c r="B1507" s="3">
        <v>53</v>
      </c>
      <c r="C1507" s="3">
        <v>32.799999999999997</v>
      </c>
      <c r="D1507" s="3">
        <v>20</v>
      </c>
      <c r="E1507" s="4">
        <v>0</v>
      </c>
      <c r="F1507" s="5">
        <f t="shared" si="23"/>
        <v>656</v>
      </c>
    </row>
    <row r="1508" spans="1:6" x14ac:dyDescent="0.45">
      <c r="A1508" s="6">
        <v>10826</v>
      </c>
      <c r="B1508" s="3">
        <v>31</v>
      </c>
      <c r="C1508" s="3">
        <v>12.5</v>
      </c>
      <c r="D1508" s="3">
        <v>35</v>
      </c>
      <c r="E1508" s="4">
        <v>0</v>
      </c>
      <c r="F1508" s="5">
        <f t="shared" si="23"/>
        <v>437.5</v>
      </c>
    </row>
    <row r="1509" spans="1:6" x14ac:dyDescent="0.45">
      <c r="A1509" s="6">
        <v>10826</v>
      </c>
      <c r="B1509" s="3">
        <v>57</v>
      </c>
      <c r="C1509" s="3">
        <v>19.5</v>
      </c>
      <c r="D1509" s="3">
        <v>15</v>
      </c>
      <c r="E1509" s="4">
        <v>0</v>
      </c>
      <c r="F1509" s="5">
        <f t="shared" si="23"/>
        <v>292.5</v>
      </c>
    </row>
    <row r="1510" spans="1:6" x14ac:dyDescent="0.45">
      <c r="A1510" s="6">
        <v>10827</v>
      </c>
      <c r="B1510" s="3">
        <v>10</v>
      </c>
      <c r="C1510" s="3">
        <v>31</v>
      </c>
      <c r="D1510" s="3">
        <v>15</v>
      </c>
      <c r="E1510" s="4">
        <v>0</v>
      </c>
      <c r="F1510" s="5">
        <f t="shared" si="23"/>
        <v>465</v>
      </c>
    </row>
    <row r="1511" spans="1:6" x14ac:dyDescent="0.45">
      <c r="A1511" s="6">
        <v>10827</v>
      </c>
      <c r="B1511" s="3">
        <v>39</v>
      </c>
      <c r="C1511" s="3">
        <v>18</v>
      </c>
      <c r="D1511" s="3">
        <v>21</v>
      </c>
      <c r="E1511" s="4">
        <v>0</v>
      </c>
      <c r="F1511" s="5">
        <f t="shared" si="23"/>
        <v>378</v>
      </c>
    </row>
    <row r="1512" spans="1:6" x14ac:dyDescent="0.45">
      <c r="A1512" s="6">
        <v>10828</v>
      </c>
      <c r="B1512" s="3">
        <v>20</v>
      </c>
      <c r="C1512" s="3">
        <v>81</v>
      </c>
      <c r="D1512" s="3">
        <v>5</v>
      </c>
      <c r="E1512" s="4">
        <v>0</v>
      </c>
      <c r="F1512" s="5">
        <f t="shared" si="23"/>
        <v>405</v>
      </c>
    </row>
    <row r="1513" spans="1:6" x14ac:dyDescent="0.45">
      <c r="A1513" s="6">
        <v>10828</v>
      </c>
      <c r="B1513" s="3">
        <v>38</v>
      </c>
      <c r="C1513" s="3">
        <v>263.5</v>
      </c>
      <c r="D1513" s="3">
        <v>2</v>
      </c>
      <c r="E1513" s="4">
        <v>0</v>
      </c>
      <c r="F1513" s="5">
        <f t="shared" si="23"/>
        <v>527</v>
      </c>
    </row>
    <row r="1514" spans="1:6" x14ac:dyDescent="0.45">
      <c r="A1514" s="6">
        <v>10829</v>
      </c>
      <c r="B1514" s="3">
        <v>2</v>
      </c>
      <c r="C1514" s="3">
        <v>19</v>
      </c>
      <c r="D1514" s="3">
        <v>10</v>
      </c>
      <c r="E1514" s="4">
        <v>0</v>
      </c>
      <c r="F1514" s="5">
        <f t="shared" si="23"/>
        <v>190</v>
      </c>
    </row>
    <row r="1515" spans="1:6" x14ac:dyDescent="0.45">
      <c r="A1515" s="6">
        <v>10829</v>
      </c>
      <c r="B1515" s="3">
        <v>8</v>
      </c>
      <c r="C1515" s="3">
        <v>40</v>
      </c>
      <c r="D1515" s="3">
        <v>20</v>
      </c>
      <c r="E1515" s="4">
        <v>0</v>
      </c>
      <c r="F1515" s="5">
        <f t="shared" si="23"/>
        <v>800</v>
      </c>
    </row>
    <row r="1516" spans="1:6" x14ac:dyDescent="0.45">
      <c r="A1516" s="6">
        <v>10829</v>
      </c>
      <c r="B1516" s="3">
        <v>13</v>
      </c>
      <c r="C1516" s="3">
        <v>6</v>
      </c>
      <c r="D1516" s="3">
        <v>10</v>
      </c>
      <c r="E1516" s="4">
        <v>0</v>
      </c>
      <c r="F1516" s="5">
        <f t="shared" si="23"/>
        <v>60</v>
      </c>
    </row>
    <row r="1517" spans="1:6" x14ac:dyDescent="0.45">
      <c r="A1517" s="6">
        <v>10829</v>
      </c>
      <c r="B1517" s="3">
        <v>60</v>
      </c>
      <c r="C1517" s="3">
        <v>34</v>
      </c>
      <c r="D1517" s="3">
        <v>21</v>
      </c>
      <c r="E1517" s="4">
        <v>0</v>
      </c>
      <c r="F1517" s="5">
        <f t="shared" si="23"/>
        <v>714</v>
      </c>
    </row>
    <row r="1518" spans="1:6" x14ac:dyDescent="0.45">
      <c r="A1518" s="6">
        <v>10830</v>
      </c>
      <c r="B1518" s="3">
        <v>6</v>
      </c>
      <c r="C1518" s="3">
        <v>25</v>
      </c>
      <c r="D1518" s="3">
        <v>6</v>
      </c>
      <c r="E1518" s="4">
        <v>0</v>
      </c>
      <c r="F1518" s="5">
        <f t="shared" si="23"/>
        <v>150</v>
      </c>
    </row>
    <row r="1519" spans="1:6" x14ac:dyDescent="0.45">
      <c r="A1519" s="6">
        <v>10830</v>
      </c>
      <c r="B1519" s="3">
        <v>39</v>
      </c>
      <c r="C1519" s="3">
        <v>18</v>
      </c>
      <c r="D1519" s="3">
        <v>28</v>
      </c>
      <c r="E1519" s="4">
        <v>0</v>
      </c>
      <c r="F1519" s="5">
        <f t="shared" si="23"/>
        <v>504</v>
      </c>
    </row>
    <row r="1520" spans="1:6" x14ac:dyDescent="0.45">
      <c r="A1520" s="6">
        <v>10830</v>
      </c>
      <c r="B1520" s="3">
        <v>60</v>
      </c>
      <c r="C1520" s="3">
        <v>34</v>
      </c>
      <c r="D1520" s="3">
        <v>30</v>
      </c>
      <c r="E1520" s="4">
        <v>0</v>
      </c>
      <c r="F1520" s="5">
        <f t="shared" si="23"/>
        <v>1020</v>
      </c>
    </row>
    <row r="1521" spans="1:6" x14ac:dyDescent="0.45">
      <c r="A1521" s="6">
        <v>10830</v>
      </c>
      <c r="B1521" s="3">
        <v>68</v>
      </c>
      <c r="C1521" s="3">
        <v>12.5</v>
      </c>
      <c r="D1521" s="3">
        <v>24</v>
      </c>
      <c r="E1521" s="4">
        <v>0</v>
      </c>
      <c r="F1521" s="5">
        <f t="shared" si="23"/>
        <v>300</v>
      </c>
    </row>
    <row r="1522" spans="1:6" x14ac:dyDescent="0.45">
      <c r="A1522" s="6">
        <v>10831</v>
      </c>
      <c r="B1522" s="3">
        <v>19</v>
      </c>
      <c r="C1522" s="3">
        <v>9.1999999999999993</v>
      </c>
      <c r="D1522" s="3">
        <v>2</v>
      </c>
      <c r="E1522" s="4">
        <v>0</v>
      </c>
      <c r="F1522" s="5">
        <f t="shared" si="23"/>
        <v>18.399999999999999</v>
      </c>
    </row>
    <row r="1523" spans="1:6" x14ac:dyDescent="0.45">
      <c r="A1523" s="6">
        <v>10831</v>
      </c>
      <c r="B1523" s="3">
        <v>35</v>
      </c>
      <c r="C1523" s="3">
        <v>18</v>
      </c>
      <c r="D1523" s="3">
        <v>8</v>
      </c>
      <c r="E1523" s="4">
        <v>0</v>
      </c>
      <c r="F1523" s="5">
        <f t="shared" si="23"/>
        <v>144</v>
      </c>
    </row>
    <row r="1524" spans="1:6" x14ac:dyDescent="0.45">
      <c r="A1524" s="6">
        <v>10831</v>
      </c>
      <c r="B1524" s="3">
        <v>38</v>
      </c>
      <c r="C1524" s="3">
        <v>263.5</v>
      </c>
      <c r="D1524" s="3">
        <v>8</v>
      </c>
      <c r="E1524" s="4">
        <v>0</v>
      </c>
      <c r="F1524" s="5">
        <f t="shared" si="23"/>
        <v>2108</v>
      </c>
    </row>
    <row r="1525" spans="1:6" x14ac:dyDescent="0.45">
      <c r="A1525" s="6">
        <v>10831</v>
      </c>
      <c r="B1525" s="3">
        <v>43</v>
      </c>
      <c r="C1525" s="3">
        <v>46</v>
      </c>
      <c r="D1525" s="3">
        <v>9</v>
      </c>
      <c r="E1525" s="4">
        <v>0</v>
      </c>
      <c r="F1525" s="5">
        <f t="shared" si="23"/>
        <v>414</v>
      </c>
    </row>
    <row r="1526" spans="1:6" x14ac:dyDescent="0.45">
      <c r="A1526" s="6">
        <v>10832</v>
      </c>
      <c r="B1526" s="3">
        <v>13</v>
      </c>
      <c r="C1526" s="3">
        <v>6</v>
      </c>
      <c r="D1526" s="3">
        <v>3</v>
      </c>
      <c r="E1526" s="4">
        <v>0.2</v>
      </c>
      <c r="F1526" s="5">
        <f t="shared" si="23"/>
        <v>14.4</v>
      </c>
    </row>
    <row r="1527" spans="1:6" x14ac:dyDescent="0.45">
      <c r="A1527" s="6">
        <v>10832</v>
      </c>
      <c r="B1527" s="3">
        <v>25</v>
      </c>
      <c r="C1527" s="3">
        <v>14</v>
      </c>
      <c r="D1527" s="3">
        <v>10</v>
      </c>
      <c r="E1527" s="4">
        <v>0.2</v>
      </c>
      <c r="F1527" s="5">
        <f t="shared" si="23"/>
        <v>112</v>
      </c>
    </row>
    <row r="1528" spans="1:6" x14ac:dyDescent="0.45">
      <c r="A1528" s="6">
        <v>10832</v>
      </c>
      <c r="B1528" s="3">
        <v>44</v>
      </c>
      <c r="C1528" s="3">
        <v>19.45</v>
      </c>
      <c r="D1528" s="3">
        <v>16</v>
      </c>
      <c r="E1528" s="4">
        <v>0.2</v>
      </c>
      <c r="F1528" s="5">
        <f t="shared" si="23"/>
        <v>248.96</v>
      </c>
    </row>
    <row r="1529" spans="1:6" x14ac:dyDescent="0.45">
      <c r="A1529" s="6">
        <v>10832</v>
      </c>
      <c r="B1529" s="3">
        <v>64</v>
      </c>
      <c r="C1529" s="3">
        <v>33.25</v>
      </c>
      <c r="D1529" s="3">
        <v>3</v>
      </c>
      <c r="E1529" s="4">
        <v>0</v>
      </c>
      <c r="F1529" s="5">
        <f t="shared" si="23"/>
        <v>99.75</v>
      </c>
    </row>
    <row r="1530" spans="1:6" x14ac:dyDescent="0.45">
      <c r="A1530" s="6">
        <v>10833</v>
      </c>
      <c r="B1530" s="3">
        <v>7</v>
      </c>
      <c r="C1530" s="3">
        <v>30</v>
      </c>
      <c r="D1530" s="3">
        <v>20</v>
      </c>
      <c r="E1530" s="4">
        <v>0.1</v>
      </c>
      <c r="F1530" s="5">
        <f t="shared" si="23"/>
        <v>540</v>
      </c>
    </row>
    <row r="1531" spans="1:6" x14ac:dyDescent="0.45">
      <c r="A1531" s="6">
        <v>10833</v>
      </c>
      <c r="B1531" s="3">
        <v>31</v>
      </c>
      <c r="C1531" s="3">
        <v>12.5</v>
      </c>
      <c r="D1531" s="3">
        <v>9</v>
      </c>
      <c r="E1531" s="4">
        <v>0.1</v>
      </c>
      <c r="F1531" s="5">
        <f t="shared" si="23"/>
        <v>101.25</v>
      </c>
    </row>
    <row r="1532" spans="1:6" x14ac:dyDescent="0.45">
      <c r="A1532" s="6">
        <v>10833</v>
      </c>
      <c r="B1532" s="3">
        <v>53</v>
      </c>
      <c r="C1532" s="3">
        <v>32.799999999999997</v>
      </c>
      <c r="D1532" s="3">
        <v>9</v>
      </c>
      <c r="E1532" s="4">
        <v>0.1</v>
      </c>
      <c r="F1532" s="5">
        <f t="shared" si="23"/>
        <v>265.68</v>
      </c>
    </row>
    <row r="1533" spans="1:6" x14ac:dyDescent="0.45">
      <c r="A1533" s="6">
        <v>10834</v>
      </c>
      <c r="B1533" s="3">
        <v>29</v>
      </c>
      <c r="C1533" s="3">
        <v>123.79</v>
      </c>
      <c r="D1533" s="3">
        <v>8</v>
      </c>
      <c r="E1533" s="4">
        <v>0.05</v>
      </c>
      <c r="F1533" s="5">
        <f t="shared" si="23"/>
        <v>940.80399999999997</v>
      </c>
    </row>
    <row r="1534" spans="1:6" x14ac:dyDescent="0.45">
      <c r="A1534" s="6">
        <v>10834</v>
      </c>
      <c r="B1534" s="3">
        <v>30</v>
      </c>
      <c r="C1534" s="3">
        <v>25.89</v>
      </c>
      <c r="D1534" s="3">
        <v>20</v>
      </c>
      <c r="E1534" s="4">
        <v>0.05</v>
      </c>
      <c r="F1534" s="5">
        <f t="shared" si="23"/>
        <v>491.90999999999991</v>
      </c>
    </row>
    <row r="1535" spans="1:6" x14ac:dyDescent="0.45">
      <c r="A1535" s="6">
        <v>10835</v>
      </c>
      <c r="B1535" s="3">
        <v>59</v>
      </c>
      <c r="C1535" s="3">
        <v>55</v>
      </c>
      <c r="D1535" s="3">
        <v>15</v>
      </c>
      <c r="E1535" s="4">
        <v>0</v>
      </c>
      <c r="F1535" s="5">
        <f t="shared" si="23"/>
        <v>825</v>
      </c>
    </row>
    <row r="1536" spans="1:6" x14ac:dyDescent="0.45">
      <c r="A1536" s="6">
        <v>10835</v>
      </c>
      <c r="B1536" s="3">
        <v>77</v>
      </c>
      <c r="C1536" s="3">
        <v>13</v>
      </c>
      <c r="D1536" s="3">
        <v>2</v>
      </c>
      <c r="E1536" s="4">
        <v>0.2</v>
      </c>
      <c r="F1536" s="5">
        <f t="shared" si="23"/>
        <v>20.8</v>
      </c>
    </row>
    <row r="1537" spans="1:6" x14ac:dyDescent="0.45">
      <c r="A1537" s="6">
        <v>10836</v>
      </c>
      <c r="B1537" s="3">
        <v>22</v>
      </c>
      <c r="C1537" s="3">
        <v>21</v>
      </c>
      <c r="D1537" s="3">
        <v>52</v>
      </c>
      <c r="E1537" s="4">
        <v>0</v>
      </c>
      <c r="F1537" s="5">
        <f t="shared" si="23"/>
        <v>1092</v>
      </c>
    </row>
    <row r="1538" spans="1:6" x14ac:dyDescent="0.45">
      <c r="A1538" s="6">
        <v>10836</v>
      </c>
      <c r="B1538" s="3">
        <v>35</v>
      </c>
      <c r="C1538" s="3">
        <v>18</v>
      </c>
      <c r="D1538" s="3">
        <v>6</v>
      </c>
      <c r="E1538" s="4">
        <v>0</v>
      </c>
      <c r="F1538" s="5">
        <f t="shared" ref="F1538:F1601" si="24">C1538*D1538*(1-E1538)</f>
        <v>108</v>
      </c>
    </row>
    <row r="1539" spans="1:6" x14ac:dyDescent="0.45">
      <c r="A1539" s="6">
        <v>10836</v>
      </c>
      <c r="B1539" s="3">
        <v>57</v>
      </c>
      <c r="C1539" s="3">
        <v>19.5</v>
      </c>
      <c r="D1539" s="3">
        <v>24</v>
      </c>
      <c r="E1539" s="4">
        <v>0</v>
      </c>
      <c r="F1539" s="5">
        <f t="shared" si="24"/>
        <v>468</v>
      </c>
    </row>
    <row r="1540" spans="1:6" x14ac:dyDescent="0.45">
      <c r="A1540" s="6">
        <v>10836</v>
      </c>
      <c r="B1540" s="3">
        <v>60</v>
      </c>
      <c r="C1540" s="3">
        <v>34</v>
      </c>
      <c r="D1540" s="3">
        <v>60</v>
      </c>
      <c r="E1540" s="4">
        <v>0</v>
      </c>
      <c r="F1540" s="5">
        <f t="shared" si="24"/>
        <v>2040</v>
      </c>
    </row>
    <row r="1541" spans="1:6" x14ac:dyDescent="0.45">
      <c r="A1541" s="6">
        <v>10836</v>
      </c>
      <c r="B1541" s="3">
        <v>64</v>
      </c>
      <c r="C1541" s="3">
        <v>33.25</v>
      </c>
      <c r="D1541" s="3">
        <v>30</v>
      </c>
      <c r="E1541" s="4">
        <v>0</v>
      </c>
      <c r="F1541" s="5">
        <f t="shared" si="24"/>
        <v>997.5</v>
      </c>
    </row>
    <row r="1542" spans="1:6" x14ac:dyDescent="0.45">
      <c r="A1542" s="6">
        <v>10837</v>
      </c>
      <c r="B1542" s="3">
        <v>13</v>
      </c>
      <c r="C1542" s="3">
        <v>6</v>
      </c>
      <c r="D1542" s="3">
        <v>6</v>
      </c>
      <c r="E1542" s="4">
        <v>0</v>
      </c>
      <c r="F1542" s="5">
        <f t="shared" si="24"/>
        <v>36</v>
      </c>
    </row>
    <row r="1543" spans="1:6" x14ac:dyDescent="0.45">
      <c r="A1543" s="6">
        <v>10837</v>
      </c>
      <c r="B1543" s="3">
        <v>40</v>
      </c>
      <c r="C1543" s="3">
        <v>18.399999999999999</v>
      </c>
      <c r="D1543" s="3">
        <v>25</v>
      </c>
      <c r="E1543" s="4">
        <v>0</v>
      </c>
      <c r="F1543" s="5">
        <f t="shared" si="24"/>
        <v>459.99999999999994</v>
      </c>
    </row>
    <row r="1544" spans="1:6" x14ac:dyDescent="0.45">
      <c r="A1544" s="6">
        <v>10837</v>
      </c>
      <c r="B1544" s="3">
        <v>47</v>
      </c>
      <c r="C1544" s="3">
        <v>9.5</v>
      </c>
      <c r="D1544" s="3">
        <v>40</v>
      </c>
      <c r="E1544" s="4">
        <v>0.25</v>
      </c>
      <c r="F1544" s="5">
        <f t="shared" si="24"/>
        <v>285</v>
      </c>
    </row>
    <row r="1545" spans="1:6" x14ac:dyDescent="0.45">
      <c r="A1545" s="6">
        <v>10837</v>
      </c>
      <c r="B1545" s="3">
        <v>76</v>
      </c>
      <c r="C1545" s="3">
        <v>18</v>
      </c>
      <c r="D1545" s="3">
        <v>21</v>
      </c>
      <c r="E1545" s="4">
        <v>0.25</v>
      </c>
      <c r="F1545" s="5">
        <f t="shared" si="24"/>
        <v>283.5</v>
      </c>
    </row>
    <row r="1546" spans="1:6" x14ac:dyDescent="0.45">
      <c r="A1546" s="6">
        <v>10838</v>
      </c>
      <c r="B1546" s="3">
        <v>1</v>
      </c>
      <c r="C1546" s="3">
        <v>18</v>
      </c>
      <c r="D1546" s="3">
        <v>4</v>
      </c>
      <c r="E1546" s="4">
        <v>0.25</v>
      </c>
      <c r="F1546" s="5">
        <f t="shared" si="24"/>
        <v>54</v>
      </c>
    </row>
    <row r="1547" spans="1:6" x14ac:dyDescent="0.45">
      <c r="A1547" s="6">
        <v>10838</v>
      </c>
      <c r="B1547" s="3">
        <v>18</v>
      </c>
      <c r="C1547" s="3">
        <v>62.5</v>
      </c>
      <c r="D1547" s="3">
        <v>25</v>
      </c>
      <c r="E1547" s="4">
        <v>0.25</v>
      </c>
      <c r="F1547" s="5">
        <f t="shared" si="24"/>
        <v>1171.875</v>
      </c>
    </row>
    <row r="1548" spans="1:6" x14ac:dyDescent="0.45">
      <c r="A1548" s="6">
        <v>10838</v>
      </c>
      <c r="B1548" s="3">
        <v>36</v>
      </c>
      <c r="C1548" s="3">
        <v>19</v>
      </c>
      <c r="D1548" s="3">
        <v>50</v>
      </c>
      <c r="E1548" s="4">
        <v>0.25</v>
      </c>
      <c r="F1548" s="5">
        <f t="shared" si="24"/>
        <v>712.5</v>
      </c>
    </row>
    <row r="1549" spans="1:6" x14ac:dyDescent="0.45">
      <c r="A1549" s="6">
        <v>10839</v>
      </c>
      <c r="B1549" s="3">
        <v>58</v>
      </c>
      <c r="C1549" s="3">
        <v>13.25</v>
      </c>
      <c r="D1549" s="3">
        <v>30</v>
      </c>
      <c r="E1549" s="4">
        <v>0.1</v>
      </c>
      <c r="F1549" s="5">
        <f t="shared" si="24"/>
        <v>357.75</v>
      </c>
    </row>
    <row r="1550" spans="1:6" x14ac:dyDescent="0.45">
      <c r="A1550" s="6">
        <v>10839</v>
      </c>
      <c r="B1550" s="3">
        <v>72</v>
      </c>
      <c r="C1550" s="3">
        <v>34.799999999999997</v>
      </c>
      <c r="D1550" s="3">
        <v>15</v>
      </c>
      <c r="E1550" s="4">
        <v>0.1</v>
      </c>
      <c r="F1550" s="5">
        <f t="shared" si="24"/>
        <v>469.8</v>
      </c>
    </row>
    <row r="1551" spans="1:6" x14ac:dyDescent="0.45">
      <c r="A1551" s="6">
        <v>10840</v>
      </c>
      <c r="B1551" s="3">
        <v>25</v>
      </c>
      <c r="C1551" s="3">
        <v>14</v>
      </c>
      <c r="D1551" s="3">
        <v>6</v>
      </c>
      <c r="E1551" s="4">
        <v>0.2</v>
      </c>
      <c r="F1551" s="5">
        <f t="shared" si="24"/>
        <v>67.2</v>
      </c>
    </row>
    <row r="1552" spans="1:6" x14ac:dyDescent="0.45">
      <c r="A1552" s="6">
        <v>10840</v>
      </c>
      <c r="B1552" s="3">
        <v>39</v>
      </c>
      <c r="C1552" s="3">
        <v>18</v>
      </c>
      <c r="D1552" s="3">
        <v>10</v>
      </c>
      <c r="E1552" s="4">
        <v>0.2</v>
      </c>
      <c r="F1552" s="5">
        <f t="shared" si="24"/>
        <v>144</v>
      </c>
    </row>
    <row r="1553" spans="1:6" x14ac:dyDescent="0.45">
      <c r="A1553" s="6">
        <v>10841</v>
      </c>
      <c r="B1553" s="3">
        <v>10</v>
      </c>
      <c r="C1553" s="3">
        <v>31</v>
      </c>
      <c r="D1553" s="3">
        <v>16</v>
      </c>
      <c r="E1553" s="4">
        <v>0</v>
      </c>
      <c r="F1553" s="5">
        <f t="shared" si="24"/>
        <v>496</v>
      </c>
    </row>
    <row r="1554" spans="1:6" x14ac:dyDescent="0.45">
      <c r="A1554" s="6">
        <v>10841</v>
      </c>
      <c r="B1554" s="3">
        <v>56</v>
      </c>
      <c r="C1554" s="3">
        <v>38</v>
      </c>
      <c r="D1554" s="3">
        <v>30</v>
      </c>
      <c r="E1554" s="4">
        <v>0</v>
      </c>
      <c r="F1554" s="5">
        <f t="shared" si="24"/>
        <v>1140</v>
      </c>
    </row>
    <row r="1555" spans="1:6" x14ac:dyDescent="0.45">
      <c r="A1555" s="6">
        <v>10841</v>
      </c>
      <c r="B1555" s="3">
        <v>59</v>
      </c>
      <c r="C1555" s="3">
        <v>55</v>
      </c>
      <c r="D1555" s="3">
        <v>50</v>
      </c>
      <c r="E1555" s="4">
        <v>0</v>
      </c>
      <c r="F1555" s="5">
        <f t="shared" si="24"/>
        <v>2750</v>
      </c>
    </row>
    <row r="1556" spans="1:6" x14ac:dyDescent="0.45">
      <c r="A1556" s="6">
        <v>10841</v>
      </c>
      <c r="B1556" s="3">
        <v>77</v>
      </c>
      <c r="C1556" s="3">
        <v>13</v>
      </c>
      <c r="D1556" s="3">
        <v>15</v>
      </c>
      <c r="E1556" s="4">
        <v>0</v>
      </c>
      <c r="F1556" s="5">
        <f t="shared" si="24"/>
        <v>195</v>
      </c>
    </row>
    <row r="1557" spans="1:6" x14ac:dyDescent="0.45">
      <c r="A1557" s="6">
        <v>10842</v>
      </c>
      <c r="B1557" s="3">
        <v>11</v>
      </c>
      <c r="C1557" s="3">
        <v>21</v>
      </c>
      <c r="D1557" s="3">
        <v>15</v>
      </c>
      <c r="E1557" s="4">
        <v>0</v>
      </c>
      <c r="F1557" s="5">
        <f t="shared" si="24"/>
        <v>315</v>
      </c>
    </row>
    <row r="1558" spans="1:6" x14ac:dyDescent="0.45">
      <c r="A1558" s="6">
        <v>10842</v>
      </c>
      <c r="B1558" s="3">
        <v>43</v>
      </c>
      <c r="C1558" s="3">
        <v>46</v>
      </c>
      <c r="D1558" s="3">
        <v>5</v>
      </c>
      <c r="E1558" s="4">
        <v>0</v>
      </c>
      <c r="F1558" s="5">
        <f t="shared" si="24"/>
        <v>230</v>
      </c>
    </row>
    <row r="1559" spans="1:6" x14ac:dyDescent="0.45">
      <c r="A1559" s="6">
        <v>10842</v>
      </c>
      <c r="B1559" s="3">
        <v>68</v>
      </c>
      <c r="C1559" s="3">
        <v>12.5</v>
      </c>
      <c r="D1559" s="3">
        <v>20</v>
      </c>
      <c r="E1559" s="4">
        <v>0</v>
      </c>
      <c r="F1559" s="5">
        <f t="shared" si="24"/>
        <v>250</v>
      </c>
    </row>
    <row r="1560" spans="1:6" x14ac:dyDescent="0.45">
      <c r="A1560" s="6">
        <v>10842</v>
      </c>
      <c r="B1560" s="3">
        <v>70</v>
      </c>
      <c r="C1560" s="3">
        <v>15</v>
      </c>
      <c r="D1560" s="3">
        <v>12</v>
      </c>
      <c r="E1560" s="4">
        <v>0</v>
      </c>
      <c r="F1560" s="5">
        <f t="shared" si="24"/>
        <v>180</v>
      </c>
    </row>
    <row r="1561" spans="1:6" x14ac:dyDescent="0.45">
      <c r="A1561" s="6">
        <v>10843</v>
      </c>
      <c r="B1561" s="3">
        <v>51</v>
      </c>
      <c r="C1561" s="3">
        <v>53</v>
      </c>
      <c r="D1561" s="3">
        <v>4</v>
      </c>
      <c r="E1561" s="4">
        <v>0.25</v>
      </c>
      <c r="F1561" s="5">
        <f t="shared" si="24"/>
        <v>159</v>
      </c>
    </row>
    <row r="1562" spans="1:6" x14ac:dyDescent="0.45">
      <c r="A1562" s="6">
        <v>10844</v>
      </c>
      <c r="B1562" s="3">
        <v>22</v>
      </c>
      <c r="C1562" s="3">
        <v>21</v>
      </c>
      <c r="D1562" s="3">
        <v>35</v>
      </c>
      <c r="E1562" s="4">
        <v>0</v>
      </c>
      <c r="F1562" s="5">
        <f t="shared" si="24"/>
        <v>735</v>
      </c>
    </row>
    <row r="1563" spans="1:6" x14ac:dyDescent="0.45">
      <c r="A1563" s="6">
        <v>10845</v>
      </c>
      <c r="B1563" s="3">
        <v>23</v>
      </c>
      <c r="C1563" s="3">
        <v>9</v>
      </c>
      <c r="D1563" s="3">
        <v>70</v>
      </c>
      <c r="E1563" s="4">
        <v>0.1</v>
      </c>
      <c r="F1563" s="5">
        <f t="shared" si="24"/>
        <v>567</v>
      </c>
    </row>
    <row r="1564" spans="1:6" x14ac:dyDescent="0.45">
      <c r="A1564" s="6">
        <v>10845</v>
      </c>
      <c r="B1564" s="3">
        <v>35</v>
      </c>
      <c r="C1564" s="3">
        <v>18</v>
      </c>
      <c r="D1564" s="3">
        <v>25</v>
      </c>
      <c r="E1564" s="4">
        <v>0.1</v>
      </c>
      <c r="F1564" s="5">
        <f t="shared" si="24"/>
        <v>405</v>
      </c>
    </row>
    <row r="1565" spans="1:6" x14ac:dyDescent="0.45">
      <c r="A1565" s="6">
        <v>10845</v>
      </c>
      <c r="B1565" s="3">
        <v>42</v>
      </c>
      <c r="C1565" s="3">
        <v>14</v>
      </c>
      <c r="D1565" s="3">
        <v>42</v>
      </c>
      <c r="E1565" s="4">
        <v>0.1</v>
      </c>
      <c r="F1565" s="5">
        <f t="shared" si="24"/>
        <v>529.20000000000005</v>
      </c>
    </row>
    <row r="1566" spans="1:6" x14ac:dyDescent="0.45">
      <c r="A1566" s="6">
        <v>10845</v>
      </c>
      <c r="B1566" s="3">
        <v>58</v>
      </c>
      <c r="C1566" s="3">
        <v>13.25</v>
      </c>
      <c r="D1566" s="3">
        <v>60</v>
      </c>
      <c r="E1566" s="4">
        <v>0.1</v>
      </c>
      <c r="F1566" s="5">
        <f t="shared" si="24"/>
        <v>715.5</v>
      </c>
    </row>
    <row r="1567" spans="1:6" x14ac:dyDescent="0.45">
      <c r="A1567" s="6">
        <v>10845</v>
      </c>
      <c r="B1567" s="3">
        <v>64</v>
      </c>
      <c r="C1567" s="3">
        <v>33.25</v>
      </c>
      <c r="D1567" s="3">
        <v>48</v>
      </c>
      <c r="E1567" s="4">
        <v>0</v>
      </c>
      <c r="F1567" s="5">
        <f t="shared" si="24"/>
        <v>1596</v>
      </c>
    </row>
    <row r="1568" spans="1:6" x14ac:dyDescent="0.45">
      <c r="A1568" s="6">
        <v>10846</v>
      </c>
      <c r="B1568" s="3">
        <v>4</v>
      </c>
      <c r="C1568" s="3">
        <v>22</v>
      </c>
      <c r="D1568" s="3">
        <v>21</v>
      </c>
      <c r="E1568" s="4">
        <v>0</v>
      </c>
      <c r="F1568" s="5">
        <f t="shared" si="24"/>
        <v>462</v>
      </c>
    </row>
    <row r="1569" spans="1:6" x14ac:dyDescent="0.45">
      <c r="A1569" s="6">
        <v>10846</v>
      </c>
      <c r="B1569" s="3">
        <v>70</v>
      </c>
      <c r="C1569" s="3">
        <v>15</v>
      </c>
      <c r="D1569" s="3">
        <v>30</v>
      </c>
      <c r="E1569" s="4">
        <v>0</v>
      </c>
      <c r="F1569" s="5">
        <f t="shared" si="24"/>
        <v>450</v>
      </c>
    </row>
    <row r="1570" spans="1:6" x14ac:dyDescent="0.45">
      <c r="A1570" s="6">
        <v>10846</v>
      </c>
      <c r="B1570" s="3">
        <v>74</v>
      </c>
      <c r="C1570" s="3">
        <v>10</v>
      </c>
      <c r="D1570" s="3">
        <v>20</v>
      </c>
      <c r="E1570" s="4">
        <v>0</v>
      </c>
      <c r="F1570" s="5">
        <f t="shared" si="24"/>
        <v>200</v>
      </c>
    </row>
    <row r="1571" spans="1:6" x14ac:dyDescent="0.45">
      <c r="A1571" s="6">
        <v>10847</v>
      </c>
      <c r="B1571" s="3">
        <v>1</v>
      </c>
      <c r="C1571" s="3">
        <v>18</v>
      </c>
      <c r="D1571" s="3">
        <v>80</v>
      </c>
      <c r="E1571" s="4">
        <v>0.2</v>
      </c>
      <c r="F1571" s="5">
        <f t="shared" si="24"/>
        <v>1152</v>
      </c>
    </row>
    <row r="1572" spans="1:6" x14ac:dyDescent="0.45">
      <c r="A1572" s="6">
        <v>10847</v>
      </c>
      <c r="B1572" s="3">
        <v>19</v>
      </c>
      <c r="C1572" s="3">
        <v>9.1999999999999993</v>
      </c>
      <c r="D1572" s="3">
        <v>12</v>
      </c>
      <c r="E1572" s="4">
        <v>0.2</v>
      </c>
      <c r="F1572" s="5">
        <f t="shared" si="24"/>
        <v>88.32</v>
      </c>
    </row>
    <row r="1573" spans="1:6" x14ac:dyDescent="0.45">
      <c r="A1573" s="6">
        <v>10847</v>
      </c>
      <c r="B1573" s="3">
        <v>37</v>
      </c>
      <c r="C1573" s="3">
        <v>26</v>
      </c>
      <c r="D1573" s="3">
        <v>60</v>
      </c>
      <c r="E1573" s="4">
        <v>0.2</v>
      </c>
      <c r="F1573" s="5">
        <f t="shared" si="24"/>
        <v>1248</v>
      </c>
    </row>
    <row r="1574" spans="1:6" x14ac:dyDescent="0.45">
      <c r="A1574" s="6">
        <v>10847</v>
      </c>
      <c r="B1574" s="3">
        <v>45</v>
      </c>
      <c r="C1574" s="3">
        <v>9.5</v>
      </c>
      <c r="D1574" s="3">
        <v>36</v>
      </c>
      <c r="E1574" s="4">
        <v>0.2</v>
      </c>
      <c r="F1574" s="5">
        <f t="shared" si="24"/>
        <v>273.60000000000002</v>
      </c>
    </row>
    <row r="1575" spans="1:6" x14ac:dyDescent="0.45">
      <c r="A1575" s="6">
        <v>10847</v>
      </c>
      <c r="B1575" s="3">
        <v>60</v>
      </c>
      <c r="C1575" s="3">
        <v>34</v>
      </c>
      <c r="D1575" s="3">
        <v>45</v>
      </c>
      <c r="E1575" s="4">
        <v>0.2</v>
      </c>
      <c r="F1575" s="5">
        <f t="shared" si="24"/>
        <v>1224</v>
      </c>
    </row>
    <row r="1576" spans="1:6" x14ac:dyDescent="0.45">
      <c r="A1576" s="6">
        <v>10847</v>
      </c>
      <c r="B1576" s="3">
        <v>71</v>
      </c>
      <c r="C1576" s="3">
        <v>21.5</v>
      </c>
      <c r="D1576" s="3">
        <v>55</v>
      </c>
      <c r="E1576" s="4">
        <v>0.2</v>
      </c>
      <c r="F1576" s="5">
        <f t="shared" si="24"/>
        <v>946</v>
      </c>
    </row>
    <row r="1577" spans="1:6" x14ac:dyDescent="0.45">
      <c r="A1577" s="6">
        <v>10848</v>
      </c>
      <c r="B1577" s="3">
        <v>5</v>
      </c>
      <c r="C1577" s="3">
        <v>21.35</v>
      </c>
      <c r="D1577" s="3">
        <v>30</v>
      </c>
      <c r="E1577" s="4">
        <v>0</v>
      </c>
      <c r="F1577" s="5">
        <f t="shared" si="24"/>
        <v>640.5</v>
      </c>
    </row>
    <row r="1578" spans="1:6" x14ac:dyDescent="0.45">
      <c r="A1578" s="6">
        <v>10848</v>
      </c>
      <c r="B1578" s="3">
        <v>9</v>
      </c>
      <c r="C1578" s="3">
        <v>97</v>
      </c>
      <c r="D1578" s="3">
        <v>3</v>
      </c>
      <c r="E1578" s="4">
        <v>0</v>
      </c>
      <c r="F1578" s="5">
        <f t="shared" si="24"/>
        <v>291</v>
      </c>
    </row>
    <row r="1579" spans="1:6" x14ac:dyDescent="0.45">
      <c r="A1579" s="6">
        <v>10849</v>
      </c>
      <c r="B1579" s="3">
        <v>3</v>
      </c>
      <c r="C1579" s="3">
        <v>10</v>
      </c>
      <c r="D1579" s="3">
        <v>49</v>
      </c>
      <c r="E1579" s="4">
        <v>0</v>
      </c>
      <c r="F1579" s="5">
        <f t="shared" si="24"/>
        <v>490</v>
      </c>
    </row>
    <row r="1580" spans="1:6" x14ac:dyDescent="0.45">
      <c r="A1580" s="6">
        <v>10849</v>
      </c>
      <c r="B1580" s="3">
        <v>26</v>
      </c>
      <c r="C1580" s="3">
        <v>31.23</v>
      </c>
      <c r="D1580" s="3">
        <v>18</v>
      </c>
      <c r="E1580" s="4">
        <v>0.15</v>
      </c>
      <c r="F1580" s="5">
        <f t="shared" si="24"/>
        <v>477.81899999999996</v>
      </c>
    </row>
    <row r="1581" spans="1:6" x14ac:dyDescent="0.45">
      <c r="A1581" s="6">
        <v>10850</v>
      </c>
      <c r="B1581" s="3">
        <v>25</v>
      </c>
      <c r="C1581" s="3">
        <v>14</v>
      </c>
      <c r="D1581" s="3">
        <v>20</v>
      </c>
      <c r="E1581" s="4">
        <v>0.15</v>
      </c>
      <c r="F1581" s="5">
        <f t="shared" si="24"/>
        <v>238</v>
      </c>
    </row>
    <row r="1582" spans="1:6" x14ac:dyDescent="0.45">
      <c r="A1582" s="6">
        <v>10850</v>
      </c>
      <c r="B1582" s="3">
        <v>33</v>
      </c>
      <c r="C1582" s="3">
        <v>2.5</v>
      </c>
      <c r="D1582" s="3">
        <v>4</v>
      </c>
      <c r="E1582" s="4">
        <v>0.15</v>
      </c>
      <c r="F1582" s="5">
        <f t="shared" si="24"/>
        <v>8.5</v>
      </c>
    </row>
    <row r="1583" spans="1:6" x14ac:dyDescent="0.45">
      <c r="A1583" s="6">
        <v>10850</v>
      </c>
      <c r="B1583" s="3">
        <v>70</v>
      </c>
      <c r="C1583" s="3">
        <v>15</v>
      </c>
      <c r="D1583" s="3">
        <v>30</v>
      </c>
      <c r="E1583" s="4">
        <v>0.15</v>
      </c>
      <c r="F1583" s="5">
        <f t="shared" si="24"/>
        <v>382.5</v>
      </c>
    </row>
    <row r="1584" spans="1:6" x14ac:dyDescent="0.45">
      <c r="A1584" s="6">
        <v>10851</v>
      </c>
      <c r="B1584" s="3">
        <v>2</v>
      </c>
      <c r="C1584" s="3">
        <v>19</v>
      </c>
      <c r="D1584" s="3">
        <v>5</v>
      </c>
      <c r="E1584" s="4">
        <v>0.05</v>
      </c>
      <c r="F1584" s="5">
        <f t="shared" si="24"/>
        <v>90.25</v>
      </c>
    </row>
    <row r="1585" spans="1:6" x14ac:dyDescent="0.45">
      <c r="A1585" s="6">
        <v>10851</v>
      </c>
      <c r="B1585" s="3">
        <v>25</v>
      </c>
      <c r="C1585" s="3">
        <v>14</v>
      </c>
      <c r="D1585" s="3">
        <v>10</v>
      </c>
      <c r="E1585" s="4">
        <v>0.05</v>
      </c>
      <c r="F1585" s="5">
        <f t="shared" si="24"/>
        <v>133</v>
      </c>
    </row>
    <row r="1586" spans="1:6" x14ac:dyDescent="0.45">
      <c r="A1586" s="6">
        <v>10851</v>
      </c>
      <c r="B1586" s="3">
        <v>57</v>
      </c>
      <c r="C1586" s="3">
        <v>19.5</v>
      </c>
      <c r="D1586" s="3">
        <v>10</v>
      </c>
      <c r="E1586" s="4">
        <v>0.05</v>
      </c>
      <c r="F1586" s="5">
        <f t="shared" si="24"/>
        <v>185.25</v>
      </c>
    </row>
    <row r="1587" spans="1:6" x14ac:dyDescent="0.45">
      <c r="A1587" s="6">
        <v>10851</v>
      </c>
      <c r="B1587" s="3">
        <v>59</v>
      </c>
      <c r="C1587" s="3">
        <v>55</v>
      </c>
      <c r="D1587" s="3">
        <v>42</v>
      </c>
      <c r="E1587" s="4">
        <v>0.05</v>
      </c>
      <c r="F1587" s="5">
        <f t="shared" si="24"/>
        <v>2194.5</v>
      </c>
    </row>
    <row r="1588" spans="1:6" x14ac:dyDescent="0.45">
      <c r="A1588" s="6">
        <v>10852</v>
      </c>
      <c r="B1588" s="3">
        <v>2</v>
      </c>
      <c r="C1588" s="3">
        <v>19</v>
      </c>
      <c r="D1588" s="3">
        <v>15</v>
      </c>
      <c r="E1588" s="4">
        <v>0</v>
      </c>
      <c r="F1588" s="5">
        <f t="shared" si="24"/>
        <v>285</v>
      </c>
    </row>
    <row r="1589" spans="1:6" x14ac:dyDescent="0.45">
      <c r="A1589" s="6">
        <v>10852</v>
      </c>
      <c r="B1589" s="3">
        <v>17</v>
      </c>
      <c r="C1589" s="3">
        <v>39</v>
      </c>
      <c r="D1589" s="3">
        <v>6</v>
      </c>
      <c r="E1589" s="4">
        <v>0</v>
      </c>
      <c r="F1589" s="5">
        <f t="shared" si="24"/>
        <v>234</v>
      </c>
    </row>
    <row r="1590" spans="1:6" x14ac:dyDescent="0.45">
      <c r="A1590" s="6">
        <v>10852</v>
      </c>
      <c r="B1590" s="3">
        <v>62</v>
      </c>
      <c r="C1590" s="3">
        <v>49.3</v>
      </c>
      <c r="D1590" s="3">
        <v>50</v>
      </c>
      <c r="E1590" s="4">
        <v>0</v>
      </c>
      <c r="F1590" s="5">
        <f t="shared" si="24"/>
        <v>2465</v>
      </c>
    </row>
    <row r="1591" spans="1:6" x14ac:dyDescent="0.45">
      <c r="A1591" s="6">
        <v>10853</v>
      </c>
      <c r="B1591" s="3">
        <v>18</v>
      </c>
      <c r="C1591" s="3">
        <v>62.5</v>
      </c>
      <c r="D1591" s="3">
        <v>10</v>
      </c>
      <c r="E1591" s="4">
        <v>0</v>
      </c>
      <c r="F1591" s="5">
        <f t="shared" si="24"/>
        <v>625</v>
      </c>
    </row>
    <row r="1592" spans="1:6" x14ac:dyDescent="0.45">
      <c r="A1592" s="6">
        <v>10854</v>
      </c>
      <c r="B1592" s="3">
        <v>10</v>
      </c>
      <c r="C1592" s="3">
        <v>31</v>
      </c>
      <c r="D1592" s="3">
        <v>100</v>
      </c>
      <c r="E1592" s="4">
        <v>0.15</v>
      </c>
      <c r="F1592" s="5">
        <f t="shared" si="24"/>
        <v>2635</v>
      </c>
    </row>
    <row r="1593" spans="1:6" x14ac:dyDescent="0.45">
      <c r="A1593" s="6">
        <v>10854</v>
      </c>
      <c r="B1593" s="3">
        <v>13</v>
      </c>
      <c r="C1593" s="3">
        <v>6</v>
      </c>
      <c r="D1593" s="3">
        <v>65</v>
      </c>
      <c r="E1593" s="4">
        <v>0.15</v>
      </c>
      <c r="F1593" s="5">
        <f t="shared" si="24"/>
        <v>331.5</v>
      </c>
    </row>
    <row r="1594" spans="1:6" x14ac:dyDescent="0.45">
      <c r="A1594" s="6">
        <v>10855</v>
      </c>
      <c r="B1594" s="3">
        <v>16</v>
      </c>
      <c r="C1594" s="3">
        <v>17.45</v>
      </c>
      <c r="D1594" s="3">
        <v>50</v>
      </c>
      <c r="E1594" s="4">
        <v>0</v>
      </c>
      <c r="F1594" s="5">
        <f t="shared" si="24"/>
        <v>872.5</v>
      </c>
    </row>
    <row r="1595" spans="1:6" x14ac:dyDescent="0.45">
      <c r="A1595" s="6">
        <v>10855</v>
      </c>
      <c r="B1595" s="3">
        <v>31</v>
      </c>
      <c r="C1595" s="3">
        <v>12.5</v>
      </c>
      <c r="D1595" s="3">
        <v>14</v>
      </c>
      <c r="E1595" s="4">
        <v>0</v>
      </c>
      <c r="F1595" s="5">
        <f t="shared" si="24"/>
        <v>175</v>
      </c>
    </row>
    <row r="1596" spans="1:6" x14ac:dyDescent="0.45">
      <c r="A1596" s="6">
        <v>10855</v>
      </c>
      <c r="B1596" s="3">
        <v>56</v>
      </c>
      <c r="C1596" s="3">
        <v>38</v>
      </c>
      <c r="D1596" s="3">
        <v>24</v>
      </c>
      <c r="E1596" s="4">
        <v>0</v>
      </c>
      <c r="F1596" s="5">
        <f t="shared" si="24"/>
        <v>912</v>
      </c>
    </row>
    <row r="1597" spans="1:6" x14ac:dyDescent="0.45">
      <c r="A1597" s="6">
        <v>10855</v>
      </c>
      <c r="B1597" s="3">
        <v>65</v>
      </c>
      <c r="C1597" s="3">
        <v>21.05</v>
      </c>
      <c r="D1597" s="3">
        <v>15</v>
      </c>
      <c r="E1597" s="4">
        <v>0.15</v>
      </c>
      <c r="F1597" s="5">
        <f t="shared" si="24"/>
        <v>268.38749999999999</v>
      </c>
    </row>
    <row r="1598" spans="1:6" x14ac:dyDescent="0.45">
      <c r="A1598" s="6">
        <v>10856</v>
      </c>
      <c r="B1598" s="3">
        <v>2</v>
      </c>
      <c r="C1598" s="3">
        <v>19</v>
      </c>
      <c r="D1598" s="3">
        <v>20</v>
      </c>
      <c r="E1598" s="4">
        <v>0</v>
      </c>
      <c r="F1598" s="5">
        <f t="shared" si="24"/>
        <v>380</v>
      </c>
    </row>
    <row r="1599" spans="1:6" x14ac:dyDescent="0.45">
      <c r="A1599" s="6">
        <v>10856</v>
      </c>
      <c r="B1599" s="3">
        <v>42</v>
      </c>
      <c r="C1599" s="3">
        <v>14</v>
      </c>
      <c r="D1599" s="3">
        <v>20</v>
      </c>
      <c r="E1599" s="4">
        <v>0</v>
      </c>
      <c r="F1599" s="5">
        <f t="shared" si="24"/>
        <v>280</v>
      </c>
    </row>
    <row r="1600" spans="1:6" x14ac:dyDescent="0.45">
      <c r="A1600" s="6">
        <v>10857</v>
      </c>
      <c r="B1600" s="3">
        <v>3</v>
      </c>
      <c r="C1600" s="3">
        <v>10</v>
      </c>
      <c r="D1600" s="3">
        <v>30</v>
      </c>
      <c r="E1600" s="4">
        <v>0</v>
      </c>
      <c r="F1600" s="5">
        <f t="shared" si="24"/>
        <v>300</v>
      </c>
    </row>
    <row r="1601" spans="1:6" x14ac:dyDescent="0.45">
      <c r="A1601" s="6">
        <v>10857</v>
      </c>
      <c r="B1601" s="3">
        <v>26</v>
      </c>
      <c r="C1601" s="3">
        <v>31.23</v>
      </c>
      <c r="D1601" s="3">
        <v>35</v>
      </c>
      <c r="E1601" s="4">
        <v>0.25</v>
      </c>
      <c r="F1601" s="5">
        <f t="shared" si="24"/>
        <v>819.78749999999991</v>
      </c>
    </row>
    <row r="1602" spans="1:6" x14ac:dyDescent="0.45">
      <c r="A1602" s="6">
        <v>10857</v>
      </c>
      <c r="B1602" s="3">
        <v>29</v>
      </c>
      <c r="C1602" s="3">
        <v>123.79</v>
      </c>
      <c r="D1602" s="3">
        <v>10</v>
      </c>
      <c r="E1602" s="4">
        <v>0.25</v>
      </c>
      <c r="F1602" s="5">
        <f t="shared" ref="F1602:F1665" si="25">C1602*D1602*(1-E1602)</f>
        <v>928.42500000000007</v>
      </c>
    </row>
    <row r="1603" spans="1:6" x14ac:dyDescent="0.45">
      <c r="A1603" s="6">
        <v>10858</v>
      </c>
      <c r="B1603" s="3">
        <v>7</v>
      </c>
      <c r="C1603" s="3">
        <v>30</v>
      </c>
      <c r="D1603" s="3">
        <v>5</v>
      </c>
      <c r="E1603" s="4">
        <v>0</v>
      </c>
      <c r="F1603" s="5">
        <f t="shared" si="25"/>
        <v>150</v>
      </c>
    </row>
    <row r="1604" spans="1:6" x14ac:dyDescent="0.45">
      <c r="A1604" s="6">
        <v>10858</v>
      </c>
      <c r="B1604" s="3">
        <v>27</v>
      </c>
      <c r="C1604" s="3">
        <v>43.9</v>
      </c>
      <c r="D1604" s="3">
        <v>10</v>
      </c>
      <c r="E1604" s="4">
        <v>0</v>
      </c>
      <c r="F1604" s="5">
        <f t="shared" si="25"/>
        <v>439</v>
      </c>
    </row>
    <row r="1605" spans="1:6" x14ac:dyDescent="0.45">
      <c r="A1605" s="6">
        <v>10858</v>
      </c>
      <c r="B1605" s="3">
        <v>70</v>
      </c>
      <c r="C1605" s="3">
        <v>15</v>
      </c>
      <c r="D1605" s="3">
        <v>4</v>
      </c>
      <c r="E1605" s="4">
        <v>0</v>
      </c>
      <c r="F1605" s="5">
        <f t="shared" si="25"/>
        <v>60</v>
      </c>
    </row>
    <row r="1606" spans="1:6" x14ac:dyDescent="0.45">
      <c r="A1606" s="6">
        <v>10859</v>
      </c>
      <c r="B1606" s="3">
        <v>24</v>
      </c>
      <c r="C1606" s="3">
        <v>4.5</v>
      </c>
      <c r="D1606" s="3">
        <v>40</v>
      </c>
      <c r="E1606" s="4">
        <v>0.25</v>
      </c>
      <c r="F1606" s="5">
        <f t="shared" si="25"/>
        <v>135</v>
      </c>
    </row>
    <row r="1607" spans="1:6" x14ac:dyDescent="0.45">
      <c r="A1607" s="6">
        <v>10859</v>
      </c>
      <c r="B1607" s="3">
        <v>54</v>
      </c>
      <c r="C1607" s="3">
        <v>7.45</v>
      </c>
      <c r="D1607" s="3">
        <v>35</v>
      </c>
      <c r="E1607" s="4">
        <v>0.25</v>
      </c>
      <c r="F1607" s="5">
        <f t="shared" si="25"/>
        <v>195.5625</v>
      </c>
    </row>
    <row r="1608" spans="1:6" x14ac:dyDescent="0.45">
      <c r="A1608" s="6">
        <v>10859</v>
      </c>
      <c r="B1608" s="3">
        <v>64</v>
      </c>
      <c r="C1608" s="3">
        <v>33.25</v>
      </c>
      <c r="D1608" s="3">
        <v>30</v>
      </c>
      <c r="E1608" s="4">
        <v>0.25</v>
      </c>
      <c r="F1608" s="5">
        <f t="shared" si="25"/>
        <v>748.125</v>
      </c>
    </row>
    <row r="1609" spans="1:6" x14ac:dyDescent="0.45">
      <c r="A1609" s="6">
        <v>10860</v>
      </c>
      <c r="B1609" s="3">
        <v>51</v>
      </c>
      <c r="C1609" s="3">
        <v>53</v>
      </c>
      <c r="D1609" s="3">
        <v>3</v>
      </c>
      <c r="E1609" s="4">
        <v>0</v>
      </c>
      <c r="F1609" s="5">
        <f t="shared" si="25"/>
        <v>159</v>
      </c>
    </row>
    <row r="1610" spans="1:6" x14ac:dyDescent="0.45">
      <c r="A1610" s="6">
        <v>10860</v>
      </c>
      <c r="B1610" s="3">
        <v>76</v>
      </c>
      <c r="C1610" s="3">
        <v>18</v>
      </c>
      <c r="D1610" s="3">
        <v>20</v>
      </c>
      <c r="E1610" s="4">
        <v>0</v>
      </c>
      <c r="F1610" s="5">
        <f t="shared" si="25"/>
        <v>360</v>
      </c>
    </row>
    <row r="1611" spans="1:6" x14ac:dyDescent="0.45">
      <c r="A1611" s="6">
        <v>10861</v>
      </c>
      <c r="B1611" s="3">
        <v>17</v>
      </c>
      <c r="C1611" s="3">
        <v>39</v>
      </c>
      <c r="D1611" s="3">
        <v>42</v>
      </c>
      <c r="E1611" s="4">
        <v>0</v>
      </c>
      <c r="F1611" s="5">
        <f t="shared" si="25"/>
        <v>1638</v>
      </c>
    </row>
    <row r="1612" spans="1:6" x14ac:dyDescent="0.45">
      <c r="A1612" s="6">
        <v>10861</v>
      </c>
      <c r="B1612" s="3">
        <v>18</v>
      </c>
      <c r="C1612" s="3">
        <v>62.5</v>
      </c>
      <c r="D1612" s="3">
        <v>20</v>
      </c>
      <c r="E1612" s="4">
        <v>0</v>
      </c>
      <c r="F1612" s="5">
        <f t="shared" si="25"/>
        <v>1250</v>
      </c>
    </row>
    <row r="1613" spans="1:6" x14ac:dyDescent="0.45">
      <c r="A1613" s="6">
        <v>10861</v>
      </c>
      <c r="B1613" s="3">
        <v>21</v>
      </c>
      <c r="C1613" s="3">
        <v>10</v>
      </c>
      <c r="D1613" s="3">
        <v>40</v>
      </c>
      <c r="E1613" s="4">
        <v>0</v>
      </c>
      <c r="F1613" s="5">
        <f t="shared" si="25"/>
        <v>400</v>
      </c>
    </row>
    <row r="1614" spans="1:6" x14ac:dyDescent="0.45">
      <c r="A1614" s="6">
        <v>10861</v>
      </c>
      <c r="B1614" s="3">
        <v>33</v>
      </c>
      <c r="C1614" s="3">
        <v>2.5</v>
      </c>
      <c r="D1614" s="3">
        <v>35</v>
      </c>
      <c r="E1614" s="4">
        <v>0</v>
      </c>
      <c r="F1614" s="5">
        <f t="shared" si="25"/>
        <v>87.5</v>
      </c>
    </row>
    <row r="1615" spans="1:6" x14ac:dyDescent="0.45">
      <c r="A1615" s="6">
        <v>10861</v>
      </c>
      <c r="B1615" s="3">
        <v>62</v>
      </c>
      <c r="C1615" s="3">
        <v>49.3</v>
      </c>
      <c r="D1615" s="3">
        <v>3</v>
      </c>
      <c r="E1615" s="4">
        <v>0</v>
      </c>
      <c r="F1615" s="5">
        <f t="shared" si="25"/>
        <v>147.89999999999998</v>
      </c>
    </row>
    <row r="1616" spans="1:6" x14ac:dyDescent="0.45">
      <c r="A1616" s="6">
        <v>10862</v>
      </c>
      <c r="B1616" s="3">
        <v>11</v>
      </c>
      <c r="C1616" s="3">
        <v>21</v>
      </c>
      <c r="D1616" s="3">
        <v>25</v>
      </c>
      <c r="E1616" s="4">
        <v>0</v>
      </c>
      <c r="F1616" s="5">
        <f t="shared" si="25"/>
        <v>525</v>
      </c>
    </row>
    <row r="1617" spans="1:6" x14ac:dyDescent="0.45">
      <c r="A1617" s="6">
        <v>10862</v>
      </c>
      <c r="B1617" s="3">
        <v>52</v>
      </c>
      <c r="C1617" s="3">
        <v>7</v>
      </c>
      <c r="D1617" s="3">
        <v>8</v>
      </c>
      <c r="E1617" s="4">
        <v>0</v>
      </c>
      <c r="F1617" s="5">
        <f t="shared" si="25"/>
        <v>56</v>
      </c>
    </row>
    <row r="1618" spans="1:6" x14ac:dyDescent="0.45">
      <c r="A1618" s="6">
        <v>10863</v>
      </c>
      <c r="B1618" s="3">
        <v>1</v>
      </c>
      <c r="C1618" s="3">
        <v>18</v>
      </c>
      <c r="D1618" s="3">
        <v>20</v>
      </c>
      <c r="E1618" s="4">
        <v>0.15</v>
      </c>
      <c r="F1618" s="5">
        <f t="shared" si="25"/>
        <v>306</v>
      </c>
    </row>
    <row r="1619" spans="1:6" x14ac:dyDescent="0.45">
      <c r="A1619" s="6">
        <v>10863</v>
      </c>
      <c r="B1619" s="3">
        <v>58</v>
      </c>
      <c r="C1619" s="3">
        <v>13.25</v>
      </c>
      <c r="D1619" s="3">
        <v>12</v>
      </c>
      <c r="E1619" s="4">
        <v>0.15</v>
      </c>
      <c r="F1619" s="5">
        <f t="shared" si="25"/>
        <v>135.15</v>
      </c>
    </row>
    <row r="1620" spans="1:6" x14ac:dyDescent="0.45">
      <c r="A1620" s="6">
        <v>10864</v>
      </c>
      <c r="B1620" s="3">
        <v>35</v>
      </c>
      <c r="C1620" s="3">
        <v>18</v>
      </c>
      <c r="D1620" s="3">
        <v>4</v>
      </c>
      <c r="E1620" s="4">
        <v>0</v>
      </c>
      <c r="F1620" s="5">
        <f t="shared" si="25"/>
        <v>72</v>
      </c>
    </row>
    <row r="1621" spans="1:6" x14ac:dyDescent="0.45">
      <c r="A1621" s="6">
        <v>10864</v>
      </c>
      <c r="B1621" s="3">
        <v>67</v>
      </c>
      <c r="C1621" s="3">
        <v>14</v>
      </c>
      <c r="D1621" s="3">
        <v>15</v>
      </c>
      <c r="E1621" s="4">
        <v>0</v>
      </c>
      <c r="F1621" s="5">
        <f t="shared" si="25"/>
        <v>210</v>
      </c>
    </row>
    <row r="1622" spans="1:6" x14ac:dyDescent="0.45">
      <c r="A1622" s="6">
        <v>10865</v>
      </c>
      <c r="B1622" s="3">
        <v>38</v>
      </c>
      <c r="C1622" s="3">
        <v>263.5</v>
      </c>
      <c r="D1622" s="3">
        <v>60</v>
      </c>
      <c r="E1622" s="4">
        <v>0.05</v>
      </c>
      <c r="F1622" s="5">
        <f t="shared" si="25"/>
        <v>15019.5</v>
      </c>
    </row>
    <row r="1623" spans="1:6" x14ac:dyDescent="0.45">
      <c r="A1623" s="6">
        <v>10865</v>
      </c>
      <c r="B1623" s="3">
        <v>39</v>
      </c>
      <c r="C1623" s="3">
        <v>18</v>
      </c>
      <c r="D1623" s="3">
        <v>80</v>
      </c>
      <c r="E1623" s="4">
        <v>0.05</v>
      </c>
      <c r="F1623" s="5">
        <f t="shared" si="25"/>
        <v>1368</v>
      </c>
    </row>
    <row r="1624" spans="1:6" x14ac:dyDescent="0.45">
      <c r="A1624" s="6">
        <v>10866</v>
      </c>
      <c r="B1624" s="3">
        <v>2</v>
      </c>
      <c r="C1624" s="3">
        <v>19</v>
      </c>
      <c r="D1624" s="3">
        <v>21</v>
      </c>
      <c r="E1624" s="4">
        <v>0.25</v>
      </c>
      <c r="F1624" s="5">
        <f t="shared" si="25"/>
        <v>299.25</v>
      </c>
    </row>
    <row r="1625" spans="1:6" x14ac:dyDescent="0.45">
      <c r="A1625" s="6">
        <v>10866</v>
      </c>
      <c r="B1625" s="3">
        <v>24</v>
      </c>
      <c r="C1625" s="3">
        <v>4.5</v>
      </c>
      <c r="D1625" s="3">
        <v>6</v>
      </c>
      <c r="E1625" s="4">
        <v>0.25</v>
      </c>
      <c r="F1625" s="5">
        <f t="shared" si="25"/>
        <v>20.25</v>
      </c>
    </row>
    <row r="1626" spans="1:6" x14ac:dyDescent="0.45">
      <c r="A1626" s="6">
        <v>10866</v>
      </c>
      <c r="B1626" s="3">
        <v>30</v>
      </c>
      <c r="C1626" s="3">
        <v>25.89</v>
      </c>
      <c r="D1626" s="3">
        <v>40</v>
      </c>
      <c r="E1626" s="4">
        <v>0.25</v>
      </c>
      <c r="F1626" s="5">
        <f t="shared" si="25"/>
        <v>776.69999999999993</v>
      </c>
    </row>
    <row r="1627" spans="1:6" x14ac:dyDescent="0.45">
      <c r="A1627" s="6">
        <v>10867</v>
      </c>
      <c r="B1627" s="3">
        <v>53</v>
      </c>
      <c r="C1627" s="3">
        <v>32.799999999999997</v>
      </c>
      <c r="D1627" s="3">
        <v>3</v>
      </c>
      <c r="E1627" s="4">
        <v>0</v>
      </c>
      <c r="F1627" s="5">
        <f t="shared" si="25"/>
        <v>98.399999999999991</v>
      </c>
    </row>
    <row r="1628" spans="1:6" x14ac:dyDescent="0.45">
      <c r="A1628" s="6">
        <v>10868</v>
      </c>
      <c r="B1628" s="3">
        <v>26</v>
      </c>
      <c r="C1628" s="3">
        <v>31.23</v>
      </c>
      <c r="D1628" s="3">
        <v>20</v>
      </c>
      <c r="E1628" s="4">
        <v>0</v>
      </c>
      <c r="F1628" s="5">
        <f t="shared" si="25"/>
        <v>624.6</v>
      </c>
    </row>
    <row r="1629" spans="1:6" x14ac:dyDescent="0.45">
      <c r="A1629" s="6">
        <v>10868</v>
      </c>
      <c r="B1629" s="3">
        <v>35</v>
      </c>
      <c r="C1629" s="3">
        <v>18</v>
      </c>
      <c r="D1629" s="3">
        <v>30</v>
      </c>
      <c r="E1629" s="4">
        <v>0</v>
      </c>
      <c r="F1629" s="5">
        <f t="shared" si="25"/>
        <v>540</v>
      </c>
    </row>
    <row r="1630" spans="1:6" x14ac:dyDescent="0.45">
      <c r="A1630" s="6">
        <v>10868</v>
      </c>
      <c r="B1630" s="3">
        <v>49</v>
      </c>
      <c r="C1630" s="3">
        <v>20</v>
      </c>
      <c r="D1630" s="3">
        <v>42</v>
      </c>
      <c r="E1630" s="4">
        <v>0.1</v>
      </c>
      <c r="F1630" s="5">
        <f t="shared" si="25"/>
        <v>756</v>
      </c>
    </row>
    <row r="1631" spans="1:6" x14ac:dyDescent="0.45">
      <c r="A1631" s="6">
        <v>10869</v>
      </c>
      <c r="B1631" s="3">
        <v>1</v>
      </c>
      <c r="C1631" s="3">
        <v>18</v>
      </c>
      <c r="D1631" s="3">
        <v>40</v>
      </c>
      <c r="E1631" s="4">
        <v>0</v>
      </c>
      <c r="F1631" s="5">
        <f t="shared" si="25"/>
        <v>720</v>
      </c>
    </row>
    <row r="1632" spans="1:6" x14ac:dyDescent="0.45">
      <c r="A1632" s="6">
        <v>10869</v>
      </c>
      <c r="B1632" s="3">
        <v>11</v>
      </c>
      <c r="C1632" s="3">
        <v>21</v>
      </c>
      <c r="D1632" s="3">
        <v>10</v>
      </c>
      <c r="E1632" s="4">
        <v>0</v>
      </c>
      <c r="F1632" s="5">
        <f t="shared" si="25"/>
        <v>210</v>
      </c>
    </row>
    <row r="1633" spans="1:6" x14ac:dyDescent="0.45">
      <c r="A1633" s="6">
        <v>10869</v>
      </c>
      <c r="B1633" s="3">
        <v>23</v>
      </c>
      <c r="C1633" s="3">
        <v>9</v>
      </c>
      <c r="D1633" s="3">
        <v>50</v>
      </c>
      <c r="E1633" s="4">
        <v>0</v>
      </c>
      <c r="F1633" s="5">
        <f t="shared" si="25"/>
        <v>450</v>
      </c>
    </row>
    <row r="1634" spans="1:6" x14ac:dyDescent="0.45">
      <c r="A1634" s="6">
        <v>10869</v>
      </c>
      <c r="B1634" s="3">
        <v>68</v>
      </c>
      <c r="C1634" s="3">
        <v>12.5</v>
      </c>
      <c r="D1634" s="3">
        <v>20</v>
      </c>
      <c r="E1634" s="4">
        <v>0</v>
      </c>
      <c r="F1634" s="5">
        <f t="shared" si="25"/>
        <v>250</v>
      </c>
    </row>
    <row r="1635" spans="1:6" x14ac:dyDescent="0.45">
      <c r="A1635" s="6">
        <v>10870</v>
      </c>
      <c r="B1635" s="3">
        <v>35</v>
      </c>
      <c r="C1635" s="3">
        <v>18</v>
      </c>
      <c r="D1635" s="3">
        <v>3</v>
      </c>
      <c r="E1635" s="4">
        <v>0</v>
      </c>
      <c r="F1635" s="5">
        <f t="shared" si="25"/>
        <v>54</v>
      </c>
    </row>
    <row r="1636" spans="1:6" x14ac:dyDescent="0.45">
      <c r="A1636" s="6">
        <v>10870</v>
      </c>
      <c r="B1636" s="3">
        <v>51</v>
      </c>
      <c r="C1636" s="3">
        <v>53</v>
      </c>
      <c r="D1636" s="3">
        <v>2</v>
      </c>
      <c r="E1636" s="4">
        <v>0</v>
      </c>
      <c r="F1636" s="5">
        <f t="shared" si="25"/>
        <v>106</v>
      </c>
    </row>
    <row r="1637" spans="1:6" x14ac:dyDescent="0.45">
      <c r="A1637" s="6">
        <v>10871</v>
      </c>
      <c r="B1637" s="3">
        <v>6</v>
      </c>
      <c r="C1637" s="3">
        <v>25</v>
      </c>
      <c r="D1637" s="3">
        <v>50</v>
      </c>
      <c r="E1637" s="4">
        <v>0.05</v>
      </c>
      <c r="F1637" s="5">
        <f t="shared" si="25"/>
        <v>1187.5</v>
      </c>
    </row>
    <row r="1638" spans="1:6" x14ac:dyDescent="0.45">
      <c r="A1638" s="6">
        <v>10871</v>
      </c>
      <c r="B1638" s="3">
        <v>16</v>
      </c>
      <c r="C1638" s="3">
        <v>17.45</v>
      </c>
      <c r="D1638" s="3">
        <v>12</v>
      </c>
      <c r="E1638" s="4">
        <v>0.05</v>
      </c>
      <c r="F1638" s="5">
        <f t="shared" si="25"/>
        <v>198.92999999999998</v>
      </c>
    </row>
    <row r="1639" spans="1:6" x14ac:dyDescent="0.45">
      <c r="A1639" s="6">
        <v>10871</v>
      </c>
      <c r="B1639" s="3">
        <v>17</v>
      </c>
      <c r="C1639" s="3">
        <v>39</v>
      </c>
      <c r="D1639" s="3">
        <v>16</v>
      </c>
      <c r="E1639" s="4">
        <v>0.05</v>
      </c>
      <c r="F1639" s="5">
        <f t="shared" si="25"/>
        <v>592.79999999999995</v>
      </c>
    </row>
    <row r="1640" spans="1:6" x14ac:dyDescent="0.45">
      <c r="A1640" s="6">
        <v>10872</v>
      </c>
      <c r="B1640" s="3">
        <v>55</v>
      </c>
      <c r="C1640" s="3">
        <v>24</v>
      </c>
      <c r="D1640" s="3">
        <v>10</v>
      </c>
      <c r="E1640" s="4">
        <v>0.05</v>
      </c>
      <c r="F1640" s="5">
        <f t="shared" si="25"/>
        <v>228</v>
      </c>
    </row>
    <row r="1641" spans="1:6" x14ac:dyDescent="0.45">
      <c r="A1641" s="6">
        <v>10872</v>
      </c>
      <c r="B1641" s="3">
        <v>62</v>
      </c>
      <c r="C1641" s="3">
        <v>49.3</v>
      </c>
      <c r="D1641" s="3">
        <v>20</v>
      </c>
      <c r="E1641" s="4">
        <v>0.05</v>
      </c>
      <c r="F1641" s="5">
        <f t="shared" si="25"/>
        <v>936.69999999999993</v>
      </c>
    </row>
    <row r="1642" spans="1:6" x14ac:dyDescent="0.45">
      <c r="A1642" s="6">
        <v>10872</v>
      </c>
      <c r="B1642" s="3">
        <v>64</v>
      </c>
      <c r="C1642" s="3">
        <v>33.25</v>
      </c>
      <c r="D1642" s="3">
        <v>15</v>
      </c>
      <c r="E1642" s="4">
        <v>0.05</v>
      </c>
      <c r="F1642" s="5">
        <f t="shared" si="25"/>
        <v>473.8125</v>
      </c>
    </row>
    <row r="1643" spans="1:6" x14ac:dyDescent="0.45">
      <c r="A1643" s="6">
        <v>10872</v>
      </c>
      <c r="B1643" s="3">
        <v>65</v>
      </c>
      <c r="C1643" s="3">
        <v>21.05</v>
      </c>
      <c r="D1643" s="3">
        <v>21</v>
      </c>
      <c r="E1643" s="4">
        <v>0.05</v>
      </c>
      <c r="F1643" s="5">
        <f t="shared" si="25"/>
        <v>419.94749999999999</v>
      </c>
    </row>
    <row r="1644" spans="1:6" x14ac:dyDescent="0.45">
      <c r="A1644" s="6">
        <v>10873</v>
      </c>
      <c r="B1644" s="3">
        <v>21</v>
      </c>
      <c r="C1644" s="3">
        <v>10</v>
      </c>
      <c r="D1644" s="3">
        <v>20</v>
      </c>
      <c r="E1644" s="4">
        <v>0</v>
      </c>
      <c r="F1644" s="5">
        <f t="shared" si="25"/>
        <v>200</v>
      </c>
    </row>
    <row r="1645" spans="1:6" x14ac:dyDescent="0.45">
      <c r="A1645" s="6">
        <v>10873</v>
      </c>
      <c r="B1645" s="3">
        <v>28</v>
      </c>
      <c r="C1645" s="3">
        <v>45.6</v>
      </c>
      <c r="D1645" s="3">
        <v>3</v>
      </c>
      <c r="E1645" s="4">
        <v>0</v>
      </c>
      <c r="F1645" s="5">
        <f t="shared" si="25"/>
        <v>136.80000000000001</v>
      </c>
    </row>
    <row r="1646" spans="1:6" x14ac:dyDescent="0.45">
      <c r="A1646" s="6">
        <v>10874</v>
      </c>
      <c r="B1646" s="3">
        <v>10</v>
      </c>
      <c r="C1646" s="3">
        <v>31</v>
      </c>
      <c r="D1646" s="3">
        <v>10</v>
      </c>
      <c r="E1646" s="4">
        <v>0</v>
      </c>
      <c r="F1646" s="5">
        <f t="shared" si="25"/>
        <v>310</v>
      </c>
    </row>
    <row r="1647" spans="1:6" x14ac:dyDescent="0.45">
      <c r="A1647" s="6">
        <v>10875</v>
      </c>
      <c r="B1647" s="3">
        <v>19</v>
      </c>
      <c r="C1647" s="3">
        <v>9.1999999999999993</v>
      </c>
      <c r="D1647" s="3">
        <v>25</v>
      </c>
      <c r="E1647" s="4">
        <v>0</v>
      </c>
      <c r="F1647" s="5">
        <f t="shared" si="25"/>
        <v>229.99999999999997</v>
      </c>
    </row>
    <row r="1648" spans="1:6" x14ac:dyDescent="0.45">
      <c r="A1648" s="6">
        <v>10875</v>
      </c>
      <c r="B1648" s="3">
        <v>47</v>
      </c>
      <c r="C1648" s="3">
        <v>9.5</v>
      </c>
      <c r="D1648" s="3">
        <v>21</v>
      </c>
      <c r="E1648" s="4">
        <v>0.1</v>
      </c>
      <c r="F1648" s="5">
        <f t="shared" si="25"/>
        <v>179.55</v>
      </c>
    </row>
    <row r="1649" spans="1:6" x14ac:dyDescent="0.45">
      <c r="A1649" s="6">
        <v>10875</v>
      </c>
      <c r="B1649" s="3">
        <v>49</v>
      </c>
      <c r="C1649" s="3">
        <v>20</v>
      </c>
      <c r="D1649" s="3">
        <v>15</v>
      </c>
      <c r="E1649" s="4">
        <v>0</v>
      </c>
      <c r="F1649" s="5">
        <f t="shared" si="25"/>
        <v>300</v>
      </c>
    </row>
    <row r="1650" spans="1:6" x14ac:dyDescent="0.45">
      <c r="A1650" s="6">
        <v>10876</v>
      </c>
      <c r="B1650" s="3">
        <v>46</v>
      </c>
      <c r="C1650" s="3">
        <v>12</v>
      </c>
      <c r="D1650" s="3">
        <v>21</v>
      </c>
      <c r="E1650" s="4">
        <v>0</v>
      </c>
      <c r="F1650" s="5">
        <f t="shared" si="25"/>
        <v>252</v>
      </c>
    </row>
    <row r="1651" spans="1:6" x14ac:dyDescent="0.45">
      <c r="A1651" s="6">
        <v>10876</v>
      </c>
      <c r="B1651" s="3">
        <v>64</v>
      </c>
      <c r="C1651" s="3">
        <v>33.25</v>
      </c>
      <c r="D1651" s="3">
        <v>20</v>
      </c>
      <c r="E1651" s="4">
        <v>0</v>
      </c>
      <c r="F1651" s="5">
        <f t="shared" si="25"/>
        <v>665</v>
      </c>
    </row>
    <row r="1652" spans="1:6" x14ac:dyDescent="0.45">
      <c r="A1652" s="6">
        <v>10877</v>
      </c>
      <c r="B1652" s="3">
        <v>16</v>
      </c>
      <c r="C1652" s="3">
        <v>17.45</v>
      </c>
      <c r="D1652" s="3">
        <v>30</v>
      </c>
      <c r="E1652" s="4">
        <v>0.25</v>
      </c>
      <c r="F1652" s="5">
        <f t="shared" si="25"/>
        <v>392.625</v>
      </c>
    </row>
    <row r="1653" spans="1:6" x14ac:dyDescent="0.45">
      <c r="A1653" s="6">
        <v>10877</v>
      </c>
      <c r="B1653" s="3">
        <v>18</v>
      </c>
      <c r="C1653" s="3">
        <v>62.5</v>
      </c>
      <c r="D1653" s="3">
        <v>25</v>
      </c>
      <c r="E1653" s="4">
        <v>0</v>
      </c>
      <c r="F1653" s="5">
        <f t="shared" si="25"/>
        <v>1562.5</v>
      </c>
    </row>
    <row r="1654" spans="1:6" x14ac:dyDescent="0.45">
      <c r="A1654" s="6">
        <v>10878</v>
      </c>
      <c r="B1654" s="3">
        <v>20</v>
      </c>
      <c r="C1654" s="3">
        <v>81</v>
      </c>
      <c r="D1654" s="3">
        <v>20</v>
      </c>
      <c r="E1654" s="4">
        <v>0.05</v>
      </c>
      <c r="F1654" s="5">
        <f t="shared" si="25"/>
        <v>1539</v>
      </c>
    </row>
    <row r="1655" spans="1:6" x14ac:dyDescent="0.45">
      <c r="A1655" s="6">
        <v>10879</v>
      </c>
      <c r="B1655" s="3">
        <v>40</v>
      </c>
      <c r="C1655" s="3">
        <v>18.399999999999999</v>
      </c>
      <c r="D1655" s="3">
        <v>12</v>
      </c>
      <c r="E1655" s="4">
        <v>0</v>
      </c>
      <c r="F1655" s="5">
        <f t="shared" si="25"/>
        <v>220.79999999999998</v>
      </c>
    </row>
    <row r="1656" spans="1:6" x14ac:dyDescent="0.45">
      <c r="A1656" s="6">
        <v>10879</v>
      </c>
      <c r="B1656" s="3">
        <v>65</v>
      </c>
      <c r="C1656" s="3">
        <v>21.05</v>
      </c>
      <c r="D1656" s="3">
        <v>10</v>
      </c>
      <c r="E1656" s="4">
        <v>0</v>
      </c>
      <c r="F1656" s="5">
        <f t="shared" si="25"/>
        <v>210.5</v>
      </c>
    </row>
    <row r="1657" spans="1:6" x14ac:dyDescent="0.45">
      <c r="A1657" s="6">
        <v>10879</v>
      </c>
      <c r="B1657" s="3">
        <v>76</v>
      </c>
      <c r="C1657" s="3">
        <v>18</v>
      </c>
      <c r="D1657" s="3">
        <v>10</v>
      </c>
      <c r="E1657" s="4">
        <v>0</v>
      </c>
      <c r="F1657" s="5">
        <f t="shared" si="25"/>
        <v>180</v>
      </c>
    </row>
    <row r="1658" spans="1:6" x14ac:dyDescent="0.45">
      <c r="A1658" s="6">
        <v>10880</v>
      </c>
      <c r="B1658" s="3">
        <v>23</v>
      </c>
      <c r="C1658" s="3">
        <v>9</v>
      </c>
      <c r="D1658" s="3">
        <v>30</v>
      </c>
      <c r="E1658" s="4">
        <v>0.2</v>
      </c>
      <c r="F1658" s="5">
        <f t="shared" si="25"/>
        <v>216</v>
      </c>
    </row>
    <row r="1659" spans="1:6" x14ac:dyDescent="0.45">
      <c r="A1659" s="6">
        <v>10880</v>
      </c>
      <c r="B1659" s="3">
        <v>61</v>
      </c>
      <c r="C1659" s="3">
        <v>28.5</v>
      </c>
      <c r="D1659" s="3">
        <v>30</v>
      </c>
      <c r="E1659" s="4">
        <v>0.2</v>
      </c>
      <c r="F1659" s="5">
        <f t="shared" si="25"/>
        <v>684</v>
      </c>
    </row>
    <row r="1660" spans="1:6" x14ac:dyDescent="0.45">
      <c r="A1660" s="6">
        <v>10880</v>
      </c>
      <c r="B1660" s="3">
        <v>70</v>
      </c>
      <c r="C1660" s="3">
        <v>15</v>
      </c>
      <c r="D1660" s="3">
        <v>50</v>
      </c>
      <c r="E1660" s="4">
        <v>0.2</v>
      </c>
      <c r="F1660" s="5">
        <f t="shared" si="25"/>
        <v>600</v>
      </c>
    </row>
    <row r="1661" spans="1:6" x14ac:dyDescent="0.45">
      <c r="A1661" s="6">
        <v>10881</v>
      </c>
      <c r="B1661" s="3">
        <v>73</v>
      </c>
      <c r="C1661" s="3">
        <v>15</v>
      </c>
      <c r="D1661" s="3">
        <v>10</v>
      </c>
      <c r="E1661" s="4">
        <v>0</v>
      </c>
      <c r="F1661" s="5">
        <f t="shared" si="25"/>
        <v>150</v>
      </c>
    </row>
    <row r="1662" spans="1:6" x14ac:dyDescent="0.45">
      <c r="A1662" s="6">
        <v>10882</v>
      </c>
      <c r="B1662" s="3">
        <v>42</v>
      </c>
      <c r="C1662" s="3">
        <v>14</v>
      </c>
      <c r="D1662" s="3">
        <v>25</v>
      </c>
      <c r="E1662" s="4">
        <v>0</v>
      </c>
      <c r="F1662" s="5">
        <f t="shared" si="25"/>
        <v>350</v>
      </c>
    </row>
    <row r="1663" spans="1:6" x14ac:dyDescent="0.45">
      <c r="A1663" s="6">
        <v>10882</v>
      </c>
      <c r="B1663" s="3">
        <v>49</v>
      </c>
      <c r="C1663" s="3">
        <v>20</v>
      </c>
      <c r="D1663" s="3">
        <v>20</v>
      </c>
      <c r="E1663" s="4">
        <v>0.15</v>
      </c>
      <c r="F1663" s="5">
        <f t="shared" si="25"/>
        <v>340</v>
      </c>
    </row>
    <row r="1664" spans="1:6" x14ac:dyDescent="0.45">
      <c r="A1664" s="6">
        <v>10882</v>
      </c>
      <c r="B1664" s="3">
        <v>54</v>
      </c>
      <c r="C1664" s="3">
        <v>7.45</v>
      </c>
      <c r="D1664" s="3">
        <v>32</v>
      </c>
      <c r="E1664" s="4">
        <v>0.15</v>
      </c>
      <c r="F1664" s="5">
        <f t="shared" si="25"/>
        <v>202.64</v>
      </c>
    </row>
    <row r="1665" spans="1:6" x14ac:dyDescent="0.45">
      <c r="A1665" s="6">
        <v>10883</v>
      </c>
      <c r="B1665" s="3">
        <v>24</v>
      </c>
      <c r="C1665" s="3">
        <v>4.5</v>
      </c>
      <c r="D1665" s="3">
        <v>8</v>
      </c>
      <c r="E1665" s="4">
        <v>0</v>
      </c>
      <c r="F1665" s="5">
        <f t="shared" si="25"/>
        <v>36</v>
      </c>
    </row>
    <row r="1666" spans="1:6" x14ac:dyDescent="0.45">
      <c r="A1666" s="6">
        <v>10884</v>
      </c>
      <c r="B1666" s="3">
        <v>21</v>
      </c>
      <c r="C1666" s="3">
        <v>10</v>
      </c>
      <c r="D1666" s="3">
        <v>40</v>
      </c>
      <c r="E1666" s="4">
        <v>0.05</v>
      </c>
      <c r="F1666" s="5">
        <f t="shared" ref="F1666:F1729" si="26">C1666*D1666*(1-E1666)</f>
        <v>380</v>
      </c>
    </row>
    <row r="1667" spans="1:6" x14ac:dyDescent="0.45">
      <c r="A1667" s="6">
        <v>10884</v>
      </c>
      <c r="B1667" s="3">
        <v>56</v>
      </c>
      <c r="C1667" s="3">
        <v>38</v>
      </c>
      <c r="D1667" s="3">
        <v>21</v>
      </c>
      <c r="E1667" s="4">
        <v>0.05</v>
      </c>
      <c r="F1667" s="5">
        <f t="shared" si="26"/>
        <v>758.09999999999991</v>
      </c>
    </row>
    <row r="1668" spans="1:6" x14ac:dyDescent="0.45">
      <c r="A1668" s="6">
        <v>10884</v>
      </c>
      <c r="B1668" s="3">
        <v>65</v>
      </c>
      <c r="C1668" s="3">
        <v>21.05</v>
      </c>
      <c r="D1668" s="3">
        <v>12</v>
      </c>
      <c r="E1668" s="4">
        <v>0.05</v>
      </c>
      <c r="F1668" s="5">
        <f t="shared" si="26"/>
        <v>239.97</v>
      </c>
    </row>
    <row r="1669" spans="1:6" x14ac:dyDescent="0.45">
      <c r="A1669" s="6">
        <v>10885</v>
      </c>
      <c r="B1669" s="3">
        <v>2</v>
      </c>
      <c r="C1669" s="3">
        <v>19</v>
      </c>
      <c r="D1669" s="3">
        <v>20</v>
      </c>
      <c r="E1669" s="4">
        <v>0</v>
      </c>
      <c r="F1669" s="5">
        <f t="shared" si="26"/>
        <v>380</v>
      </c>
    </row>
    <row r="1670" spans="1:6" x14ac:dyDescent="0.45">
      <c r="A1670" s="6">
        <v>10885</v>
      </c>
      <c r="B1670" s="3">
        <v>24</v>
      </c>
      <c r="C1670" s="3">
        <v>4.5</v>
      </c>
      <c r="D1670" s="3">
        <v>12</v>
      </c>
      <c r="E1670" s="4">
        <v>0</v>
      </c>
      <c r="F1670" s="5">
        <f t="shared" si="26"/>
        <v>54</v>
      </c>
    </row>
    <row r="1671" spans="1:6" x14ac:dyDescent="0.45">
      <c r="A1671" s="6">
        <v>10885</v>
      </c>
      <c r="B1671" s="3">
        <v>70</v>
      </c>
      <c r="C1671" s="3">
        <v>15</v>
      </c>
      <c r="D1671" s="3">
        <v>30</v>
      </c>
      <c r="E1671" s="4">
        <v>0</v>
      </c>
      <c r="F1671" s="5">
        <f t="shared" si="26"/>
        <v>450</v>
      </c>
    </row>
    <row r="1672" spans="1:6" x14ac:dyDescent="0.45">
      <c r="A1672" s="6">
        <v>10885</v>
      </c>
      <c r="B1672" s="3">
        <v>77</v>
      </c>
      <c r="C1672" s="3">
        <v>13</v>
      </c>
      <c r="D1672" s="3">
        <v>25</v>
      </c>
      <c r="E1672" s="4">
        <v>0</v>
      </c>
      <c r="F1672" s="5">
        <f t="shared" si="26"/>
        <v>325</v>
      </c>
    </row>
    <row r="1673" spans="1:6" x14ac:dyDescent="0.45">
      <c r="A1673" s="6">
        <v>10886</v>
      </c>
      <c r="B1673" s="3">
        <v>10</v>
      </c>
      <c r="C1673" s="3">
        <v>31</v>
      </c>
      <c r="D1673" s="3">
        <v>70</v>
      </c>
      <c r="E1673" s="4">
        <v>0</v>
      </c>
      <c r="F1673" s="5">
        <f t="shared" si="26"/>
        <v>2170</v>
      </c>
    </row>
    <row r="1674" spans="1:6" x14ac:dyDescent="0.45">
      <c r="A1674" s="6">
        <v>10886</v>
      </c>
      <c r="B1674" s="3">
        <v>31</v>
      </c>
      <c r="C1674" s="3">
        <v>12.5</v>
      </c>
      <c r="D1674" s="3">
        <v>35</v>
      </c>
      <c r="E1674" s="4">
        <v>0</v>
      </c>
      <c r="F1674" s="5">
        <f t="shared" si="26"/>
        <v>437.5</v>
      </c>
    </row>
    <row r="1675" spans="1:6" x14ac:dyDescent="0.45">
      <c r="A1675" s="6">
        <v>10886</v>
      </c>
      <c r="B1675" s="3">
        <v>77</v>
      </c>
      <c r="C1675" s="3">
        <v>13</v>
      </c>
      <c r="D1675" s="3">
        <v>40</v>
      </c>
      <c r="E1675" s="4">
        <v>0</v>
      </c>
      <c r="F1675" s="5">
        <f t="shared" si="26"/>
        <v>520</v>
      </c>
    </row>
    <row r="1676" spans="1:6" x14ac:dyDescent="0.45">
      <c r="A1676" s="6">
        <v>10887</v>
      </c>
      <c r="B1676" s="3">
        <v>25</v>
      </c>
      <c r="C1676" s="3">
        <v>14</v>
      </c>
      <c r="D1676" s="3">
        <v>5</v>
      </c>
      <c r="E1676" s="4">
        <v>0</v>
      </c>
      <c r="F1676" s="5">
        <f t="shared" si="26"/>
        <v>70</v>
      </c>
    </row>
    <row r="1677" spans="1:6" x14ac:dyDescent="0.45">
      <c r="A1677" s="6">
        <v>10888</v>
      </c>
      <c r="B1677" s="3">
        <v>2</v>
      </c>
      <c r="C1677" s="3">
        <v>19</v>
      </c>
      <c r="D1677" s="3">
        <v>20</v>
      </c>
      <c r="E1677" s="4">
        <v>0</v>
      </c>
      <c r="F1677" s="5">
        <f t="shared" si="26"/>
        <v>380</v>
      </c>
    </row>
    <row r="1678" spans="1:6" x14ac:dyDescent="0.45">
      <c r="A1678" s="6">
        <v>10888</v>
      </c>
      <c r="B1678" s="3">
        <v>68</v>
      </c>
      <c r="C1678" s="3">
        <v>12.5</v>
      </c>
      <c r="D1678" s="3">
        <v>18</v>
      </c>
      <c r="E1678" s="4">
        <v>0</v>
      </c>
      <c r="F1678" s="5">
        <f t="shared" si="26"/>
        <v>225</v>
      </c>
    </row>
    <row r="1679" spans="1:6" x14ac:dyDescent="0.45">
      <c r="A1679" s="6">
        <v>10889</v>
      </c>
      <c r="B1679" s="3">
        <v>11</v>
      </c>
      <c r="C1679" s="3">
        <v>21</v>
      </c>
      <c r="D1679" s="3">
        <v>40</v>
      </c>
      <c r="E1679" s="4">
        <v>0</v>
      </c>
      <c r="F1679" s="5">
        <f t="shared" si="26"/>
        <v>840</v>
      </c>
    </row>
    <row r="1680" spans="1:6" x14ac:dyDescent="0.45">
      <c r="A1680" s="6">
        <v>10889</v>
      </c>
      <c r="B1680" s="3">
        <v>38</v>
      </c>
      <c r="C1680" s="3">
        <v>263.5</v>
      </c>
      <c r="D1680" s="3">
        <v>40</v>
      </c>
      <c r="E1680" s="4">
        <v>0</v>
      </c>
      <c r="F1680" s="5">
        <f t="shared" si="26"/>
        <v>10540</v>
      </c>
    </row>
    <row r="1681" spans="1:6" x14ac:dyDescent="0.45">
      <c r="A1681" s="6">
        <v>10890</v>
      </c>
      <c r="B1681" s="3">
        <v>17</v>
      </c>
      <c r="C1681" s="3">
        <v>39</v>
      </c>
      <c r="D1681" s="3">
        <v>15</v>
      </c>
      <c r="E1681" s="4">
        <v>0</v>
      </c>
      <c r="F1681" s="5">
        <f t="shared" si="26"/>
        <v>585</v>
      </c>
    </row>
    <row r="1682" spans="1:6" x14ac:dyDescent="0.45">
      <c r="A1682" s="6">
        <v>10890</v>
      </c>
      <c r="B1682" s="3">
        <v>34</v>
      </c>
      <c r="C1682" s="3">
        <v>14</v>
      </c>
      <c r="D1682" s="3">
        <v>10</v>
      </c>
      <c r="E1682" s="4">
        <v>0</v>
      </c>
      <c r="F1682" s="5">
        <f t="shared" si="26"/>
        <v>140</v>
      </c>
    </row>
    <row r="1683" spans="1:6" x14ac:dyDescent="0.45">
      <c r="A1683" s="6">
        <v>10890</v>
      </c>
      <c r="B1683" s="3">
        <v>41</v>
      </c>
      <c r="C1683" s="3">
        <v>9.65</v>
      </c>
      <c r="D1683" s="3">
        <v>14</v>
      </c>
      <c r="E1683" s="4">
        <v>0</v>
      </c>
      <c r="F1683" s="5">
        <f t="shared" si="26"/>
        <v>135.1</v>
      </c>
    </row>
    <row r="1684" spans="1:6" x14ac:dyDescent="0.45">
      <c r="A1684" s="6">
        <v>10891</v>
      </c>
      <c r="B1684" s="3">
        <v>30</v>
      </c>
      <c r="C1684" s="3">
        <v>25.89</v>
      </c>
      <c r="D1684" s="3">
        <v>15</v>
      </c>
      <c r="E1684" s="4">
        <v>0.05</v>
      </c>
      <c r="F1684" s="5">
        <f t="shared" si="26"/>
        <v>368.9325</v>
      </c>
    </row>
    <row r="1685" spans="1:6" x14ac:dyDescent="0.45">
      <c r="A1685" s="6">
        <v>10892</v>
      </c>
      <c r="B1685" s="3">
        <v>59</v>
      </c>
      <c r="C1685" s="3">
        <v>55</v>
      </c>
      <c r="D1685" s="3">
        <v>40</v>
      </c>
      <c r="E1685" s="4">
        <v>0.05</v>
      </c>
      <c r="F1685" s="5">
        <f t="shared" si="26"/>
        <v>2090</v>
      </c>
    </row>
    <row r="1686" spans="1:6" x14ac:dyDescent="0.45">
      <c r="A1686" s="6">
        <v>10893</v>
      </c>
      <c r="B1686" s="3">
        <v>8</v>
      </c>
      <c r="C1686" s="3">
        <v>40</v>
      </c>
      <c r="D1686" s="3">
        <v>30</v>
      </c>
      <c r="E1686" s="4">
        <v>0</v>
      </c>
      <c r="F1686" s="5">
        <f t="shared" si="26"/>
        <v>1200</v>
      </c>
    </row>
    <row r="1687" spans="1:6" x14ac:dyDescent="0.45">
      <c r="A1687" s="6">
        <v>10893</v>
      </c>
      <c r="B1687" s="3">
        <v>24</v>
      </c>
      <c r="C1687" s="3">
        <v>4.5</v>
      </c>
      <c r="D1687" s="3">
        <v>10</v>
      </c>
      <c r="E1687" s="4">
        <v>0</v>
      </c>
      <c r="F1687" s="5">
        <f t="shared" si="26"/>
        <v>45</v>
      </c>
    </row>
    <row r="1688" spans="1:6" x14ac:dyDescent="0.45">
      <c r="A1688" s="6">
        <v>10893</v>
      </c>
      <c r="B1688" s="3">
        <v>29</v>
      </c>
      <c r="C1688" s="3">
        <v>123.79</v>
      </c>
      <c r="D1688" s="3">
        <v>24</v>
      </c>
      <c r="E1688" s="4">
        <v>0</v>
      </c>
      <c r="F1688" s="5">
        <f t="shared" si="26"/>
        <v>2970.96</v>
      </c>
    </row>
    <row r="1689" spans="1:6" x14ac:dyDescent="0.45">
      <c r="A1689" s="6">
        <v>10893</v>
      </c>
      <c r="B1689" s="3">
        <v>30</v>
      </c>
      <c r="C1689" s="3">
        <v>25.89</v>
      </c>
      <c r="D1689" s="3">
        <v>35</v>
      </c>
      <c r="E1689" s="4">
        <v>0</v>
      </c>
      <c r="F1689" s="5">
        <f t="shared" si="26"/>
        <v>906.15</v>
      </c>
    </row>
    <row r="1690" spans="1:6" x14ac:dyDescent="0.45">
      <c r="A1690" s="6">
        <v>10893</v>
      </c>
      <c r="B1690" s="3">
        <v>36</v>
      </c>
      <c r="C1690" s="3">
        <v>19</v>
      </c>
      <c r="D1690" s="3">
        <v>20</v>
      </c>
      <c r="E1690" s="4">
        <v>0</v>
      </c>
      <c r="F1690" s="5">
        <f t="shared" si="26"/>
        <v>380</v>
      </c>
    </row>
    <row r="1691" spans="1:6" x14ac:dyDescent="0.45">
      <c r="A1691" s="6">
        <v>10894</v>
      </c>
      <c r="B1691" s="3">
        <v>13</v>
      </c>
      <c r="C1691" s="3">
        <v>6</v>
      </c>
      <c r="D1691" s="3">
        <v>28</v>
      </c>
      <c r="E1691" s="4">
        <v>0.05</v>
      </c>
      <c r="F1691" s="5">
        <f t="shared" si="26"/>
        <v>159.6</v>
      </c>
    </row>
    <row r="1692" spans="1:6" x14ac:dyDescent="0.45">
      <c r="A1692" s="6">
        <v>10894</v>
      </c>
      <c r="B1692" s="3">
        <v>69</v>
      </c>
      <c r="C1692" s="3">
        <v>36</v>
      </c>
      <c r="D1692" s="3">
        <v>50</v>
      </c>
      <c r="E1692" s="4">
        <v>0.05</v>
      </c>
      <c r="F1692" s="5">
        <f t="shared" si="26"/>
        <v>1710</v>
      </c>
    </row>
    <row r="1693" spans="1:6" x14ac:dyDescent="0.45">
      <c r="A1693" s="6">
        <v>10894</v>
      </c>
      <c r="B1693" s="3">
        <v>75</v>
      </c>
      <c r="C1693" s="3">
        <v>7.75</v>
      </c>
      <c r="D1693" s="3">
        <v>120</v>
      </c>
      <c r="E1693" s="4">
        <v>0.05</v>
      </c>
      <c r="F1693" s="5">
        <f t="shared" si="26"/>
        <v>883.5</v>
      </c>
    </row>
    <row r="1694" spans="1:6" x14ac:dyDescent="0.45">
      <c r="A1694" s="6">
        <v>10895</v>
      </c>
      <c r="B1694" s="3">
        <v>24</v>
      </c>
      <c r="C1694" s="3">
        <v>4.5</v>
      </c>
      <c r="D1694" s="3">
        <v>110</v>
      </c>
      <c r="E1694" s="4">
        <v>0</v>
      </c>
      <c r="F1694" s="5">
        <f t="shared" si="26"/>
        <v>495</v>
      </c>
    </row>
    <row r="1695" spans="1:6" x14ac:dyDescent="0.45">
      <c r="A1695" s="6">
        <v>10895</v>
      </c>
      <c r="B1695" s="3">
        <v>39</v>
      </c>
      <c r="C1695" s="3">
        <v>18</v>
      </c>
      <c r="D1695" s="3">
        <v>45</v>
      </c>
      <c r="E1695" s="4">
        <v>0</v>
      </c>
      <c r="F1695" s="5">
        <f t="shared" si="26"/>
        <v>810</v>
      </c>
    </row>
    <row r="1696" spans="1:6" x14ac:dyDescent="0.45">
      <c r="A1696" s="6">
        <v>10895</v>
      </c>
      <c r="B1696" s="3">
        <v>40</v>
      </c>
      <c r="C1696" s="3">
        <v>18.399999999999999</v>
      </c>
      <c r="D1696" s="3">
        <v>91</v>
      </c>
      <c r="E1696" s="4">
        <v>0</v>
      </c>
      <c r="F1696" s="5">
        <f t="shared" si="26"/>
        <v>1674.3999999999999</v>
      </c>
    </row>
    <row r="1697" spans="1:6" x14ac:dyDescent="0.45">
      <c r="A1697" s="6">
        <v>10895</v>
      </c>
      <c r="B1697" s="3">
        <v>60</v>
      </c>
      <c r="C1697" s="3">
        <v>34</v>
      </c>
      <c r="D1697" s="3">
        <v>100</v>
      </c>
      <c r="E1697" s="4">
        <v>0</v>
      </c>
      <c r="F1697" s="5">
        <f t="shared" si="26"/>
        <v>3400</v>
      </c>
    </row>
    <row r="1698" spans="1:6" x14ac:dyDescent="0.45">
      <c r="A1698" s="6">
        <v>10896</v>
      </c>
      <c r="B1698" s="3">
        <v>45</v>
      </c>
      <c r="C1698" s="3">
        <v>9.5</v>
      </c>
      <c r="D1698" s="3">
        <v>15</v>
      </c>
      <c r="E1698" s="4">
        <v>0</v>
      </c>
      <c r="F1698" s="5">
        <f t="shared" si="26"/>
        <v>142.5</v>
      </c>
    </row>
    <row r="1699" spans="1:6" x14ac:dyDescent="0.45">
      <c r="A1699" s="6">
        <v>10896</v>
      </c>
      <c r="B1699" s="3">
        <v>56</v>
      </c>
      <c r="C1699" s="3">
        <v>38</v>
      </c>
      <c r="D1699" s="3">
        <v>16</v>
      </c>
      <c r="E1699" s="4">
        <v>0</v>
      </c>
      <c r="F1699" s="5">
        <f t="shared" si="26"/>
        <v>608</v>
      </c>
    </row>
    <row r="1700" spans="1:6" x14ac:dyDescent="0.45">
      <c r="A1700" s="6">
        <v>10897</v>
      </c>
      <c r="B1700" s="3">
        <v>29</v>
      </c>
      <c r="C1700" s="3">
        <v>123.79</v>
      </c>
      <c r="D1700" s="3">
        <v>80</v>
      </c>
      <c r="E1700" s="4">
        <v>0</v>
      </c>
      <c r="F1700" s="5">
        <f t="shared" si="26"/>
        <v>9903.2000000000007</v>
      </c>
    </row>
    <row r="1701" spans="1:6" x14ac:dyDescent="0.45">
      <c r="A1701" s="6">
        <v>10897</v>
      </c>
      <c r="B1701" s="3">
        <v>30</v>
      </c>
      <c r="C1701" s="3">
        <v>25.89</v>
      </c>
      <c r="D1701" s="3">
        <v>36</v>
      </c>
      <c r="E1701" s="4">
        <v>0</v>
      </c>
      <c r="F1701" s="5">
        <f t="shared" si="26"/>
        <v>932.04</v>
      </c>
    </row>
    <row r="1702" spans="1:6" x14ac:dyDescent="0.45">
      <c r="A1702" s="6">
        <v>10898</v>
      </c>
      <c r="B1702" s="3">
        <v>13</v>
      </c>
      <c r="C1702" s="3">
        <v>6</v>
      </c>
      <c r="D1702" s="3">
        <v>5</v>
      </c>
      <c r="E1702" s="4">
        <v>0</v>
      </c>
      <c r="F1702" s="5">
        <f t="shared" si="26"/>
        <v>30</v>
      </c>
    </row>
    <row r="1703" spans="1:6" x14ac:dyDescent="0.45">
      <c r="A1703" s="6">
        <v>10899</v>
      </c>
      <c r="B1703" s="3">
        <v>39</v>
      </c>
      <c r="C1703" s="3">
        <v>18</v>
      </c>
      <c r="D1703" s="3">
        <v>8</v>
      </c>
      <c r="E1703" s="4">
        <v>0.15</v>
      </c>
      <c r="F1703" s="5">
        <f t="shared" si="26"/>
        <v>122.39999999999999</v>
      </c>
    </row>
    <row r="1704" spans="1:6" x14ac:dyDescent="0.45">
      <c r="A1704" s="6">
        <v>10900</v>
      </c>
      <c r="B1704" s="3">
        <v>70</v>
      </c>
      <c r="C1704" s="3">
        <v>15</v>
      </c>
      <c r="D1704" s="3">
        <v>3</v>
      </c>
      <c r="E1704" s="4">
        <v>0.25</v>
      </c>
      <c r="F1704" s="5">
        <f t="shared" si="26"/>
        <v>33.75</v>
      </c>
    </row>
    <row r="1705" spans="1:6" x14ac:dyDescent="0.45">
      <c r="A1705" s="6">
        <v>10901</v>
      </c>
      <c r="B1705" s="3">
        <v>41</v>
      </c>
      <c r="C1705" s="3">
        <v>9.65</v>
      </c>
      <c r="D1705" s="3">
        <v>30</v>
      </c>
      <c r="E1705" s="4">
        <v>0</v>
      </c>
      <c r="F1705" s="5">
        <f t="shared" si="26"/>
        <v>289.5</v>
      </c>
    </row>
    <row r="1706" spans="1:6" x14ac:dyDescent="0.45">
      <c r="A1706" s="6">
        <v>10901</v>
      </c>
      <c r="B1706" s="3">
        <v>71</v>
      </c>
      <c r="C1706" s="3">
        <v>21.5</v>
      </c>
      <c r="D1706" s="3">
        <v>30</v>
      </c>
      <c r="E1706" s="4">
        <v>0</v>
      </c>
      <c r="F1706" s="5">
        <f t="shared" si="26"/>
        <v>645</v>
      </c>
    </row>
    <row r="1707" spans="1:6" x14ac:dyDescent="0.45">
      <c r="A1707" s="6">
        <v>10902</v>
      </c>
      <c r="B1707" s="3">
        <v>55</v>
      </c>
      <c r="C1707" s="3">
        <v>24</v>
      </c>
      <c r="D1707" s="3">
        <v>30</v>
      </c>
      <c r="E1707" s="4">
        <v>0.15</v>
      </c>
      <c r="F1707" s="5">
        <f t="shared" si="26"/>
        <v>612</v>
      </c>
    </row>
    <row r="1708" spans="1:6" x14ac:dyDescent="0.45">
      <c r="A1708" s="6">
        <v>10902</v>
      </c>
      <c r="B1708" s="3">
        <v>62</v>
      </c>
      <c r="C1708" s="3">
        <v>49.3</v>
      </c>
      <c r="D1708" s="3">
        <v>6</v>
      </c>
      <c r="E1708" s="4">
        <v>0.15</v>
      </c>
      <c r="F1708" s="5">
        <f t="shared" si="26"/>
        <v>251.42999999999995</v>
      </c>
    </row>
    <row r="1709" spans="1:6" x14ac:dyDescent="0.45">
      <c r="A1709" s="6">
        <v>10903</v>
      </c>
      <c r="B1709" s="3">
        <v>13</v>
      </c>
      <c r="C1709" s="3">
        <v>6</v>
      </c>
      <c r="D1709" s="3">
        <v>40</v>
      </c>
      <c r="E1709" s="4">
        <v>0</v>
      </c>
      <c r="F1709" s="5">
        <f t="shared" si="26"/>
        <v>240</v>
      </c>
    </row>
    <row r="1710" spans="1:6" x14ac:dyDescent="0.45">
      <c r="A1710" s="6">
        <v>10903</v>
      </c>
      <c r="B1710" s="3">
        <v>65</v>
      </c>
      <c r="C1710" s="3">
        <v>21.05</v>
      </c>
      <c r="D1710" s="3">
        <v>21</v>
      </c>
      <c r="E1710" s="4">
        <v>0</v>
      </c>
      <c r="F1710" s="5">
        <f t="shared" si="26"/>
        <v>442.05</v>
      </c>
    </row>
    <row r="1711" spans="1:6" x14ac:dyDescent="0.45">
      <c r="A1711" s="6">
        <v>10903</v>
      </c>
      <c r="B1711" s="3">
        <v>68</v>
      </c>
      <c r="C1711" s="3">
        <v>12.5</v>
      </c>
      <c r="D1711" s="3">
        <v>20</v>
      </c>
      <c r="E1711" s="4">
        <v>0</v>
      </c>
      <c r="F1711" s="5">
        <f t="shared" si="26"/>
        <v>250</v>
      </c>
    </row>
    <row r="1712" spans="1:6" x14ac:dyDescent="0.45">
      <c r="A1712" s="6">
        <v>10904</v>
      </c>
      <c r="B1712" s="3">
        <v>58</v>
      </c>
      <c r="C1712" s="3">
        <v>13.25</v>
      </c>
      <c r="D1712" s="3">
        <v>15</v>
      </c>
      <c r="E1712" s="4">
        <v>0</v>
      </c>
      <c r="F1712" s="5">
        <f t="shared" si="26"/>
        <v>198.75</v>
      </c>
    </row>
    <row r="1713" spans="1:6" x14ac:dyDescent="0.45">
      <c r="A1713" s="6">
        <v>10904</v>
      </c>
      <c r="B1713" s="3">
        <v>62</v>
      </c>
      <c r="C1713" s="3">
        <v>49.3</v>
      </c>
      <c r="D1713" s="3">
        <v>35</v>
      </c>
      <c r="E1713" s="4">
        <v>0</v>
      </c>
      <c r="F1713" s="5">
        <f t="shared" si="26"/>
        <v>1725.5</v>
      </c>
    </row>
    <row r="1714" spans="1:6" x14ac:dyDescent="0.45">
      <c r="A1714" s="6">
        <v>10905</v>
      </c>
      <c r="B1714" s="3">
        <v>1</v>
      </c>
      <c r="C1714" s="3">
        <v>18</v>
      </c>
      <c r="D1714" s="3">
        <v>20</v>
      </c>
      <c r="E1714" s="4">
        <v>0.05</v>
      </c>
      <c r="F1714" s="5">
        <f t="shared" si="26"/>
        <v>342</v>
      </c>
    </row>
    <row r="1715" spans="1:6" x14ac:dyDescent="0.45">
      <c r="A1715" s="6">
        <v>10906</v>
      </c>
      <c r="B1715" s="3">
        <v>61</v>
      </c>
      <c r="C1715" s="3">
        <v>28.5</v>
      </c>
      <c r="D1715" s="3">
        <v>15</v>
      </c>
      <c r="E1715" s="4">
        <v>0</v>
      </c>
      <c r="F1715" s="5">
        <f t="shared" si="26"/>
        <v>427.5</v>
      </c>
    </row>
    <row r="1716" spans="1:6" x14ac:dyDescent="0.45">
      <c r="A1716" s="6">
        <v>10907</v>
      </c>
      <c r="B1716" s="3">
        <v>75</v>
      </c>
      <c r="C1716" s="3">
        <v>7.75</v>
      </c>
      <c r="D1716" s="3">
        <v>14</v>
      </c>
      <c r="E1716" s="4">
        <v>0</v>
      </c>
      <c r="F1716" s="5">
        <f t="shared" si="26"/>
        <v>108.5</v>
      </c>
    </row>
    <row r="1717" spans="1:6" x14ac:dyDescent="0.45">
      <c r="A1717" s="6">
        <v>10908</v>
      </c>
      <c r="B1717" s="3">
        <v>7</v>
      </c>
      <c r="C1717" s="3">
        <v>30</v>
      </c>
      <c r="D1717" s="3">
        <v>20</v>
      </c>
      <c r="E1717" s="4">
        <v>0.05</v>
      </c>
      <c r="F1717" s="5">
        <f t="shared" si="26"/>
        <v>570</v>
      </c>
    </row>
    <row r="1718" spans="1:6" x14ac:dyDescent="0.45">
      <c r="A1718" s="6">
        <v>10908</v>
      </c>
      <c r="B1718" s="3">
        <v>52</v>
      </c>
      <c r="C1718" s="3">
        <v>7</v>
      </c>
      <c r="D1718" s="3">
        <v>14</v>
      </c>
      <c r="E1718" s="4">
        <v>0.05</v>
      </c>
      <c r="F1718" s="5">
        <f t="shared" si="26"/>
        <v>93.1</v>
      </c>
    </row>
    <row r="1719" spans="1:6" x14ac:dyDescent="0.45">
      <c r="A1719" s="6">
        <v>10909</v>
      </c>
      <c r="B1719" s="3">
        <v>7</v>
      </c>
      <c r="C1719" s="3">
        <v>30</v>
      </c>
      <c r="D1719" s="3">
        <v>12</v>
      </c>
      <c r="E1719" s="4">
        <v>0</v>
      </c>
      <c r="F1719" s="5">
        <f t="shared" si="26"/>
        <v>360</v>
      </c>
    </row>
    <row r="1720" spans="1:6" x14ac:dyDescent="0.45">
      <c r="A1720" s="6">
        <v>10909</v>
      </c>
      <c r="B1720" s="3">
        <v>16</v>
      </c>
      <c r="C1720" s="3">
        <v>17.45</v>
      </c>
      <c r="D1720" s="3">
        <v>15</v>
      </c>
      <c r="E1720" s="4">
        <v>0</v>
      </c>
      <c r="F1720" s="5">
        <f t="shared" si="26"/>
        <v>261.75</v>
      </c>
    </row>
    <row r="1721" spans="1:6" x14ac:dyDescent="0.45">
      <c r="A1721" s="6">
        <v>10909</v>
      </c>
      <c r="B1721" s="3">
        <v>41</v>
      </c>
      <c r="C1721" s="3">
        <v>9.65</v>
      </c>
      <c r="D1721" s="3">
        <v>5</v>
      </c>
      <c r="E1721" s="4">
        <v>0</v>
      </c>
      <c r="F1721" s="5">
        <f t="shared" si="26"/>
        <v>48.25</v>
      </c>
    </row>
    <row r="1722" spans="1:6" x14ac:dyDescent="0.45">
      <c r="A1722" s="6">
        <v>10910</v>
      </c>
      <c r="B1722" s="3">
        <v>19</v>
      </c>
      <c r="C1722" s="3">
        <v>9.1999999999999993</v>
      </c>
      <c r="D1722" s="3">
        <v>12</v>
      </c>
      <c r="E1722" s="4">
        <v>0</v>
      </c>
      <c r="F1722" s="5">
        <f t="shared" si="26"/>
        <v>110.39999999999999</v>
      </c>
    </row>
    <row r="1723" spans="1:6" x14ac:dyDescent="0.45">
      <c r="A1723" s="6">
        <v>10910</v>
      </c>
      <c r="B1723" s="3">
        <v>49</v>
      </c>
      <c r="C1723" s="3">
        <v>20</v>
      </c>
      <c r="D1723" s="3">
        <v>10</v>
      </c>
      <c r="E1723" s="4">
        <v>0</v>
      </c>
      <c r="F1723" s="5">
        <f t="shared" si="26"/>
        <v>200</v>
      </c>
    </row>
    <row r="1724" spans="1:6" x14ac:dyDescent="0.45">
      <c r="A1724" s="6">
        <v>10910</v>
      </c>
      <c r="B1724" s="3">
        <v>61</v>
      </c>
      <c r="C1724" s="3">
        <v>28.5</v>
      </c>
      <c r="D1724" s="3">
        <v>5</v>
      </c>
      <c r="E1724" s="4">
        <v>0</v>
      </c>
      <c r="F1724" s="5">
        <f t="shared" si="26"/>
        <v>142.5</v>
      </c>
    </row>
    <row r="1725" spans="1:6" x14ac:dyDescent="0.45">
      <c r="A1725" s="6">
        <v>10911</v>
      </c>
      <c r="B1725" s="3">
        <v>1</v>
      </c>
      <c r="C1725" s="3">
        <v>18</v>
      </c>
      <c r="D1725" s="3">
        <v>10</v>
      </c>
      <c r="E1725" s="4">
        <v>0</v>
      </c>
      <c r="F1725" s="5">
        <f t="shared" si="26"/>
        <v>180</v>
      </c>
    </row>
    <row r="1726" spans="1:6" x14ac:dyDescent="0.45">
      <c r="A1726" s="6">
        <v>10911</v>
      </c>
      <c r="B1726" s="3">
        <v>17</v>
      </c>
      <c r="C1726" s="3">
        <v>39</v>
      </c>
      <c r="D1726" s="3">
        <v>12</v>
      </c>
      <c r="E1726" s="4">
        <v>0</v>
      </c>
      <c r="F1726" s="5">
        <f t="shared" si="26"/>
        <v>468</v>
      </c>
    </row>
    <row r="1727" spans="1:6" x14ac:dyDescent="0.45">
      <c r="A1727" s="6">
        <v>10911</v>
      </c>
      <c r="B1727" s="3">
        <v>67</v>
      </c>
      <c r="C1727" s="3">
        <v>14</v>
      </c>
      <c r="D1727" s="3">
        <v>15</v>
      </c>
      <c r="E1727" s="4">
        <v>0</v>
      </c>
      <c r="F1727" s="5">
        <f t="shared" si="26"/>
        <v>210</v>
      </c>
    </row>
    <row r="1728" spans="1:6" x14ac:dyDescent="0.45">
      <c r="A1728" s="6">
        <v>10912</v>
      </c>
      <c r="B1728" s="3">
        <v>11</v>
      </c>
      <c r="C1728" s="3">
        <v>21</v>
      </c>
      <c r="D1728" s="3">
        <v>40</v>
      </c>
      <c r="E1728" s="4">
        <v>0.25</v>
      </c>
      <c r="F1728" s="5">
        <f t="shared" si="26"/>
        <v>630</v>
      </c>
    </row>
    <row r="1729" spans="1:6" x14ac:dyDescent="0.45">
      <c r="A1729" s="6">
        <v>10912</v>
      </c>
      <c r="B1729" s="3">
        <v>29</v>
      </c>
      <c r="C1729" s="3">
        <v>123.79</v>
      </c>
      <c r="D1729" s="3">
        <v>60</v>
      </c>
      <c r="E1729" s="4">
        <v>0.25</v>
      </c>
      <c r="F1729" s="5">
        <f t="shared" si="26"/>
        <v>5570.55</v>
      </c>
    </row>
    <row r="1730" spans="1:6" x14ac:dyDescent="0.45">
      <c r="A1730" s="6">
        <v>10913</v>
      </c>
      <c r="B1730" s="3">
        <v>4</v>
      </c>
      <c r="C1730" s="3">
        <v>22</v>
      </c>
      <c r="D1730" s="3">
        <v>30</v>
      </c>
      <c r="E1730" s="4">
        <v>0.25</v>
      </c>
      <c r="F1730" s="5">
        <f t="shared" ref="F1730:F1793" si="27">C1730*D1730*(1-E1730)</f>
        <v>495</v>
      </c>
    </row>
    <row r="1731" spans="1:6" x14ac:dyDescent="0.45">
      <c r="A1731" s="6">
        <v>10913</v>
      </c>
      <c r="B1731" s="3">
        <v>33</v>
      </c>
      <c r="C1731" s="3">
        <v>2.5</v>
      </c>
      <c r="D1731" s="3">
        <v>40</v>
      </c>
      <c r="E1731" s="4">
        <v>0.25</v>
      </c>
      <c r="F1731" s="5">
        <f t="shared" si="27"/>
        <v>75</v>
      </c>
    </row>
    <row r="1732" spans="1:6" x14ac:dyDescent="0.45">
      <c r="A1732" s="6">
        <v>10913</v>
      </c>
      <c r="B1732" s="3">
        <v>58</v>
      </c>
      <c r="C1732" s="3">
        <v>13.25</v>
      </c>
      <c r="D1732" s="3">
        <v>15</v>
      </c>
      <c r="E1732" s="4">
        <v>0</v>
      </c>
      <c r="F1732" s="5">
        <f t="shared" si="27"/>
        <v>198.75</v>
      </c>
    </row>
    <row r="1733" spans="1:6" x14ac:dyDescent="0.45">
      <c r="A1733" s="6">
        <v>10914</v>
      </c>
      <c r="B1733" s="3">
        <v>71</v>
      </c>
      <c r="C1733" s="3">
        <v>21.5</v>
      </c>
      <c r="D1733" s="3">
        <v>25</v>
      </c>
      <c r="E1733" s="4">
        <v>0</v>
      </c>
      <c r="F1733" s="5">
        <f t="shared" si="27"/>
        <v>537.5</v>
      </c>
    </row>
    <row r="1734" spans="1:6" x14ac:dyDescent="0.45">
      <c r="A1734" s="6">
        <v>10915</v>
      </c>
      <c r="B1734" s="3">
        <v>17</v>
      </c>
      <c r="C1734" s="3">
        <v>39</v>
      </c>
      <c r="D1734" s="3">
        <v>10</v>
      </c>
      <c r="E1734" s="4">
        <v>0</v>
      </c>
      <c r="F1734" s="5">
        <f t="shared" si="27"/>
        <v>390</v>
      </c>
    </row>
    <row r="1735" spans="1:6" x14ac:dyDescent="0.45">
      <c r="A1735" s="6">
        <v>10915</v>
      </c>
      <c r="B1735" s="3">
        <v>33</v>
      </c>
      <c r="C1735" s="3">
        <v>2.5</v>
      </c>
      <c r="D1735" s="3">
        <v>30</v>
      </c>
      <c r="E1735" s="4">
        <v>0</v>
      </c>
      <c r="F1735" s="5">
        <f t="shared" si="27"/>
        <v>75</v>
      </c>
    </row>
    <row r="1736" spans="1:6" x14ac:dyDescent="0.45">
      <c r="A1736" s="6">
        <v>10915</v>
      </c>
      <c r="B1736" s="3">
        <v>54</v>
      </c>
      <c r="C1736" s="3">
        <v>7.45</v>
      </c>
      <c r="D1736" s="3">
        <v>10</v>
      </c>
      <c r="E1736" s="4">
        <v>0</v>
      </c>
      <c r="F1736" s="5">
        <f t="shared" si="27"/>
        <v>74.5</v>
      </c>
    </row>
    <row r="1737" spans="1:6" x14ac:dyDescent="0.45">
      <c r="A1737" s="6">
        <v>10916</v>
      </c>
      <c r="B1737" s="3">
        <v>16</v>
      </c>
      <c r="C1737" s="3">
        <v>17.45</v>
      </c>
      <c r="D1737" s="3">
        <v>6</v>
      </c>
      <c r="E1737" s="4">
        <v>0</v>
      </c>
      <c r="F1737" s="5">
        <f t="shared" si="27"/>
        <v>104.69999999999999</v>
      </c>
    </row>
    <row r="1738" spans="1:6" x14ac:dyDescent="0.45">
      <c r="A1738" s="6">
        <v>10916</v>
      </c>
      <c r="B1738" s="3">
        <v>32</v>
      </c>
      <c r="C1738" s="3">
        <v>32</v>
      </c>
      <c r="D1738" s="3">
        <v>6</v>
      </c>
      <c r="E1738" s="4">
        <v>0</v>
      </c>
      <c r="F1738" s="5">
        <f t="shared" si="27"/>
        <v>192</v>
      </c>
    </row>
    <row r="1739" spans="1:6" x14ac:dyDescent="0.45">
      <c r="A1739" s="6">
        <v>10916</v>
      </c>
      <c r="B1739" s="3">
        <v>57</v>
      </c>
      <c r="C1739" s="3">
        <v>19.5</v>
      </c>
      <c r="D1739" s="3">
        <v>20</v>
      </c>
      <c r="E1739" s="4">
        <v>0</v>
      </c>
      <c r="F1739" s="5">
        <f t="shared" si="27"/>
        <v>390</v>
      </c>
    </row>
    <row r="1740" spans="1:6" x14ac:dyDescent="0.45">
      <c r="A1740" s="6">
        <v>10917</v>
      </c>
      <c r="B1740" s="3">
        <v>30</v>
      </c>
      <c r="C1740" s="3">
        <v>25.89</v>
      </c>
      <c r="D1740" s="3">
        <v>1</v>
      </c>
      <c r="E1740" s="4">
        <v>0</v>
      </c>
      <c r="F1740" s="5">
        <f t="shared" si="27"/>
        <v>25.89</v>
      </c>
    </row>
    <row r="1741" spans="1:6" x14ac:dyDescent="0.45">
      <c r="A1741" s="6">
        <v>10917</v>
      </c>
      <c r="B1741" s="3">
        <v>60</v>
      </c>
      <c r="C1741" s="3">
        <v>34</v>
      </c>
      <c r="D1741" s="3">
        <v>10</v>
      </c>
      <c r="E1741" s="4">
        <v>0</v>
      </c>
      <c r="F1741" s="5">
        <f t="shared" si="27"/>
        <v>340</v>
      </c>
    </row>
    <row r="1742" spans="1:6" x14ac:dyDescent="0.45">
      <c r="A1742" s="6">
        <v>10918</v>
      </c>
      <c r="B1742" s="3">
        <v>1</v>
      </c>
      <c r="C1742" s="3">
        <v>18</v>
      </c>
      <c r="D1742" s="3">
        <v>60</v>
      </c>
      <c r="E1742" s="4">
        <v>0.25</v>
      </c>
      <c r="F1742" s="5">
        <f t="shared" si="27"/>
        <v>810</v>
      </c>
    </row>
    <row r="1743" spans="1:6" x14ac:dyDescent="0.45">
      <c r="A1743" s="6">
        <v>10918</v>
      </c>
      <c r="B1743" s="3">
        <v>60</v>
      </c>
      <c r="C1743" s="3">
        <v>34</v>
      </c>
      <c r="D1743" s="3">
        <v>25</v>
      </c>
      <c r="E1743" s="4">
        <v>0.25</v>
      </c>
      <c r="F1743" s="5">
        <f t="shared" si="27"/>
        <v>637.5</v>
      </c>
    </row>
    <row r="1744" spans="1:6" x14ac:dyDescent="0.45">
      <c r="A1744" s="6">
        <v>10919</v>
      </c>
      <c r="B1744" s="3">
        <v>16</v>
      </c>
      <c r="C1744" s="3">
        <v>17.45</v>
      </c>
      <c r="D1744" s="3">
        <v>24</v>
      </c>
      <c r="E1744" s="4">
        <v>0</v>
      </c>
      <c r="F1744" s="5">
        <f t="shared" si="27"/>
        <v>418.79999999999995</v>
      </c>
    </row>
    <row r="1745" spans="1:6" x14ac:dyDescent="0.45">
      <c r="A1745" s="6">
        <v>10919</v>
      </c>
      <c r="B1745" s="3">
        <v>25</v>
      </c>
      <c r="C1745" s="3">
        <v>14</v>
      </c>
      <c r="D1745" s="3">
        <v>24</v>
      </c>
      <c r="E1745" s="4">
        <v>0</v>
      </c>
      <c r="F1745" s="5">
        <f t="shared" si="27"/>
        <v>336</v>
      </c>
    </row>
    <row r="1746" spans="1:6" x14ac:dyDescent="0.45">
      <c r="A1746" s="6">
        <v>10919</v>
      </c>
      <c r="B1746" s="3">
        <v>40</v>
      </c>
      <c r="C1746" s="3">
        <v>18.399999999999999</v>
      </c>
      <c r="D1746" s="3">
        <v>20</v>
      </c>
      <c r="E1746" s="4">
        <v>0</v>
      </c>
      <c r="F1746" s="5">
        <f t="shared" si="27"/>
        <v>368</v>
      </c>
    </row>
    <row r="1747" spans="1:6" x14ac:dyDescent="0.45">
      <c r="A1747" s="6">
        <v>10920</v>
      </c>
      <c r="B1747" s="3">
        <v>50</v>
      </c>
      <c r="C1747" s="3">
        <v>16.25</v>
      </c>
      <c r="D1747" s="3">
        <v>24</v>
      </c>
      <c r="E1747" s="4">
        <v>0</v>
      </c>
      <c r="F1747" s="5">
        <f t="shared" si="27"/>
        <v>390</v>
      </c>
    </row>
    <row r="1748" spans="1:6" x14ac:dyDescent="0.45">
      <c r="A1748" s="6">
        <v>10921</v>
      </c>
      <c r="B1748" s="3">
        <v>35</v>
      </c>
      <c r="C1748" s="3">
        <v>18</v>
      </c>
      <c r="D1748" s="3">
        <v>10</v>
      </c>
      <c r="E1748" s="4">
        <v>0</v>
      </c>
      <c r="F1748" s="5">
        <f t="shared" si="27"/>
        <v>180</v>
      </c>
    </row>
    <row r="1749" spans="1:6" x14ac:dyDescent="0.45">
      <c r="A1749" s="6">
        <v>10921</v>
      </c>
      <c r="B1749" s="3">
        <v>63</v>
      </c>
      <c r="C1749" s="3">
        <v>43.9</v>
      </c>
      <c r="D1749" s="3">
        <v>40</v>
      </c>
      <c r="E1749" s="4">
        <v>0</v>
      </c>
      <c r="F1749" s="5">
        <f t="shared" si="27"/>
        <v>1756</v>
      </c>
    </row>
    <row r="1750" spans="1:6" x14ac:dyDescent="0.45">
      <c r="A1750" s="6">
        <v>10922</v>
      </c>
      <c r="B1750" s="3">
        <v>17</v>
      </c>
      <c r="C1750" s="3">
        <v>39</v>
      </c>
      <c r="D1750" s="3">
        <v>15</v>
      </c>
      <c r="E1750" s="4">
        <v>0</v>
      </c>
      <c r="F1750" s="5">
        <f t="shared" si="27"/>
        <v>585</v>
      </c>
    </row>
    <row r="1751" spans="1:6" x14ac:dyDescent="0.45">
      <c r="A1751" s="6">
        <v>10922</v>
      </c>
      <c r="B1751" s="3">
        <v>24</v>
      </c>
      <c r="C1751" s="3">
        <v>4.5</v>
      </c>
      <c r="D1751" s="3">
        <v>35</v>
      </c>
      <c r="E1751" s="4">
        <v>0</v>
      </c>
      <c r="F1751" s="5">
        <f t="shared" si="27"/>
        <v>157.5</v>
      </c>
    </row>
    <row r="1752" spans="1:6" x14ac:dyDescent="0.45">
      <c r="A1752" s="6">
        <v>10923</v>
      </c>
      <c r="B1752" s="3">
        <v>42</v>
      </c>
      <c r="C1752" s="3">
        <v>14</v>
      </c>
      <c r="D1752" s="3">
        <v>10</v>
      </c>
      <c r="E1752" s="4">
        <v>0.2</v>
      </c>
      <c r="F1752" s="5">
        <f t="shared" si="27"/>
        <v>112</v>
      </c>
    </row>
    <row r="1753" spans="1:6" x14ac:dyDescent="0.45">
      <c r="A1753" s="6">
        <v>10923</v>
      </c>
      <c r="B1753" s="3">
        <v>43</v>
      </c>
      <c r="C1753" s="3">
        <v>46</v>
      </c>
      <c r="D1753" s="3">
        <v>10</v>
      </c>
      <c r="E1753" s="4">
        <v>0.2</v>
      </c>
      <c r="F1753" s="5">
        <f t="shared" si="27"/>
        <v>368</v>
      </c>
    </row>
    <row r="1754" spans="1:6" x14ac:dyDescent="0.45">
      <c r="A1754" s="6">
        <v>10923</v>
      </c>
      <c r="B1754" s="3">
        <v>67</v>
      </c>
      <c r="C1754" s="3">
        <v>14</v>
      </c>
      <c r="D1754" s="3">
        <v>24</v>
      </c>
      <c r="E1754" s="4">
        <v>0.2</v>
      </c>
      <c r="F1754" s="5">
        <f t="shared" si="27"/>
        <v>268.8</v>
      </c>
    </row>
    <row r="1755" spans="1:6" x14ac:dyDescent="0.45">
      <c r="A1755" s="6">
        <v>10924</v>
      </c>
      <c r="B1755" s="3">
        <v>10</v>
      </c>
      <c r="C1755" s="3">
        <v>31</v>
      </c>
      <c r="D1755" s="3">
        <v>20</v>
      </c>
      <c r="E1755" s="4">
        <v>0.1</v>
      </c>
      <c r="F1755" s="5">
        <f t="shared" si="27"/>
        <v>558</v>
      </c>
    </row>
    <row r="1756" spans="1:6" x14ac:dyDescent="0.45">
      <c r="A1756" s="6">
        <v>10924</v>
      </c>
      <c r="B1756" s="3">
        <v>28</v>
      </c>
      <c r="C1756" s="3">
        <v>45.6</v>
      </c>
      <c r="D1756" s="3">
        <v>30</v>
      </c>
      <c r="E1756" s="4">
        <v>0.1</v>
      </c>
      <c r="F1756" s="5">
        <f t="shared" si="27"/>
        <v>1231.2</v>
      </c>
    </row>
    <row r="1757" spans="1:6" x14ac:dyDescent="0.45">
      <c r="A1757" s="6">
        <v>10924</v>
      </c>
      <c r="B1757" s="3">
        <v>75</v>
      </c>
      <c r="C1757" s="3">
        <v>7.75</v>
      </c>
      <c r="D1757" s="3">
        <v>6</v>
      </c>
      <c r="E1757" s="4">
        <v>0</v>
      </c>
      <c r="F1757" s="5">
        <f t="shared" si="27"/>
        <v>46.5</v>
      </c>
    </row>
    <row r="1758" spans="1:6" x14ac:dyDescent="0.45">
      <c r="A1758" s="6">
        <v>10925</v>
      </c>
      <c r="B1758" s="3">
        <v>36</v>
      </c>
      <c r="C1758" s="3">
        <v>19</v>
      </c>
      <c r="D1758" s="3">
        <v>25</v>
      </c>
      <c r="E1758" s="4">
        <v>0.15</v>
      </c>
      <c r="F1758" s="5">
        <f t="shared" si="27"/>
        <v>403.75</v>
      </c>
    </row>
    <row r="1759" spans="1:6" x14ac:dyDescent="0.45">
      <c r="A1759" s="6">
        <v>10925</v>
      </c>
      <c r="B1759" s="3">
        <v>52</v>
      </c>
      <c r="C1759" s="3">
        <v>7</v>
      </c>
      <c r="D1759" s="3">
        <v>12</v>
      </c>
      <c r="E1759" s="4">
        <v>0.15</v>
      </c>
      <c r="F1759" s="5">
        <f t="shared" si="27"/>
        <v>71.399999999999991</v>
      </c>
    </row>
    <row r="1760" spans="1:6" x14ac:dyDescent="0.45">
      <c r="A1760" s="6">
        <v>10926</v>
      </c>
      <c r="B1760" s="3">
        <v>11</v>
      </c>
      <c r="C1760" s="3">
        <v>21</v>
      </c>
      <c r="D1760" s="3">
        <v>2</v>
      </c>
      <c r="E1760" s="4">
        <v>0</v>
      </c>
      <c r="F1760" s="5">
        <f t="shared" si="27"/>
        <v>42</v>
      </c>
    </row>
    <row r="1761" spans="1:6" x14ac:dyDescent="0.45">
      <c r="A1761" s="6">
        <v>10926</v>
      </c>
      <c r="B1761" s="3">
        <v>13</v>
      </c>
      <c r="C1761" s="3">
        <v>6</v>
      </c>
      <c r="D1761" s="3">
        <v>10</v>
      </c>
      <c r="E1761" s="4">
        <v>0</v>
      </c>
      <c r="F1761" s="5">
        <f t="shared" si="27"/>
        <v>60</v>
      </c>
    </row>
    <row r="1762" spans="1:6" x14ac:dyDescent="0.45">
      <c r="A1762" s="6">
        <v>10926</v>
      </c>
      <c r="B1762" s="3">
        <v>19</v>
      </c>
      <c r="C1762" s="3">
        <v>9.1999999999999993</v>
      </c>
      <c r="D1762" s="3">
        <v>7</v>
      </c>
      <c r="E1762" s="4">
        <v>0</v>
      </c>
      <c r="F1762" s="5">
        <f t="shared" si="27"/>
        <v>64.399999999999991</v>
      </c>
    </row>
    <row r="1763" spans="1:6" x14ac:dyDescent="0.45">
      <c r="A1763" s="6">
        <v>10926</v>
      </c>
      <c r="B1763" s="3">
        <v>72</v>
      </c>
      <c r="C1763" s="3">
        <v>34.799999999999997</v>
      </c>
      <c r="D1763" s="3">
        <v>10</v>
      </c>
      <c r="E1763" s="4">
        <v>0</v>
      </c>
      <c r="F1763" s="5">
        <f t="shared" si="27"/>
        <v>348</v>
      </c>
    </row>
    <row r="1764" spans="1:6" x14ac:dyDescent="0.45">
      <c r="A1764" s="6">
        <v>10927</v>
      </c>
      <c r="B1764" s="3">
        <v>20</v>
      </c>
      <c r="C1764" s="3">
        <v>81</v>
      </c>
      <c r="D1764" s="3">
        <v>5</v>
      </c>
      <c r="E1764" s="4">
        <v>0</v>
      </c>
      <c r="F1764" s="5">
        <f t="shared" si="27"/>
        <v>405</v>
      </c>
    </row>
    <row r="1765" spans="1:6" x14ac:dyDescent="0.45">
      <c r="A1765" s="6">
        <v>10927</v>
      </c>
      <c r="B1765" s="3">
        <v>52</v>
      </c>
      <c r="C1765" s="3">
        <v>7</v>
      </c>
      <c r="D1765" s="3">
        <v>5</v>
      </c>
      <c r="E1765" s="4">
        <v>0</v>
      </c>
      <c r="F1765" s="5">
        <f t="shared" si="27"/>
        <v>35</v>
      </c>
    </row>
    <row r="1766" spans="1:6" x14ac:dyDescent="0.45">
      <c r="A1766" s="6">
        <v>10927</v>
      </c>
      <c r="B1766" s="3">
        <v>76</v>
      </c>
      <c r="C1766" s="3">
        <v>18</v>
      </c>
      <c r="D1766" s="3">
        <v>20</v>
      </c>
      <c r="E1766" s="4">
        <v>0</v>
      </c>
      <c r="F1766" s="5">
        <f t="shared" si="27"/>
        <v>360</v>
      </c>
    </row>
    <row r="1767" spans="1:6" x14ac:dyDescent="0.45">
      <c r="A1767" s="6">
        <v>10928</v>
      </c>
      <c r="B1767" s="3">
        <v>47</v>
      </c>
      <c r="C1767" s="3">
        <v>9.5</v>
      </c>
      <c r="D1767" s="3">
        <v>5</v>
      </c>
      <c r="E1767" s="4">
        <v>0</v>
      </c>
      <c r="F1767" s="5">
        <f t="shared" si="27"/>
        <v>47.5</v>
      </c>
    </row>
    <row r="1768" spans="1:6" x14ac:dyDescent="0.45">
      <c r="A1768" s="6">
        <v>10928</v>
      </c>
      <c r="B1768" s="3">
        <v>76</v>
      </c>
      <c r="C1768" s="3">
        <v>18</v>
      </c>
      <c r="D1768" s="3">
        <v>5</v>
      </c>
      <c r="E1768" s="4">
        <v>0</v>
      </c>
      <c r="F1768" s="5">
        <f t="shared" si="27"/>
        <v>90</v>
      </c>
    </row>
    <row r="1769" spans="1:6" x14ac:dyDescent="0.45">
      <c r="A1769" s="6">
        <v>10929</v>
      </c>
      <c r="B1769" s="3">
        <v>21</v>
      </c>
      <c r="C1769" s="3">
        <v>10</v>
      </c>
      <c r="D1769" s="3">
        <v>60</v>
      </c>
      <c r="E1769" s="4">
        <v>0</v>
      </c>
      <c r="F1769" s="5">
        <f t="shared" si="27"/>
        <v>600</v>
      </c>
    </row>
    <row r="1770" spans="1:6" x14ac:dyDescent="0.45">
      <c r="A1770" s="6">
        <v>10929</v>
      </c>
      <c r="B1770" s="3">
        <v>75</v>
      </c>
      <c r="C1770" s="3">
        <v>7.75</v>
      </c>
      <c r="D1770" s="3">
        <v>49</v>
      </c>
      <c r="E1770" s="4">
        <v>0</v>
      </c>
      <c r="F1770" s="5">
        <f t="shared" si="27"/>
        <v>379.75</v>
      </c>
    </row>
    <row r="1771" spans="1:6" x14ac:dyDescent="0.45">
      <c r="A1771" s="6">
        <v>10929</v>
      </c>
      <c r="B1771" s="3">
        <v>77</v>
      </c>
      <c r="C1771" s="3">
        <v>13</v>
      </c>
      <c r="D1771" s="3">
        <v>15</v>
      </c>
      <c r="E1771" s="4">
        <v>0</v>
      </c>
      <c r="F1771" s="5">
        <f t="shared" si="27"/>
        <v>195</v>
      </c>
    </row>
    <row r="1772" spans="1:6" x14ac:dyDescent="0.45">
      <c r="A1772" s="6">
        <v>10930</v>
      </c>
      <c r="B1772" s="3">
        <v>21</v>
      </c>
      <c r="C1772" s="3">
        <v>10</v>
      </c>
      <c r="D1772" s="3">
        <v>36</v>
      </c>
      <c r="E1772" s="4">
        <v>0</v>
      </c>
      <c r="F1772" s="5">
        <f t="shared" si="27"/>
        <v>360</v>
      </c>
    </row>
    <row r="1773" spans="1:6" x14ac:dyDescent="0.45">
      <c r="A1773" s="6">
        <v>10930</v>
      </c>
      <c r="B1773" s="3">
        <v>27</v>
      </c>
      <c r="C1773" s="3">
        <v>43.9</v>
      </c>
      <c r="D1773" s="3">
        <v>25</v>
      </c>
      <c r="E1773" s="4">
        <v>0</v>
      </c>
      <c r="F1773" s="5">
        <f t="shared" si="27"/>
        <v>1097.5</v>
      </c>
    </row>
    <row r="1774" spans="1:6" x14ac:dyDescent="0.45">
      <c r="A1774" s="6">
        <v>10930</v>
      </c>
      <c r="B1774" s="3">
        <v>55</v>
      </c>
      <c r="C1774" s="3">
        <v>24</v>
      </c>
      <c r="D1774" s="3">
        <v>25</v>
      </c>
      <c r="E1774" s="4">
        <v>0.2</v>
      </c>
      <c r="F1774" s="5">
        <f t="shared" si="27"/>
        <v>480</v>
      </c>
    </row>
    <row r="1775" spans="1:6" x14ac:dyDescent="0.45">
      <c r="A1775" s="6">
        <v>10930</v>
      </c>
      <c r="B1775" s="3">
        <v>58</v>
      </c>
      <c r="C1775" s="3">
        <v>13.25</v>
      </c>
      <c r="D1775" s="3">
        <v>30</v>
      </c>
      <c r="E1775" s="4">
        <v>0.2</v>
      </c>
      <c r="F1775" s="5">
        <f t="shared" si="27"/>
        <v>318</v>
      </c>
    </row>
    <row r="1776" spans="1:6" x14ac:dyDescent="0.45">
      <c r="A1776" s="6">
        <v>10931</v>
      </c>
      <c r="B1776" s="3">
        <v>13</v>
      </c>
      <c r="C1776" s="3">
        <v>6</v>
      </c>
      <c r="D1776" s="3">
        <v>42</v>
      </c>
      <c r="E1776" s="4">
        <v>0.15</v>
      </c>
      <c r="F1776" s="5">
        <f t="shared" si="27"/>
        <v>214.2</v>
      </c>
    </row>
    <row r="1777" spans="1:6" x14ac:dyDescent="0.45">
      <c r="A1777" s="6">
        <v>10931</v>
      </c>
      <c r="B1777" s="3">
        <v>57</v>
      </c>
      <c r="C1777" s="3">
        <v>19.5</v>
      </c>
      <c r="D1777" s="3">
        <v>30</v>
      </c>
      <c r="E1777" s="4">
        <v>0</v>
      </c>
      <c r="F1777" s="5">
        <f t="shared" si="27"/>
        <v>585</v>
      </c>
    </row>
    <row r="1778" spans="1:6" x14ac:dyDescent="0.45">
      <c r="A1778" s="6">
        <v>10932</v>
      </c>
      <c r="B1778" s="3">
        <v>16</v>
      </c>
      <c r="C1778" s="3">
        <v>17.45</v>
      </c>
      <c r="D1778" s="3">
        <v>30</v>
      </c>
      <c r="E1778" s="4">
        <v>0.1</v>
      </c>
      <c r="F1778" s="5">
        <f t="shared" si="27"/>
        <v>471.15000000000003</v>
      </c>
    </row>
    <row r="1779" spans="1:6" x14ac:dyDescent="0.45">
      <c r="A1779" s="6">
        <v>10932</v>
      </c>
      <c r="B1779" s="3">
        <v>62</v>
      </c>
      <c r="C1779" s="3">
        <v>49.3</v>
      </c>
      <c r="D1779" s="3">
        <v>14</v>
      </c>
      <c r="E1779" s="4">
        <v>0.1</v>
      </c>
      <c r="F1779" s="5">
        <f t="shared" si="27"/>
        <v>621.17999999999995</v>
      </c>
    </row>
    <row r="1780" spans="1:6" x14ac:dyDescent="0.45">
      <c r="A1780" s="6">
        <v>10932</v>
      </c>
      <c r="B1780" s="3">
        <v>72</v>
      </c>
      <c r="C1780" s="3">
        <v>34.799999999999997</v>
      </c>
      <c r="D1780" s="3">
        <v>16</v>
      </c>
      <c r="E1780" s="4">
        <v>0</v>
      </c>
      <c r="F1780" s="5">
        <f t="shared" si="27"/>
        <v>556.79999999999995</v>
      </c>
    </row>
    <row r="1781" spans="1:6" x14ac:dyDescent="0.45">
      <c r="A1781" s="6">
        <v>10932</v>
      </c>
      <c r="B1781" s="3">
        <v>75</v>
      </c>
      <c r="C1781" s="3">
        <v>7.75</v>
      </c>
      <c r="D1781" s="3">
        <v>20</v>
      </c>
      <c r="E1781" s="4">
        <v>0.1</v>
      </c>
      <c r="F1781" s="5">
        <f t="shared" si="27"/>
        <v>139.5</v>
      </c>
    </row>
    <row r="1782" spans="1:6" x14ac:dyDescent="0.45">
      <c r="A1782" s="6">
        <v>10933</v>
      </c>
      <c r="B1782" s="3">
        <v>53</v>
      </c>
      <c r="C1782" s="3">
        <v>32.799999999999997</v>
      </c>
      <c r="D1782" s="3">
        <v>2</v>
      </c>
      <c r="E1782" s="4">
        <v>0</v>
      </c>
      <c r="F1782" s="5">
        <f t="shared" si="27"/>
        <v>65.599999999999994</v>
      </c>
    </row>
    <row r="1783" spans="1:6" x14ac:dyDescent="0.45">
      <c r="A1783" s="6">
        <v>10933</v>
      </c>
      <c r="B1783" s="3">
        <v>61</v>
      </c>
      <c r="C1783" s="3">
        <v>28.5</v>
      </c>
      <c r="D1783" s="3">
        <v>30</v>
      </c>
      <c r="E1783" s="4">
        <v>0</v>
      </c>
      <c r="F1783" s="5">
        <f t="shared" si="27"/>
        <v>855</v>
      </c>
    </row>
    <row r="1784" spans="1:6" x14ac:dyDescent="0.45">
      <c r="A1784" s="6">
        <v>10934</v>
      </c>
      <c r="B1784" s="3">
        <v>6</v>
      </c>
      <c r="C1784" s="3">
        <v>25</v>
      </c>
      <c r="D1784" s="3">
        <v>20</v>
      </c>
      <c r="E1784" s="4">
        <v>0</v>
      </c>
      <c r="F1784" s="5">
        <f t="shared" si="27"/>
        <v>500</v>
      </c>
    </row>
    <row r="1785" spans="1:6" x14ac:dyDescent="0.45">
      <c r="A1785" s="6">
        <v>10935</v>
      </c>
      <c r="B1785" s="3">
        <v>1</v>
      </c>
      <c r="C1785" s="3">
        <v>18</v>
      </c>
      <c r="D1785" s="3">
        <v>21</v>
      </c>
      <c r="E1785" s="4">
        <v>0</v>
      </c>
      <c r="F1785" s="5">
        <f t="shared" si="27"/>
        <v>378</v>
      </c>
    </row>
    <row r="1786" spans="1:6" x14ac:dyDescent="0.45">
      <c r="A1786" s="6">
        <v>10935</v>
      </c>
      <c r="B1786" s="3">
        <v>18</v>
      </c>
      <c r="C1786" s="3">
        <v>62.5</v>
      </c>
      <c r="D1786" s="3">
        <v>4</v>
      </c>
      <c r="E1786" s="4">
        <v>0.25</v>
      </c>
      <c r="F1786" s="5">
        <f t="shared" si="27"/>
        <v>187.5</v>
      </c>
    </row>
    <row r="1787" spans="1:6" x14ac:dyDescent="0.45">
      <c r="A1787" s="6">
        <v>10935</v>
      </c>
      <c r="B1787" s="3">
        <v>23</v>
      </c>
      <c r="C1787" s="3">
        <v>9</v>
      </c>
      <c r="D1787" s="3">
        <v>8</v>
      </c>
      <c r="E1787" s="4">
        <v>0.25</v>
      </c>
      <c r="F1787" s="5">
        <f t="shared" si="27"/>
        <v>54</v>
      </c>
    </row>
    <row r="1788" spans="1:6" x14ac:dyDescent="0.45">
      <c r="A1788" s="6">
        <v>10936</v>
      </c>
      <c r="B1788" s="3">
        <v>36</v>
      </c>
      <c r="C1788" s="3">
        <v>19</v>
      </c>
      <c r="D1788" s="3">
        <v>30</v>
      </c>
      <c r="E1788" s="4">
        <v>0.2</v>
      </c>
      <c r="F1788" s="5">
        <f t="shared" si="27"/>
        <v>456</v>
      </c>
    </row>
    <row r="1789" spans="1:6" x14ac:dyDescent="0.45">
      <c r="A1789" s="6">
        <v>10937</v>
      </c>
      <c r="B1789" s="3">
        <v>28</v>
      </c>
      <c r="C1789" s="3">
        <v>45.6</v>
      </c>
      <c r="D1789" s="3">
        <v>8</v>
      </c>
      <c r="E1789" s="4">
        <v>0</v>
      </c>
      <c r="F1789" s="5">
        <f t="shared" si="27"/>
        <v>364.8</v>
      </c>
    </row>
    <row r="1790" spans="1:6" x14ac:dyDescent="0.45">
      <c r="A1790" s="6">
        <v>10937</v>
      </c>
      <c r="B1790" s="3">
        <v>34</v>
      </c>
      <c r="C1790" s="3">
        <v>14</v>
      </c>
      <c r="D1790" s="3">
        <v>20</v>
      </c>
      <c r="E1790" s="4">
        <v>0</v>
      </c>
      <c r="F1790" s="5">
        <f t="shared" si="27"/>
        <v>280</v>
      </c>
    </row>
    <row r="1791" spans="1:6" x14ac:dyDescent="0.45">
      <c r="A1791" s="6">
        <v>10938</v>
      </c>
      <c r="B1791" s="3">
        <v>13</v>
      </c>
      <c r="C1791" s="3">
        <v>6</v>
      </c>
      <c r="D1791" s="3">
        <v>20</v>
      </c>
      <c r="E1791" s="4">
        <v>0.25</v>
      </c>
      <c r="F1791" s="5">
        <f t="shared" si="27"/>
        <v>90</v>
      </c>
    </row>
    <row r="1792" spans="1:6" x14ac:dyDescent="0.45">
      <c r="A1792" s="6">
        <v>10938</v>
      </c>
      <c r="B1792" s="3">
        <v>43</v>
      </c>
      <c r="C1792" s="3">
        <v>46</v>
      </c>
      <c r="D1792" s="3">
        <v>24</v>
      </c>
      <c r="E1792" s="4">
        <v>0.25</v>
      </c>
      <c r="F1792" s="5">
        <f t="shared" si="27"/>
        <v>828</v>
      </c>
    </row>
    <row r="1793" spans="1:6" x14ac:dyDescent="0.45">
      <c r="A1793" s="6">
        <v>10938</v>
      </c>
      <c r="B1793" s="3">
        <v>60</v>
      </c>
      <c r="C1793" s="3">
        <v>34</v>
      </c>
      <c r="D1793" s="3">
        <v>49</v>
      </c>
      <c r="E1793" s="4">
        <v>0.25</v>
      </c>
      <c r="F1793" s="5">
        <f t="shared" si="27"/>
        <v>1249.5</v>
      </c>
    </row>
    <row r="1794" spans="1:6" x14ac:dyDescent="0.45">
      <c r="A1794" s="6">
        <v>10938</v>
      </c>
      <c r="B1794" s="3">
        <v>71</v>
      </c>
      <c r="C1794" s="3">
        <v>21.5</v>
      </c>
      <c r="D1794" s="3">
        <v>35</v>
      </c>
      <c r="E1794" s="4">
        <v>0.25</v>
      </c>
      <c r="F1794" s="5">
        <f t="shared" ref="F1794:F1857" si="28">C1794*D1794*(1-E1794)</f>
        <v>564.375</v>
      </c>
    </row>
    <row r="1795" spans="1:6" x14ac:dyDescent="0.45">
      <c r="A1795" s="6">
        <v>10939</v>
      </c>
      <c r="B1795" s="3">
        <v>2</v>
      </c>
      <c r="C1795" s="3">
        <v>19</v>
      </c>
      <c r="D1795" s="3">
        <v>10</v>
      </c>
      <c r="E1795" s="4">
        <v>0.15</v>
      </c>
      <c r="F1795" s="5">
        <f t="shared" si="28"/>
        <v>161.5</v>
      </c>
    </row>
    <row r="1796" spans="1:6" x14ac:dyDescent="0.45">
      <c r="A1796" s="6">
        <v>10939</v>
      </c>
      <c r="B1796" s="3">
        <v>67</v>
      </c>
      <c r="C1796" s="3">
        <v>14</v>
      </c>
      <c r="D1796" s="3">
        <v>40</v>
      </c>
      <c r="E1796" s="4">
        <v>0.15</v>
      </c>
      <c r="F1796" s="5">
        <f t="shared" si="28"/>
        <v>476</v>
      </c>
    </row>
    <row r="1797" spans="1:6" x14ac:dyDescent="0.45">
      <c r="A1797" s="6">
        <v>10940</v>
      </c>
      <c r="B1797" s="3">
        <v>7</v>
      </c>
      <c r="C1797" s="3">
        <v>30</v>
      </c>
      <c r="D1797" s="3">
        <v>8</v>
      </c>
      <c r="E1797" s="4">
        <v>0</v>
      </c>
      <c r="F1797" s="5">
        <f t="shared" si="28"/>
        <v>240</v>
      </c>
    </row>
    <row r="1798" spans="1:6" x14ac:dyDescent="0.45">
      <c r="A1798" s="6">
        <v>10940</v>
      </c>
      <c r="B1798" s="3">
        <v>13</v>
      </c>
      <c r="C1798" s="3">
        <v>6</v>
      </c>
      <c r="D1798" s="3">
        <v>20</v>
      </c>
      <c r="E1798" s="4">
        <v>0</v>
      </c>
      <c r="F1798" s="5">
        <f t="shared" si="28"/>
        <v>120</v>
      </c>
    </row>
    <row r="1799" spans="1:6" x14ac:dyDescent="0.45">
      <c r="A1799" s="6">
        <v>10941</v>
      </c>
      <c r="B1799" s="3">
        <v>31</v>
      </c>
      <c r="C1799" s="3">
        <v>12.5</v>
      </c>
      <c r="D1799" s="3">
        <v>44</v>
      </c>
      <c r="E1799" s="4">
        <v>0.25</v>
      </c>
      <c r="F1799" s="5">
        <f t="shared" si="28"/>
        <v>412.5</v>
      </c>
    </row>
    <row r="1800" spans="1:6" x14ac:dyDescent="0.45">
      <c r="A1800" s="6">
        <v>10941</v>
      </c>
      <c r="B1800" s="3">
        <v>62</v>
      </c>
      <c r="C1800" s="3">
        <v>49.3</v>
      </c>
      <c r="D1800" s="3">
        <v>30</v>
      </c>
      <c r="E1800" s="4">
        <v>0.25</v>
      </c>
      <c r="F1800" s="5">
        <f t="shared" si="28"/>
        <v>1109.25</v>
      </c>
    </row>
    <row r="1801" spans="1:6" x14ac:dyDescent="0.45">
      <c r="A1801" s="6">
        <v>10941</v>
      </c>
      <c r="B1801" s="3">
        <v>68</v>
      </c>
      <c r="C1801" s="3">
        <v>12.5</v>
      </c>
      <c r="D1801" s="3">
        <v>80</v>
      </c>
      <c r="E1801" s="4">
        <v>0.25</v>
      </c>
      <c r="F1801" s="5">
        <f t="shared" si="28"/>
        <v>750</v>
      </c>
    </row>
    <row r="1802" spans="1:6" x14ac:dyDescent="0.45">
      <c r="A1802" s="6">
        <v>10941</v>
      </c>
      <c r="B1802" s="3">
        <v>72</v>
      </c>
      <c r="C1802" s="3">
        <v>34.799999999999997</v>
      </c>
      <c r="D1802" s="3">
        <v>50</v>
      </c>
      <c r="E1802" s="4">
        <v>0</v>
      </c>
      <c r="F1802" s="5">
        <f t="shared" si="28"/>
        <v>1739.9999999999998</v>
      </c>
    </row>
    <row r="1803" spans="1:6" x14ac:dyDescent="0.45">
      <c r="A1803" s="6">
        <v>10942</v>
      </c>
      <c r="B1803" s="3">
        <v>49</v>
      </c>
      <c r="C1803" s="3">
        <v>20</v>
      </c>
      <c r="D1803" s="3">
        <v>28</v>
      </c>
      <c r="E1803" s="4">
        <v>0</v>
      </c>
      <c r="F1803" s="5">
        <f t="shared" si="28"/>
        <v>560</v>
      </c>
    </row>
    <row r="1804" spans="1:6" x14ac:dyDescent="0.45">
      <c r="A1804" s="6">
        <v>10943</v>
      </c>
      <c r="B1804" s="3">
        <v>13</v>
      </c>
      <c r="C1804" s="3">
        <v>6</v>
      </c>
      <c r="D1804" s="3">
        <v>15</v>
      </c>
      <c r="E1804" s="4">
        <v>0</v>
      </c>
      <c r="F1804" s="5">
        <f t="shared" si="28"/>
        <v>90</v>
      </c>
    </row>
    <row r="1805" spans="1:6" x14ac:dyDescent="0.45">
      <c r="A1805" s="6">
        <v>10943</v>
      </c>
      <c r="B1805" s="3">
        <v>22</v>
      </c>
      <c r="C1805" s="3">
        <v>21</v>
      </c>
      <c r="D1805" s="3">
        <v>21</v>
      </c>
      <c r="E1805" s="4">
        <v>0</v>
      </c>
      <c r="F1805" s="5">
        <f t="shared" si="28"/>
        <v>441</v>
      </c>
    </row>
    <row r="1806" spans="1:6" x14ac:dyDescent="0.45">
      <c r="A1806" s="6">
        <v>10943</v>
      </c>
      <c r="B1806" s="3">
        <v>46</v>
      </c>
      <c r="C1806" s="3">
        <v>12</v>
      </c>
      <c r="D1806" s="3">
        <v>15</v>
      </c>
      <c r="E1806" s="4">
        <v>0</v>
      </c>
      <c r="F1806" s="5">
        <f t="shared" si="28"/>
        <v>180</v>
      </c>
    </row>
    <row r="1807" spans="1:6" x14ac:dyDescent="0.45">
      <c r="A1807" s="6">
        <v>10944</v>
      </c>
      <c r="B1807" s="3">
        <v>11</v>
      </c>
      <c r="C1807" s="3">
        <v>21</v>
      </c>
      <c r="D1807" s="3">
        <v>5</v>
      </c>
      <c r="E1807" s="4">
        <v>0.25</v>
      </c>
      <c r="F1807" s="5">
        <f t="shared" si="28"/>
        <v>78.75</v>
      </c>
    </row>
    <row r="1808" spans="1:6" x14ac:dyDescent="0.45">
      <c r="A1808" s="6">
        <v>10944</v>
      </c>
      <c r="B1808" s="3">
        <v>44</v>
      </c>
      <c r="C1808" s="3">
        <v>19.45</v>
      </c>
      <c r="D1808" s="3">
        <v>18</v>
      </c>
      <c r="E1808" s="4">
        <v>0.25</v>
      </c>
      <c r="F1808" s="5">
        <f t="shared" si="28"/>
        <v>262.57499999999999</v>
      </c>
    </row>
    <row r="1809" spans="1:6" x14ac:dyDescent="0.45">
      <c r="A1809" s="6">
        <v>10944</v>
      </c>
      <c r="B1809" s="3">
        <v>56</v>
      </c>
      <c r="C1809" s="3">
        <v>38</v>
      </c>
      <c r="D1809" s="3">
        <v>18</v>
      </c>
      <c r="E1809" s="4">
        <v>0</v>
      </c>
      <c r="F1809" s="5">
        <f t="shared" si="28"/>
        <v>684</v>
      </c>
    </row>
    <row r="1810" spans="1:6" x14ac:dyDescent="0.45">
      <c r="A1810" s="6">
        <v>10945</v>
      </c>
      <c r="B1810" s="3">
        <v>13</v>
      </c>
      <c r="C1810" s="3">
        <v>6</v>
      </c>
      <c r="D1810" s="3">
        <v>20</v>
      </c>
      <c r="E1810" s="4">
        <v>0</v>
      </c>
      <c r="F1810" s="5">
        <f t="shared" si="28"/>
        <v>120</v>
      </c>
    </row>
    <row r="1811" spans="1:6" x14ac:dyDescent="0.45">
      <c r="A1811" s="6">
        <v>10945</v>
      </c>
      <c r="B1811" s="3">
        <v>31</v>
      </c>
      <c r="C1811" s="3">
        <v>12.5</v>
      </c>
      <c r="D1811" s="3">
        <v>10</v>
      </c>
      <c r="E1811" s="4">
        <v>0</v>
      </c>
      <c r="F1811" s="5">
        <f t="shared" si="28"/>
        <v>125</v>
      </c>
    </row>
    <row r="1812" spans="1:6" x14ac:dyDescent="0.45">
      <c r="A1812" s="6">
        <v>10946</v>
      </c>
      <c r="B1812" s="3">
        <v>10</v>
      </c>
      <c r="C1812" s="3">
        <v>31</v>
      </c>
      <c r="D1812" s="3">
        <v>25</v>
      </c>
      <c r="E1812" s="4">
        <v>0</v>
      </c>
      <c r="F1812" s="5">
        <f t="shared" si="28"/>
        <v>775</v>
      </c>
    </row>
    <row r="1813" spans="1:6" x14ac:dyDescent="0.45">
      <c r="A1813" s="6">
        <v>10946</v>
      </c>
      <c r="B1813" s="3">
        <v>24</v>
      </c>
      <c r="C1813" s="3">
        <v>4.5</v>
      </c>
      <c r="D1813" s="3">
        <v>25</v>
      </c>
      <c r="E1813" s="4">
        <v>0</v>
      </c>
      <c r="F1813" s="5">
        <f t="shared" si="28"/>
        <v>112.5</v>
      </c>
    </row>
    <row r="1814" spans="1:6" x14ac:dyDescent="0.45">
      <c r="A1814" s="6">
        <v>10946</v>
      </c>
      <c r="B1814" s="3">
        <v>77</v>
      </c>
      <c r="C1814" s="3">
        <v>13</v>
      </c>
      <c r="D1814" s="3">
        <v>40</v>
      </c>
      <c r="E1814" s="4">
        <v>0</v>
      </c>
      <c r="F1814" s="5">
        <f t="shared" si="28"/>
        <v>520</v>
      </c>
    </row>
    <row r="1815" spans="1:6" x14ac:dyDescent="0.45">
      <c r="A1815" s="6">
        <v>10947</v>
      </c>
      <c r="B1815" s="3">
        <v>59</v>
      </c>
      <c r="C1815" s="3">
        <v>55</v>
      </c>
      <c r="D1815" s="3">
        <v>4</v>
      </c>
      <c r="E1815" s="4">
        <v>0</v>
      </c>
      <c r="F1815" s="5">
        <f t="shared" si="28"/>
        <v>220</v>
      </c>
    </row>
    <row r="1816" spans="1:6" x14ac:dyDescent="0.45">
      <c r="A1816" s="6">
        <v>10948</v>
      </c>
      <c r="B1816" s="3">
        <v>50</v>
      </c>
      <c r="C1816" s="3">
        <v>16.25</v>
      </c>
      <c r="D1816" s="3">
        <v>9</v>
      </c>
      <c r="E1816" s="4">
        <v>0</v>
      </c>
      <c r="F1816" s="5">
        <f t="shared" si="28"/>
        <v>146.25</v>
      </c>
    </row>
    <row r="1817" spans="1:6" x14ac:dyDescent="0.45">
      <c r="A1817" s="6">
        <v>10948</v>
      </c>
      <c r="B1817" s="3">
        <v>51</v>
      </c>
      <c r="C1817" s="3">
        <v>53</v>
      </c>
      <c r="D1817" s="3">
        <v>40</v>
      </c>
      <c r="E1817" s="4">
        <v>0</v>
      </c>
      <c r="F1817" s="5">
        <f t="shared" si="28"/>
        <v>2120</v>
      </c>
    </row>
    <row r="1818" spans="1:6" x14ac:dyDescent="0.45">
      <c r="A1818" s="6">
        <v>10948</v>
      </c>
      <c r="B1818" s="3">
        <v>55</v>
      </c>
      <c r="C1818" s="3">
        <v>24</v>
      </c>
      <c r="D1818" s="3">
        <v>4</v>
      </c>
      <c r="E1818" s="4">
        <v>0</v>
      </c>
      <c r="F1818" s="5">
        <f t="shared" si="28"/>
        <v>96</v>
      </c>
    </row>
    <row r="1819" spans="1:6" x14ac:dyDescent="0.45">
      <c r="A1819" s="6">
        <v>10949</v>
      </c>
      <c r="B1819" s="3">
        <v>6</v>
      </c>
      <c r="C1819" s="3">
        <v>25</v>
      </c>
      <c r="D1819" s="3">
        <v>12</v>
      </c>
      <c r="E1819" s="4">
        <v>0</v>
      </c>
      <c r="F1819" s="5">
        <f t="shared" si="28"/>
        <v>300</v>
      </c>
    </row>
    <row r="1820" spans="1:6" x14ac:dyDescent="0.45">
      <c r="A1820" s="6">
        <v>10949</v>
      </c>
      <c r="B1820" s="3">
        <v>10</v>
      </c>
      <c r="C1820" s="3">
        <v>31</v>
      </c>
      <c r="D1820" s="3">
        <v>30</v>
      </c>
      <c r="E1820" s="4">
        <v>0</v>
      </c>
      <c r="F1820" s="5">
        <f t="shared" si="28"/>
        <v>930</v>
      </c>
    </row>
    <row r="1821" spans="1:6" x14ac:dyDescent="0.45">
      <c r="A1821" s="6">
        <v>10949</v>
      </c>
      <c r="B1821" s="3">
        <v>17</v>
      </c>
      <c r="C1821" s="3">
        <v>39</v>
      </c>
      <c r="D1821" s="3">
        <v>6</v>
      </c>
      <c r="E1821" s="4">
        <v>0</v>
      </c>
      <c r="F1821" s="5">
        <f t="shared" si="28"/>
        <v>234</v>
      </c>
    </row>
    <row r="1822" spans="1:6" x14ac:dyDescent="0.45">
      <c r="A1822" s="6">
        <v>10949</v>
      </c>
      <c r="B1822" s="3">
        <v>62</v>
      </c>
      <c r="C1822" s="3">
        <v>49.3</v>
      </c>
      <c r="D1822" s="3">
        <v>60</v>
      </c>
      <c r="E1822" s="4">
        <v>0</v>
      </c>
      <c r="F1822" s="5">
        <f t="shared" si="28"/>
        <v>2958</v>
      </c>
    </row>
    <row r="1823" spans="1:6" x14ac:dyDescent="0.45">
      <c r="A1823" s="6">
        <v>10950</v>
      </c>
      <c r="B1823" s="3">
        <v>4</v>
      </c>
      <c r="C1823" s="3">
        <v>22</v>
      </c>
      <c r="D1823" s="3">
        <v>5</v>
      </c>
      <c r="E1823" s="4">
        <v>0</v>
      </c>
      <c r="F1823" s="5">
        <f t="shared" si="28"/>
        <v>110</v>
      </c>
    </row>
    <row r="1824" spans="1:6" x14ac:dyDescent="0.45">
      <c r="A1824" s="6">
        <v>10951</v>
      </c>
      <c r="B1824" s="3">
        <v>33</v>
      </c>
      <c r="C1824" s="3">
        <v>2.5</v>
      </c>
      <c r="D1824" s="3">
        <v>15</v>
      </c>
      <c r="E1824" s="4">
        <v>0.05</v>
      </c>
      <c r="F1824" s="5">
        <f t="shared" si="28"/>
        <v>35.625</v>
      </c>
    </row>
    <row r="1825" spans="1:6" x14ac:dyDescent="0.45">
      <c r="A1825" s="6">
        <v>10951</v>
      </c>
      <c r="B1825" s="3">
        <v>41</v>
      </c>
      <c r="C1825" s="3">
        <v>9.65</v>
      </c>
      <c r="D1825" s="3">
        <v>6</v>
      </c>
      <c r="E1825" s="4">
        <v>0.05</v>
      </c>
      <c r="F1825" s="5">
        <f t="shared" si="28"/>
        <v>55.005000000000003</v>
      </c>
    </row>
    <row r="1826" spans="1:6" x14ac:dyDescent="0.45">
      <c r="A1826" s="6">
        <v>10951</v>
      </c>
      <c r="B1826" s="3">
        <v>75</v>
      </c>
      <c r="C1826" s="3">
        <v>7.75</v>
      </c>
      <c r="D1826" s="3">
        <v>50</v>
      </c>
      <c r="E1826" s="4">
        <v>0.05</v>
      </c>
      <c r="F1826" s="5">
        <f t="shared" si="28"/>
        <v>368.125</v>
      </c>
    </row>
    <row r="1827" spans="1:6" x14ac:dyDescent="0.45">
      <c r="A1827" s="6">
        <v>10952</v>
      </c>
      <c r="B1827" s="3">
        <v>6</v>
      </c>
      <c r="C1827" s="3">
        <v>25</v>
      </c>
      <c r="D1827" s="3">
        <v>16</v>
      </c>
      <c r="E1827" s="4">
        <v>0.05</v>
      </c>
      <c r="F1827" s="5">
        <f t="shared" si="28"/>
        <v>380</v>
      </c>
    </row>
    <row r="1828" spans="1:6" x14ac:dyDescent="0.45">
      <c r="A1828" s="6">
        <v>10952</v>
      </c>
      <c r="B1828" s="3">
        <v>28</v>
      </c>
      <c r="C1828" s="3">
        <v>45.6</v>
      </c>
      <c r="D1828" s="3">
        <v>2</v>
      </c>
      <c r="E1828" s="4">
        <v>0</v>
      </c>
      <c r="F1828" s="5">
        <f t="shared" si="28"/>
        <v>91.2</v>
      </c>
    </row>
    <row r="1829" spans="1:6" x14ac:dyDescent="0.45">
      <c r="A1829" s="6">
        <v>10953</v>
      </c>
      <c r="B1829" s="3">
        <v>20</v>
      </c>
      <c r="C1829" s="3">
        <v>81</v>
      </c>
      <c r="D1829" s="3">
        <v>50</v>
      </c>
      <c r="E1829" s="4">
        <v>0.05</v>
      </c>
      <c r="F1829" s="5">
        <f t="shared" si="28"/>
        <v>3847.5</v>
      </c>
    </row>
    <row r="1830" spans="1:6" x14ac:dyDescent="0.45">
      <c r="A1830" s="6">
        <v>10953</v>
      </c>
      <c r="B1830" s="3">
        <v>31</v>
      </c>
      <c r="C1830" s="3">
        <v>12.5</v>
      </c>
      <c r="D1830" s="3">
        <v>50</v>
      </c>
      <c r="E1830" s="4">
        <v>0.05</v>
      </c>
      <c r="F1830" s="5">
        <f t="shared" si="28"/>
        <v>593.75</v>
      </c>
    </row>
    <row r="1831" spans="1:6" x14ac:dyDescent="0.45">
      <c r="A1831" s="6">
        <v>10954</v>
      </c>
      <c r="B1831" s="3">
        <v>16</v>
      </c>
      <c r="C1831" s="3">
        <v>17.45</v>
      </c>
      <c r="D1831" s="3">
        <v>28</v>
      </c>
      <c r="E1831" s="4">
        <v>0.15</v>
      </c>
      <c r="F1831" s="5">
        <f t="shared" si="28"/>
        <v>415.30999999999995</v>
      </c>
    </row>
    <row r="1832" spans="1:6" x14ac:dyDescent="0.45">
      <c r="A1832" s="6">
        <v>10954</v>
      </c>
      <c r="B1832" s="3">
        <v>31</v>
      </c>
      <c r="C1832" s="3">
        <v>12.5</v>
      </c>
      <c r="D1832" s="3">
        <v>25</v>
      </c>
      <c r="E1832" s="4">
        <v>0.15</v>
      </c>
      <c r="F1832" s="5">
        <f t="shared" si="28"/>
        <v>265.625</v>
      </c>
    </row>
    <row r="1833" spans="1:6" x14ac:dyDescent="0.45">
      <c r="A1833" s="6">
        <v>10954</v>
      </c>
      <c r="B1833" s="3">
        <v>45</v>
      </c>
      <c r="C1833" s="3">
        <v>9.5</v>
      </c>
      <c r="D1833" s="3">
        <v>30</v>
      </c>
      <c r="E1833" s="4">
        <v>0</v>
      </c>
      <c r="F1833" s="5">
        <f t="shared" si="28"/>
        <v>285</v>
      </c>
    </row>
    <row r="1834" spans="1:6" x14ac:dyDescent="0.45">
      <c r="A1834" s="6">
        <v>10954</v>
      </c>
      <c r="B1834" s="3">
        <v>60</v>
      </c>
      <c r="C1834" s="3">
        <v>34</v>
      </c>
      <c r="D1834" s="3">
        <v>24</v>
      </c>
      <c r="E1834" s="4">
        <v>0.15</v>
      </c>
      <c r="F1834" s="5">
        <f t="shared" si="28"/>
        <v>693.6</v>
      </c>
    </row>
    <row r="1835" spans="1:6" x14ac:dyDescent="0.45">
      <c r="A1835" s="6">
        <v>10955</v>
      </c>
      <c r="B1835" s="3">
        <v>75</v>
      </c>
      <c r="C1835" s="3">
        <v>7.75</v>
      </c>
      <c r="D1835" s="3">
        <v>12</v>
      </c>
      <c r="E1835" s="4">
        <v>0.2</v>
      </c>
      <c r="F1835" s="5">
        <f t="shared" si="28"/>
        <v>74.400000000000006</v>
      </c>
    </row>
    <row r="1836" spans="1:6" x14ac:dyDescent="0.45">
      <c r="A1836" s="6">
        <v>10956</v>
      </c>
      <c r="B1836" s="3">
        <v>21</v>
      </c>
      <c r="C1836" s="3">
        <v>10</v>
      </c>
      <c r="D1836" s="3">
        <v>12</v>
      </c>
      <c r="E1836" s="4">
        <v>0</v>
      </c>
      <c r="F1836" s="5">
        <f t="shared" si="28"/>
        <v>120</v>
      </c>
    </row>
    <row r="1837" spans="1:6" x14ac:dyDescent="0.45">
      <c r="A1837" s="6">
        <v>10956</v>
      </c>
      <c r="B1837" s="3">
        <v>47</v>
      </c>
      <c r="C1837" s="3">
        <v>9.5</v>
      </c>
      <c r="D1837" s="3">
        <v>14</v>
      </c>
      <c r="E1837" s="4">
        <v>0</v>
      </c>
      <c r="F1837" s="5">
        <f t="shared" si="28"/>
        <v>133</v>
      </c>
    </row>
    <row r="1838" spans="1:6" x14ac:dyDescent="0.45">
      <c r="A1838" s="6">
        <v>10956</v>
      </c>
      <c r="B1838" s="3">
        <v>51</v>
      </c>
      <c r="C1838" s="3">
        <v>53</v>
      </c>
      <c r="D1838" s="3">
        <v>8</v>
      </c>
      <c r="E1838" s="4">
        <v>0</v>
      </c>
      <c r="F1838" s="5">
        <f t="shared" si="28"/>
        <v>424</v>
      </c>
    </row>
    <row r="1839" spans="1:6" x14ac:dyDescent="0.45">
      <c r="A1839" s="6">
        <v>10957</v>
      </c>
      <c r="B1839" s="3">
        <v>30</v>
      </c>
      <c r="C1839" s="3">
        <v>25.89</v>
      </c>
      <c r="D1839" s="3">
        <v>30</v>
      </c>
      <c r="E1839" s="4">
        <v>0</v>
      </c>
      <c r="F1839" s="5">
        <f t="shared" si="28"/>
        <v>776.7</v>
      </c>
    </row>
    <row r="1840" spans="1:6" x14ac:dyDescent="0.45">
      <c r="A1840" s="6">
        <v>10957</v>
      </c>
      <c r="B1840" s="3">
        <v>35</v>
      </c>
      <c r="C1840" s="3">
        <v>18</v>
      </c>
      <c r="D1840" s="3">
        <v>40</v>
      </c>
      <c r="E1840" s="4">
        <v>0</v>
      </c>
      <c r="F1840" s="5">
        <f t="shared" si="28"/>
        <v>720</v>
      </c>
    </row>
    <row r="1841" spans="1:6" x14ac:dyDescent="0.45">
      <c r="A1841" s="6">
        <v>10957</v>
      </c>
      <c r="B1841" s="3">
        <v>64</v>
      </c>
      <c r="C1841" s="3">
        <v>33.25</v>
      </c>
      <c r="D1841" s="3">
        <v>8</v>
      </c>
      <c r="E1841" s="4">
        <v>0</v>
      </c>
      <c r="F1841" s="5">
        <f t="shared" si="28"/>
        <v>266</v>
      </c>
    </row>
    <row r="1842" spans="1:6" x14ac:dyDescent="0.45">
      <c r="A1842" s="6">
        <v>10958</v>
      </c>
      <c r="B1842" s="3">
        <v>5</v>
      </c>
      <c r="C1842" s="3">
        <v>21.35</v>
      </c>
      <c r="D1842" s="3">
        <v>20</v>
      </c>
      <c r="E1842" s="4">
        <v>0</v>
      </c>
      <c r="F1842" s="5">
        <f t="shared" si="28"/>
        <v>427</v>
      </c>
    </row>
    <row r="1843" spans="1:6" x14ac:dyDescent="0.45">
      <c r="A1843" s="6">
        <v>10958</v>
      </c>
      <c r="B1843" s="3">
        <v>7</v>
      </c>
      <c r="C1843" s="3">
        <v>30</v>
      </c>
      <c r="D1843" s="3">
        <v>6</v>
      </c>
      <c r="E1843" s="4">
        <v>0</v>
      </c>
      <c r="F1843" s="5">
        <f t="shared" si="28"/>
        <v>180</v>
      </c>
    </row>
    <row r="1844" spans="1:6" x14ac:dyDescent="0.45">
      <c r="A1844" s="6">
        <v>10958</v>
      </c>
      <c r="B1844" s="3">
        <v>72</v>
      </c>
      <c r="C1844" s="3">
        <v>34.799999999999997</v>
      </c>
      <c r="D1844" s="3">
        <v>5</v>
      </c>
      <c r="E1844" s="4">
        <v>0</v>
      </c>
      <c r="F1844" s="5">
        <f t="shared" si="28"/>
        <v>174</v>
      </c>
    </row>
    <row r="1845" spans="1:6" x14ac:dyDescent="0.45">
      <c r="A1845" s="6">
        <v>10959</v>
      </c>
      <c r="B1845" s="3">
        <v>75</v>
      </c>
      <c r="C1845" s="3">
        <v>7.75</v>
      </c>
      <c r="D1845" s="3">
        <v>20</v>
      </c>
      <c r="E1845" s="4">
        <v>0.15</v>
      </c>
      <c r="F1845" s="5">
        <f t="shared" si="28"/>
        <v>131.75</v>
      </c>
    </row>
    <row r="1846" spans="1:6" x14ac:dyDescent="0.45">
      <c r="A1846" s="6">
        <v>10960</v>
      </c>
      <c r="B1846" s="3">
        <v>24</v>
      </c>
      <c r="C1846" s="3">
        <v>4.5</v>
      </c>
      <c r="D1846" s="3">
        <v>10</v>
      </c>
      <c r="E1846" s="4">
        <v>0.25</v>
      </c>
      <c r="F1846" s="5">
        <f t="shared" si="28"/>
        <v>33.75</v>
      </c>
    </row>
    <row r="1847" spans="1:6" x14ac:dyDescent="0.45">
      <c r="A1847" s="6">
        <v>10960</v>
      </c>
      <c r="B1847" s="3">
        <v>41</v>
      </c>
      <c r="C1847" s="3">
        <v>9.65</v>
      </c>
      <c r="D1847" s="3">
        <v>24</v>
      </c>
      <c r="E1847" s="4">
        <v>0</v>
      </c>
      <c r="F1847" s="5">
        <f t="shared" si="28"/>
        <v>231.60000000000002</v>
      </c>
    </row>
    <row r="1848" spans="1:6" x14ac:dyDescent="0.45">
      <c r="A1848" s="6">
        <v>10961</v>
      </c>
      <c r="B1848" s="3">
        <v>52</v>
      </c>
      <c r="C1848" s="3">
        <v>7</v>
      </c>
      <c r="D1848" s="3">
        <v>6</v>
      </c>
      <c r="E1848" s="4">
        <v>0.05</v>
      </c>
      <c r="F1848" s="5">
        <f t="shared" si="28"/>
        <v>39.9</v>
      </c>
    </row>
    <row r="1849" spans="1:6" x14ac:dyDescent="0.45">
      <c r="A1849" s="6">
        <v>10961</v>
      </c>
      <c r="B1849" s="3">
        <v>76</v>
      </c>
      <c r="C1849" s="3">
        <v>18</v>
      </c>
      <c r="D1849" s="3">
        <v>60</v>
      </c>
      <c r="E1849" s="4">
        <v>0</v>
      </c>
      <c r="F1849" s="5">
        <f t="shared" si="28"/>
        <v>1080</v>
      </c>
    </row>
    <row r="1850" spans="1:6" x14ac:dyDescent="0.45">
      <c r="A1850" s="6">
        <v>10962</v>
      </c>
      <c r="B1850" s="3">
        <v>7</v>
      </c>
      <c r="C1850" s="3">
        <v>30</v>
      </c>
      <c r="D1850" s="3">
        <v>45</v>
      </c>
      <c r="E1850" s="4">
        <v>0</v>
      </c>
      <c r="F1850" s="5">
        <f t="shared" si="28"/>
        <v>1350</v>
      </c>
    </row>
    <row r="1851" spans="1:6" x14ac:dyDescent="0.45">
      <c r="A1851" s="6">
        <v>10962</v>
      </c>
      <c r="B1851" s="3">
        <v>13</v>
      </c>
      <c r="C1851" s="3">
        <v>6</v>
      </c>
      <c r="D1851" s="3">
        <v>77</v>
      </c>
      <c r="E1851" s="4">
        <v>0</v>
      </c>
      <c r="F1851" s="5">
        <f t="shared" si="28"/>
        <v>462</v>
      </c>
    </row>
    <row r="1852" spans="1:6" x14ac:dyDescent="0.45">
      <c r="A1852" s="6">
        <v>10962</v>
      </c>
      <c r="B1852" s="3">
        <v>53</v>
      </c>
      <c r="C1852" s="3">
        <v>32.799999999999997</v>
      </c>
      <c r="D1852" s="3">
        <v>20</v>
      </c>
      <c r="E1852" s="4">
        <v>0</v>
      </c>
      <c r="F1852" s="5">
        <f t="shared" si="28"/>
        <v>656</v>
      </c>
    </row>
    <row r="1853" spans="1:6" x14ac:dyDescent="0.45">
      <c r="A1853" s="6">
        <v>10962</v>
      </c>
      <c r="B1853" s="3">
        <v>69</v>
      </c>
      <c r="C1853" s="3">
        <v>36</v>
      </c>
      <c r="D1853" s="3">
        <v>9</v>
      </c>
      <c r="E1853" s="4">
        <v>0</v>
      </c>
      <c r="F1853" s="5">
        <f t="shared" si="28"/>
        <v>324</v>
      </c>
    </row>
    <row r="1854" spans="1:6" x14ac:dyDescent="0.45">
      <c r="A1854" s="6">
        <v>10962</v>
      </c>
      <c r="B1854" s="3">
        <v>76</v>
      </c>
      <c r="C1854" s="3">
        <v>18</v>
      </c>
      <c r="D1854" s="3">
        <v>44</v>
      </c>
      <c r="E1854" s="4">
        <v>0</v>
      </c>
      <c r="F1854" s="5">
        <f t="shared" si="28"/>
        <v>792</v>
      </c>
    </row>
    <row r="1855" spans="1:6" x14ac:dyDescent="0.45">
      <c r="A1855" s="6">
        <v>10963</v>
      </c>
      <c r="B1855" s="3">
        <v>60</v>
      </c>
      <c r="C1855" s="3">
        <v>34</v>
      </c>
      <c r="D1855" s="3">
        <v>2</v>
      </c>
      <c r="E1855" s="4">
        <v>0.15</v>
      </c>
      <c r="F1855" s="5">
        <f t="shared" si="28"/>
        <v>57.8</v>
      </c>
    </row>
    <row r="1856" spans="1:6" x14ac:dyDescent="0.45">
      <c r="A1856" s="6">
        <v>10964</v>
      </c>
      <c r="B1856" s="3">
        <v>18</v>
      </c>
      <c r="C1856" s="3">
        <v>62.5</v>
      </c>
      <c r="D1856" s="3">
        <v>6</v>
      </c>
      <c r="E1856" s="4">
        <v>0</v>
      </c>
      <c r="F1856" s="5">
        <f t="shared" si="28"/>
        <v>375</v>
      </c>
    </row>
    <row r="1857" spans="1:6" x14ac:dyDescent="0.45">
      <c r="A1857" s="6">
        <v>10964</v>
      </c>
      <c r="B1857" s="3">
        <v>38</v>
      </c>
      <c r="C1857" s="3">
        <v>263.5</v>
      </c>
      <c r="D1857" s="3">
        <v>5</v>
      </c>
      <c r="E1857" s="4">
        <v>0</v>
      </c>
      <c r="F1857" s="5">
        <f t="shared" si="28"/>
        <v>1317.5</v>
      </c>
    </row>
    <row r="1858" spans="1:6" x14ac:dyDescent="0.45">
      <c r="A1858" s="6">
        <v>10964</v>
      </c>
      <c r="B1858" s="3">
        <v>69</v>
      </c>
      <c r="C1858" s="3">
        <v>36</v>
      </c>
      <c r="D1858" s="3">
        <v>10</v>
      </c>
      <c r="E1858" s="4">
        <v>0</v>
      </c>
      <c r="F1858" s="5">
        <f t="shared" ref="F1858:F1921" si="29">C1858*D1858*(1-E1858)</f>
        <v>360</v>
      </c>
    </row>
    <row r="1859" spans="1:6" x14ac:dyDescent="0.45">
      <c r="A1859" s="6">
        <v>10965</v>
      </c>
      <c r="B1859" s="3">
        <v>51</v>
      </c>
      <c r="C1859" s="3">
        <v>53</v>
      </c>
      <c r="D1859" s="3">
        <v>16</v>
      </c>
      <c r="E1859" s="4">
        <v>0</v>
      </c>
      <c r="F1859" s="5">
        <f t="shared" si="29"/>
        <v>848</v>
      </c>
    </row>
    <row r="1860" spans="1:6" x14ac:dyDescent="0.45">
      <c r="A1860" s="6">
        <v>10966</v>
      </c>
      <c r="B1860" s="3">
        <v>37</v>
      </c>
      <c r="C1860" s="3">
        <v>26</v>
      </c>
      <c r="D1860" s="3">
        <v>8</v>
      </c>
      <c r="E1860" s="4">
        <v>0</v>
      </c>
      <c r="F1860" s="5">
        <f t="shared" si="29"/>
        <v>208</v>
      </c>
    </row>
    <row r="1861" spans="1:6" x14ac:dyDescent="0.45">
      <c r="A1861" s="6">
        <v>10966</v>
      </c>
      <c r="B1861" s="3">
        <v>56</v>
      </c>
      <c r="C1861" s="3">
        <v>38</v>
      </c>
      <c r="D1861" s="3">
        <v>12</v>
      </c>
      <c r="E1861" s="4">
        <v>0.15</v>
      </c>
      <c r="F1861" s="5">
        <f t="shared" si="29"/>
        <v>387.59999999999997</v>
      </c>
    </row>
    <row r="1862" spans="1:6" x14ac:dyDescent="0.45">
      <c r="A1862" s="6">
        <v>10966</v>
      </c>
      <c r="B1862" s="3">
        <v>62</v>
      </c>
      <c r="C1862" s="3">
        <v>49.3</v>
      </c>
      <c r="D1862" s="3">
        <v>12</v>
      </c>
      <c r="E1862" s="4">
        <v>0.15</v>
      </c>
      <c r="F1862" s="5">
        <f t="shared" si="29"/>
        <v>502.8599999999999</v>
      </c>
    </row>
    <row r="1863" spans="1:6" x14ac:dyDescent="0.45">
      <c r="A1863" s="6">
        <v>10967</v>
      </c>
      <c r="B1863" s="3">
        <v>19</v>
      </c>
      <c r="C1863" s="3">
        <v>9.1999999999999993</v>
      </c>
      <c r="D1863" s="3">
        <v>12</v>
      </c>
      <c r="E1863" s="4">
        <v>0</v>
      </c>
      <c r="F1863" s="5">
        <f t="shared" si="29"/>
        <v>110.39999999999999</v>
      </c>
    </row>
    <row r="1864" spans="1:6" x14ac:dyDescent="0.45">
      <c r="A1864" s="6">
        <v>10967</v>
      </c>
      <c r="B1864" s="3">
        <v>49</v>
      </c>
      <c r="C1864" s="3">
        <v>20</v>
      </c>
      <c r="D1864" s="3">
        <v>40</v>
      </c>
      <c r="E1864" s="4">
        <v>0</v>
      </c>
      <c r="F1864" s="5">
        <f t="shared" si="29"/>
        <v>800</v>
      </c>
    </row>
    <row r="1865" spans="1:6" x14ac:dyDescent="0.45">
      <c r="A1865" s="6">
        <v>10968</v>
      </c>
      <c r="B1865" s="3">
        <v>12</v>
      </c>
      <c r="C1865" s="3">
        <v>38</v>
      </c>
      <c r="D1865" s="3">
        <v>30</v>
      </c>
      <c r="E1865" s="4">
        <v>0</v>
      </c>
      <c r="F1865" s="5">
        <f t="shared" si="29"/>
        <v>1140</v>
      </c>
    </row>
    <row r="1866" spans="1:6" x14ac:dyDescent="0.45">
      <c r="A1866" s="6">
        <v>10968</v>
      </c>
      <c r="B1866" s="3">
        <v>24</v>
      </c>
      <c r="C1866" s="3">
        <v>4.5</v>
      </c>
      <c r="D1866" s="3">
        <v>30</v>
      </c>
      <c r="E1866" s="4">
        <v>0</v>
      </c>
      <c r="F1866" s="5">
        <f t="shared" si="29"/>
        <v>135</v>
      </c>
    </row>
    <row r="1867" spans="1:6" x14ac:dyDescent="0.45">
      <c r="A1867" s="6">
        <v>10968</v>
      </c>
      <c r="B1867" s="3">
        <v>64</v>
      </c>
      <c r="C1867" s="3">
        <v>33.25</v>
      </c>
      <c r="D1867" s="3">
        <v>4</v>
      </c>
      <c r="E1867" s="4">
        <v>0</v>
      </c>
      <c r="F1867" s="5">
        <f t="shared" si="29"/>
        <v>133</v>
      </c>
    </row>
    <row r="1868" spans="1:6" x14ac:dyDescent="0.45">
      <c r="A1868" s="6">
        <v>10969</v>
      </c>
      <c r="B1868" s="3">
        <v>46</v>
      </c>
      <c r="C1868" s="3">
        <v>12</v>
      </c>
      <c r="D1868" s="3">
        <v>9</v>
      </c>
      <c r="E1868" s="4">
        <v>0</v>
      </c>
      <c r="F1868" s="5">
        <f t="shared" si="29"/>
        <v>108</v>
      </c>
    </row>
    <row r="1869" spans="1:6" x14ac:dyDescent="0.45">
      <c r="A1869" s="6">
        <v>10970</v>
      </c>
      <c r="B1869" s="3">
        <v>52</v>
      </c>
      <c r="C1869" s="3">
        <v>7</v>
      </c>
      <c r="D1869" s="3">
        <v>40</v>
      </c>
      <c r="E1869" s="4">
        <v>0.2</v>
      </c>
      <c r="F1869" s="5">
        <f t="shared" si="29"/>
        <v>224</v>
      </c>
    </row>
    <row r="1870" spans="1:6" x14ac:dyDescent="0.45">
      <c r="A1870" s="6">
        <v>10971</v>
      </c>
      <c r="B1870" s="3">
        <v>29</v>
      </c>
      <c r="C1870" s="3">
        <v>123.79</v>
      </c>
      <c r="D1870" s="3">
        <v>14</v>
      </c>
      <c r="E1870" s="4">
        <v>0</v>
      </c>
      <c r="F1870" s="5">
        <f t="shared" si="29"/>
        <v>1733.0600000000002</v>
      </c>
    </row>
    <row r="1871" spans="1:6" x14ac:dyDescent="0.45">
      <c r="A1871" s="6">
        <v>10972</v>
      </c>
      <c r="B1871" s="3">
        <v>17</v>
      </c>
      <c r="C1871" s="3">
        <v>39</v>
      </c>
      <c r="D1871" s="3">
        <v>6</v>
      </c>
      <c r="E1871" s="4">
        <v>0</v>
      </c>
      <c r="F1871" s="5">
        <f t="shared" si="29"/>
        <v>234</v>
      </c>
    </row>
    <row r="1872" spans="1:6" x14ac:dyDescent="0.45">
      <c r="A1872" s="6">
        <v>10972</v>
      </c>
      <c r="B1872" s="3">
        <v>33</v>
      </c>
      <c r="C1872" s="3">
        <v>2.5</v>
      </c>
      <c r="D1872" s="3">
        <v>7</v>
      </c>
      <c r="E1872" s="4">
        <v>0</v>
      </c>
      <c r="F1872" s="5">
        <f t="shared" si="29"/>
        <v>17.5</v>
      </c>
    </row>
    <row r="1873" spans="1:6" x14ac:dyDescent="0.45">
      <c r="A1873" s="6">
        <v>10973</v>
      </c>
      <c r="B1873" s="3">
        <v>26</v>
      </c>
      <c r="C1873" s="3">
        <v>31.23</v>
      </c>
      <c r="D1873" s="3">
        <v>5</v>
      </c>
      <c r="E1873" s="4">
        <v>0</v>
      </c>
      <c r="F1873" s="5">
        <f t="shared" si="29"/>
        <v>156.15</v>
      </c>
    </row>
    <row r="1874" spans="1:6" x14ac:dyDescent="0.45">
      <c r="A1874" s="6">
        <v>10973</v>
      </c>
      <c r="B1874" s="3">
        <v>41</v>
      </c>
      <c r="C1874" s="3">
        <v>9.65</v>
      </c>
      <c r="D1874" s="3">
        <v>6</v>
      </c>
      <c r="E1874" s="4">
        <v>0</v>
      </c>
      <c r="F1874" s="5">
        <f t="shared" si="29"/>
        <v>57.900000000000006</v>
      </c>
    </row>
    <row r="1875" spans="1:6" x14ac:dyDescent="0.45">
      <c r="A1875" s="6">
        <v>10973</v>
      </c>
      <c r="B1875" s="3">
        <v>75</v>
      </c>
      <c r="C1875" s="3">
        <v>7.75</v>
      </c>
      <c r="D1875" s="3">
        <v>10</v>
      </c>
      <c r="E1875" s="4">
        <v>0</v>
      </c>
      <c r="F1875" s="5">
        <f t="shared" si="29"/>
        <v>77.5</v>
      </c>
    </row>
    <row r="1876" spans="1:6" x14ac:dyDescent="0.45">
      <c r="A1876" s="6">
        <v>10974</v>
      </c>
      <c r="B1876" s="3">
        <v>63</v>
      </c>
      <c r="C1876" s="3">
        <v>43.9</v>
      </c>
      <c r="D1876" s="3">
        <v>10</v>
      </c>
      <c r="E1876" s="4">
        <v>0</v>
      </c>
      <c r="F1876" s="5">
        <f t="shared" si="29"/>
        <v>439</v>
      </c>
    </row>
    <row r="1877" spans="1:6" x14ac:dyDescent="0.45">
      <c r="A1877" s="6">
        <v>10975</v>
      </c>
      <c r="B1877" s="3">
        <v>8</v>
      </c>
      <c r="C1877" s="3">
        <v>40</v>
      </c>
      <c r="D1877" s="3">
        <v>16</v>
      </c>
      <c r="E1877" s="4">
        <v>0</v>
      </c>
      <c r="F1877" s="5">
        <f t="shared" si="29"/>
        <v>640</v>
      </c>
    </row>
    <row r="1878" spans="1:6" x14ac:dyDescent="0.45">
      <c r="A1878" s="6">
        <v>10975</v>
      </c>
      <c r="B1878" s="3">
        <v>75</v>
      </c>
      <c r="C1878" s="3">
        <v>7.75</v>
      </c>
      <c r="D1878" s="3">
        <v>10</v>
      </c>
      <c r="E1878" s="4">
        <v>0</v>
      </c>
      <c r="F1878" s="5">
        <f t="shared" si="29"/>
        <v>77.5</v>
      </c>
    </row>
    <row r="1879" spans="1:6" x14ac:dyDescent="0.45">
      <c r="A1879" s="6">
        <v>10976</v>
      </c>
      <c r="B1879" s="3">
        <v>28</v>
      </c>
      <c r="C1879" s="3">
        <v>45.6</v>
      </c>
      <c r="D1879" s="3">
        <v>20</v>
      </c>
      <c r="E1879" s="4">
        <v>0</v>
      </c>
      <c r="F1879" s="5">
        <f t="shared" si="29"/>
        <v>912</v>
      </c>
    </row>
    <row r="1880" spans="1:6" x14ac:dyDescent="0.45">
      <c r="A1880" s="6">
        <v>10977</v>
      </c>
      <c r="B1880" s="3">
        <v>39</v>
      </c>
      <c r="C1880" s="3">
        <v>18</v>
      </c>
      <c r="D1880" s="3">
        <v>30</v>
      </c>
      <c r="E1880" s="4">
        <v>0</v>
      </c>
      <c r="F1880" s="5">
        <f t="shared" si="29"/>
        <v>540</v>
      </c>
    </row>
    <row r="1881" spans="1:6" x14ac:dyDescent="0.45">
      <c r="A1881" s="6">
        <v>10977</v>
      </c>
      <c r="B1881" s="3">
        <v>47</v>
      </c>
      <c r="C1881" s="3">
        <v>9.5</v>
      </c>
      <c r="D1881" s="3">
        <v>30</v>
      </c>
      <c r="E1881" s="4">
        <v>0</v>
      </c>
      <c r="F1881" s="5">
        <f t="shared" si="29"/>
        <v>285</v>
      </c>
    </row>
    <row r="1882" spans="1:6" x14ac:dyDescent="0.45">
      <c r="A1882" s="6">
        <v>10977</v>
      </c>
      <c r="B1882" s="3">
        <v>51</v>
      </c>
      <c r="C1882" s="3">
        <v>53</v>
      </c>
      <c r="D1882" s="3">
        <v>10</v>
      </c>
      <c r="E1882" s="4">
        <v>0</v>
      </c>
      <c r="F1882" s="5">
        <f t="shared" si="29"/>
        <v>530</v>
      </c>
    </row>
    <row r="1883" spans="1:6" x14ac:dyDescent="0.45">
      <c r="A1883" s="6">
        <v>10977</v>
      </c>
      <c r="B1883" s="3">
        <v>63</v>
      </c>
      <c r="C1883" s="3">
        <v>43.9</v>
      </c>
      <c r="D1883" s="3">
        <v>20</v>
      </c>
      <c r="E1883" s="4">
        <v>0</v>
      </c>
      <c r="F1883" s="5">
        <f t="shared" si="29"/>
        <v>878</v>
      </c>
    </row>
    <row r="1884" spans="1:6" x14ac:dyDescent="0.45">
      <c r="A1884" s="6">
        <v>10978</v>
      </c>
      <c r="B1884" s="3">
        <v>8</v>
      </c>
      <c r="C1884" s="3">
        <v>40</v>
      </c>
      <c r="D1884" s="3">
        <v>20</v>
      </c>
      <c r="E1884" s="4">
        <v>0.15</v>
      </c>
      <c r="F1884" s="5">
        <f t="shared" si="29"/>
        <v>680</v>
      </c>
    </row>
    <row r="1885" spans="1:6" x14ac:dyDescent="0.45">
      <c r="A1885" s="6">
        <v>10978</v>
      </c>
      <c r="B1885" s="3">
        <v>21</v>
      </c>
      <c r="C1885" s="3">
        <v>10</v>
      </c>
      <c r="D1885" s="3">
        <v>40</v>
      </c>
      <c r="E1885" s="4">
        <v>0.15</v>
      </c>
      <c r="F1885" s="5">
        <f t="shared" si="29"/>
        <v>340</v>
      </c>
    </row>
    <row r="1886" spans="1:6" x14ac:dyDescent="0.45">
      <c r="A1886" s="6">
        <v>10978</v>
      </c>
      <c r="B1886" s="3">
        <v>40</v>
      </c>
      <c r="C1886" s="3">
        <v>18.399999999999999</v>
      </c>
      <c r="D1886" s="3">
        <v>10</v>
      </c>
      <c r="E1886" s="4">
        <v>0</v>
      </c>
      <c r="F1886" s="5">
        <f t="shared" si="29"/>
        <v>184</v>
      </c>
    </row>
    <row r="1887" spans="1:6" x14ac:dyDescent="0.45">
      <c r="A1887" s="6">
        <v>10978</v>
      </c>
      <c r="B1887" s="3">
        <v>44</v>
      </c>
      <c r="C1887" s="3">
        <v>19.45</v>
      </c>
      <c r="D1887" s="3">
        <v>6</v>
      </c>
      <c r="E1887" s="4">
        <v>0.15</v>
      </c>
      <c r="F1887" s="5">
        <f t="shared" si="29"/>
        <v>99.194999999999993</v>
      </c>
    </row>
    <row r="1888" spans="1:6" x14ac:dyDescent="0.45">
      <c r="A1888" s="6">
        <v>10979</v>
      </c>
      <c r="B1888" s="3">
        <v>7</v>
      </c>
      <c r="C1888" s="3">
        <v>30</v>
      </c>
      <c r="D1888" s="3">
        <v>18</v>
      </c>
      <c r="E1888" s="4">
        <v>0</v>
      </c>
      <c r="F1888" s="5">
        <f t="shared" si="29"/>
        <v>540</v>
      </c>
    </row>
    <row r="1889" spans="1:6" x14ac:dyDescent="0.45">
      <c r="A1889" s="6">
        <v>10979</v>
      </c>
      <c r="B1889" s="3">
        <v>12</v>
      </c>
      <c r="C1889" s="3">
        <v>38</v>
      </c>
      <c r="D1889" s="3">
        <v>20</v>
      </c>
      <c r="E1889" s="4">
        <v>0</v>
      </c>
      <c r="F1889" s="5">
        <f t="shared" si="29"/>
        <v>760</v>
      </c>
    </row>
    <row r="1890" spans="1:6" x14ac:dyDescent="0.45">
      <c r="A1890" s="6">
        <v>10979</v>
      </c>
      <c r="B1890" s="3">
        <v>24</v>
      </c>
      <c r="C1890" s="3">
        <v>4.5</v>
      </c>
      <c r="D1890" s="3">
        <v>80</v>
      </c>
      <c r="E1890" s="4">
        <v>0</v>
      </c>
      <c r="F1890" s="5">
        <f t="shared" si="29"/>
        <v>360</v>
      </c>
    </row>
    <row r="1891" spans="1:6" x14ac:dyDescent="0.45">
      <c r="A1891" s="6">
        <v>10979</v>
      </c>
      <c r="B1891" s="3">
        <v>27</v>
      </c>
      <c r="C1891" s="3">
        <v>43.9</v>
      </c>
      <c r="D1891" s="3">
        <v>30</v>
      </c>
      <c r="E1891" s="4">
        <v>0</v>
      </c>
      <c r="F1891" s="5">
        <f t="shared" si="29"/>
        <v>1317</v>
      </c>
    </row>
    <row r="1892" spans="1:6" x14ac:dyDescent="0.45">
      <c r="A1892" s="6">
        <v>10979</v>
      </c>
      <c r="B1892" s="3">
        <v>31</v>
      </c>
      <c r="C1892" s="3">
        <v>12.5</v>
      </c>
      <c r="D1892" s="3">
        <v>24</v>
      </c>
      <c r="E1892" s="4">
        <v>0</v>
      </c>
      <c r="F1892" s="5">
        <f t="shared" si="29"/>
        <v>300</v>
      </c>
    </row>
    <row r="1893" spans="1:6" x14ac:dyDescent="0.45">
      <c r="A1893" s="6">
        <v>10979</v>
      </c>
      <c r="B1893" s="3">
        <v>63</v>
      </c>
      <c r="C1893" s="3">
        <v>43.9</v>
      </c>
      <c r="D1893" s="3">
        <v>35</v>
      </c>
      <c r="E1893" s="4">
        <v>0</v>
      </c>
      <c r="F1893" s="5">
        <f t="shared" si="29"/>
        <v>1536.5</v>
      </c>
    </row>
    <row r="1894" spans="1:6" x14ac:dyDescent="0.45">
      <c r="A1894" s="6">
        <v>10980</v>
      </c>
      <c r="B1894" s="3">
        <v>75</v>
      </c>
      <c r="C1894" s="3">
        <v>7.75</v>
      </c>
      <c r="D1894" s="3">
        <v>40</v>
      </c>
      <c r="E1894" s="4">
        <v>0.2</v>
      </c>
      <c r="F1894" s="5">
        <f t="shared" si="29"/>
        <v>248</v>
      </c>
    </row>
    <row r="1895" spans="1:6" x14ac:dyDescent="0.45">
      <c r="A1895" s="6">
        <v>10981</v>
      </c>
      <c r="B1895" s="3">
        <v>38</v>
      </c>
      <c r="C1895" s="3">
        <v>263.5</v>
      </c>
      <c r="D1895" s="3">
        <v>60</v>
      </c>
      <c r="E1895" s="4">
        <v>0</v>
      </c>
      <c r="F1895" s="5">
        <f t="shared" si="29"/>
        <v>15810</v>
      </c>
    </row>
    <row r="1896" spans="1:6" x14ac:dyDescent="0.45">
      <c r="A1896" s="6">
        <v>10982</v>
      </c>
      <c r="B1896" s="3">
        <v>7</v>
      </c>
      <c r="C1896" s="3">
        <v>30</v>
      </c>
      <c r="D1896" s="3">
        <v>20</v>
      </c>
      <c r="E1896" s="4">
        <v>0</v>
      </c>
      <c r="F1896" s="5">
        <f t="shared" si="29"/>
        <v>600</v>
      </c>
    </row>
    <row r="1897" spans="1:6" x14ac:dyDescent="0.45">
      <c r="A1897" s="6">
        <v>10982</v>
      </c>
      <c r="B1897" s="3">
        <v>43</v>
      </c>
      <c r="C1897" s="3">
        <v>46</v>
      </c>
      <c r="D1897" s="3">
        <v>9</v>
      </c>
      <c r="E1897" s="4">
        <v>0</v>
      </c>
      <c r="F1897" s="5">
        <f t="shared" si="29"/>
        <v>414</v>
      </c>
    </row>
    <row r="1898" spans="1:6" x14ac:dyDescent="0.45">
      <c r="A1898" s="6">
        <v>10983</v>
      </c>
      <c r="B1898" s="3">
        <v>13</v>
      </c>
      <c r="C1898" s="3">
        <v>6</v>
      </c>
      <c r="D1898" s="3">
        <v>84</v>
      </c>
      <c r="E1898" s="4">
        <v>0.15</v>
      </c>
      <c r="F1898" s="5">
        <f t="shared" si="29"/>
        <v>428.4</v>
      </c>
    </row>
    <row r="1899" spans="1:6" x14ac:dyDescent="0.45">
      <c r="A1899" s="6">
        <v>10983</v>
      </c>
      <c r="B1899" s="3">
        <v>57</v>
      </c>
      <c r="C1899" s="3">
        <v>19.5</v>
      </c>
      <c r="D1899" s="3">
        <v>15</v>
      </c>
      <c r="E1899" s="4">
        <v>0</v>
      </c>
      <c r="F1899" s="5">
        <f t="shared" si="29"/>
        <v>292.5</v>
      </c>
    </row>
    <row r="1900" spans="1:6" x14ac:dyDescent="0.45">
      <c r="A1900" s="6">
        <v>10984</v>
      </c>
      <c r="B1900" s="3">
        <v>16</v>
      </c>
      <c r="C1900" s="3">
        <v>17.45</v>
      </c>
      <c r="D1900" s="3">
        <v>55</v>
      </c>
      <c r="E1900" s="4">
        <v>0</v>
      </c>
      <c r="F1900" s="5">
        <f t="shared" si="29"/>
        <v>959.75</v>
      </c>
    </row>
    <row r="1901" spans="1:6" x14ac:dyDescent="0.45">
      <c r="A1901" s="6">
        <v>10984</v>
      </c>
      <c r="B1901" s="3">
        <v>24</v>
      </c>
      <c r="C1901" s="3">
        <v>4.5</v>
      </c>
      <c r="D1901" s="3">
        <v>20</v>
      </c>
      <c r="E1901" s="4">
        <v>0</v>
      </c>
      <c r="F1901" s="5">
        <f t="shared" si="29"/>
        <v>90</v>
      </c>
    </row>
    <row r="1902" spans="1:6" x14ac:dyDescent="0.45">
      <c r="A1902" s="6">
        <v>10984</v>
      </c>
      <c r="B1902" s="3">
        <v>36</v>
      </c>
      <c r="C1902" s="3">
        <v>19</v>
      </c>
      <c r="D1902" s="3">
        <v>40</v>
      </c>
      <c r="E1902" s="4">
        <v>0</v>
      </c>
      <c r="F1902" s="5">
        <f t="shared" si="29"/>
        <v>760</v>
      </c>
    </row>
    <row r="1903" spans="1:6" x14ac:dyDescent="0.45">
      <c r="A1903" s="6">
        <v>10985</v>
      </c>
      <c r="B1903" s="3">
        <v>16</v>
      </c>
      <c r="C1903" s="3">
        <v>17.45</v>
      </c>
      <c r="D1903" s="3">
        <v>36</v>
      </c>
      <c r="E1903" s="4">
        <v>0.1</v>
      </c>
      <c r="F1903" s="5">
        <f t="shared" si="29"/>
        <v>565.38</v>
      </c>
    </row>
    <row r="1904" spans="1:6" x14ac:dyDescent="0.45">
      <c r="A1904" s="6">
        <v>10985</v>
      </c>
      <c r="B1904" s="3">
        <v>18</v>
      </c>
      <c r="C1904" s="3">
        <v>62.5</v>
      </c>
      <c r="D1904" s="3">
        <v>8</v>
      </c>
      <c r="E1904" s="4">
        <v>0.1</v>
      </c>
      <c r="F1904" s="5">
        <f t="shared" si="29"/>
        <v>450</v>
      </c>
    </row>
    <row r="1905" spans="1:6" x14ac:dyDescent="0.45">
      <c r="A1905" s="6">
        <v>10985</v>
      </c>
      <c r="B1905" s="3">
        <v>32</v>
      </c>
      <c r="C1905" s="3">
        <v>32</v>
      </c>
      <c r="D1905" s="3">
        <v>35</v>
      </c>
      <c r="E1905" s="4">
        <v>0.1</v>
      </c>
      <c r="F1905" s="5">
        <f t="shared" si="29"/>
        <v>1008</v>
      </c>
    </row>
    <row r="1906" spans="1:6" x14ac:dyDescent="0.45">
      <c r="A1906" s="6">
        <v>10986</v>
      </c>
      <c r="B1906" s="3">
        <v>11</v>
      </c>
      <c r="C1906" s="3">
        <v>21</v>
      </c>
      <c r="D1906" s="3">
        <v>30</v>
      </c>
      <c r="E1906" s="4">
        <v>0</v>
      </c>
      <c r="F1906" s="5">
        <f t="shared" si="29"/>
        <v>630</v>
      </c>
    </row>
    <row r="1907" spans="1:6" x14ac:dyDescent="0.45">
      <c r="A1907" s="6">
        <v>10986</v>
      </c>
      <c r="B1907" s="3">
        <v>20</v>
      </c>
      <c r="C1907" s="3">
        <v>81</v>
      </c>
      <c r="D1907" s="3">
        <v>15</v>
      </c>
      <c r="E1907" s="4">
        <v>0</v>
      </c>
      <c r="F1907" s="5">
        <f t="shared" si="29"/>
        <v>1215</v>
      </c>
    </row>
    <row r="1908" spans="1:6" x14ac:dyDescent="0.45">
      <c r="A1908" s="6">
        <v>10986</v>
      </c>
      <c r="B1908" s="3">
        <v>76</v>
      </c>
      <c r="C1908" s="3">
        <v>18</v>
      </c>
      <c r="D1908" s="3">
        <v>10</v>
      </c>
      <c r="E1908" s="4">
        <v>0</v>
      </c>
      <c r="F1908" s="5">
        <f t="shared" si="29"/>
        <v>180</v>
      </c>
    </row>
    <row r="1909" spans="1:6" x14ac:dyDescent="0.45">
      <c r="A1909" s="6">
        <v>10986</v>
      </c>
      <c r="B1909" s="3">
        <v>77</v>
      </c>
      <c r="C1909" s="3">
        <v>13</v>
      </c>
      <c r="D1909" s="3">
        <v>15</v>
      </c>
      <c r="E1909" s="4">
        <v>0</v>
      </c>
      <c r="F1909" s="5">
        <f t="shared" si="29"/>
        <v>195</v>
      </c>
    </row>
    <row r="1910" spans="1:6" x14ac:dyDescent="0.45">
      <c r="A1910" s="6">
        <v>10987</v>
      </c>
      <c r="B1910" s="3">
        <v>7</v>
      </c>
      <c r="C1910" s="3">
        <v>30</v>
      </c>
      <c r="D1910" s="3">
        <v>60</v>
      </c>
      <c r="E1910" s="4">
        <v>0</v>
      </c>
      <c r="F1910" s="5">
        <f t="shared" si="29"/>
        <v>1800</v>
      </c>
    </row>
    <row r="1911" spans="1:6" x14ac:dyDescent="0.45">
      <c r="A1911" s="6">
        <v>10987</v>
      </c>
      <c r="B1911" s="3">
        <v>43</v>
      </c>
      <c r="C1911" s="3">
        <v>46</v>
      </c>
      <c r="D1911" s="3">
        <v>6</v>
      </c>
      <c r="E1911" s="4">
        <v>0</v>
      </c>
      <c r="F1911" s="5">
        <f t="shared" si="29"/>
        <v>276</v>
      </c>
    </row>
    <row r="1912" spans="1:6" x14ac:dyDescent="0.45">
      <c r="A1912" s="6">
        <v>10987</v>
      </c>
      <c r="B1912" s="3">
        <v>72</v>
      </c>
      <c r="C1912" s="3">
        <v>34.799999999999997</v>
      </c>
      <c r="D1912" s="3">
        <v>20</v>
      </c>
      <c r="E1912" s="4">
        <v>0</v>
      </c>
      <c r="F1912" s="5">
        <f t="shared" si="29"/>
        <v>696</v>
      </c>
    </row>
    <row r="1913" spans="1:6" x14ac:dyDescent="0.45">
      <c r="A1913" s="6">
        <v>10988</v>
      </c>
      <c r="B1913" s="3">
        <v>7</v>
      </c>
      <c r="C1913" s="3">
        <v>30</v>
      </c>
      <c r="D1913" s="3">
        <v>60</v>
      </c>
      <c r="E1913" s="4">
        <v>0</v>
      </c>
      <c r="F1913" s="5">
        <f t="shared" si="29"/>
        <v>1800</v>
      </c>
    </row>
    <row r="1914" spans="1:6" x14ac:dyDescent="0.45">
      <c r="A1914" s="6">
        <v>10988</v>
      </c>
      <c r="B1914" s="3">
        <v>62</v>
      </c>
      <c r="C1914" s="3">
        <v>49.3</v>
      </c>
      <c r="D1914" s="3">
        <v>40</v>
      </c>
      <c r="E1914" s="4">
        <v>0.1</v>
      </c>
      <c r="F1914" s="5">
        <f t="shared" si="29"/>
        <v>1774.8</v>
      </c>
    </row>
    <row r="1915" spans="1:6" x14ac:dyDescent="0.45">
      <c r="A1915" s="6">
        <v>10989</v>
      </c>
      <c r="B1915" s="3">
        <v>6</v>
      </c>
      <c r="C1915" s="3">
        <v>25</v>
      </c>
      <c r="D1915" s="3">
        <v>40</v>
      </c>
      <c r="E1915" s="4">
        <v>0</v>
      </c>
      <c r="F1915" s="5">
        <f t="shared" si="29"/>
        <v>1000</v>
      </c>
    </row>
    <row r="1916" spans="1:6" x14ac:dyDescent="0.45">
      <c r="A1916" s="6">
        <v>10989</v>
      </c>
      <c r="B1916" s="3">
        <v>11</v>
      </c>
      <c r="C1916" s="3">
        <v>21</v>
      </c>
      <c r="D1916" s="3">
        <v>15</v>
      </c>
      <c r="E1916" s="4">
        <v>0</v>
      </c>
      <c r="F1916" s="5">
        <f t="shared" si="29"/>
        <v>315</v>
      </c>
    </row>
    <row r="1917" spans="1:6" x14ac:dyDescent="0.45">
      <c r="A1917" s="6">
        <v>10989</v>
      </c>
      <c r="B1917" s="3">
        <v>41</v>
      </c>
      <c r="C1917" s="3">
        <v>9.65</v>
      </c>
      <c r="D1917" s="3">
        <v>4</v>
      </c>
      <c r="E1917" s="4">
        <v>0</v>
      </c>
      <c r="F1917" s="5">
        <f t="shared" si="29"/>
        <v>38.6</v>
      </c>
    </row>
    <row r="1918" spans="1:6" x14ac:dyDescent="0.45">
      <c r="A1918" s="6">
        <v>10990</v>
      </c>
      <c r="B1918" s="3">
        <v>21</v>
      </c>
      <c r="C1918" s="3">
        <v>10</v>
      </c>
      <c r="D1918" s="3">
        <v>65</v>
      </c>
      <c r="E1918" s="4">
        <v>0</v>
      </c>
      <c r="F1918" s="5">
        <f t="shared" si="29"/>
        <v>650</v>
      </c>
    </row>
    <row r="1919" spans="1:6" x14ac:dyDescent="0.45">
      <c r="A1919" s="6">
        <v>10990</v>
      </c>
      <c r="B1919" s="3">
        <v>34</v>
      </c>
      <c r="C1919" s="3">
        <v>14</v>
      </c>
      <c r="D1919" s="3">
        <v>60</v>
      </c>
      <c r="E1919" s="4">
        <v>0.15</v>
      </c>
      <c r="F1919" s="5">
        <f t="shared" si="29"/>
        <v>714</v>
      </c>
    </row>
    <row r="1920" spans="1:6" x14ac:dyDescent="0.45">
      <c r="A1920" s="6">
        <v>10990</v>
      </c>
      <c r="B1920" s="3">
        <v>55</v>
      </c>
      <c r="C1920" s="3">
        <v>24</v>
      </c>
      <c r="D1920" s="3">
        <v>65</v>
      </c>
      <c r="E1920" s="4">
        <v>0.15</v>
      </c>
      <c r="F1920" s="5">
        <f t="shared" si="29"/>
        <v>1326</v>
      </c>
    </row>
    <row r="1921" spans="1:6" x14ac:dyDescent="0.45">
      <c r="A1921" s="6">
        <v>10990</v>
      </c>
      <c r="B1921" s="3">
        <v>61</v>
      </c>
      <c r="C1921" s="3">
        <v>28.5</v>
      </c>
      <c r="D1921" s="3">
        <v>66</v>
      </c>
      <c r="E1921" s="4">
        <v>0.15</v>
      </c>
      <c r="F1921" s="5">
        <f t="shared" si="29"/>
        <v>1598.85</v>
      </c>
    </row>
    <row r="1922" spans="1:6" x14ac:dyDescent="0.45">
      <c r="A1922" s="6">
        <v>10991</v>
      </c>
      <c r="B1922" s="3">
        <v>2</v>
      </c>
      <c r="C1922" s="3">
        <v>19</v>
      </c>
      <c r="D1922" s="3">
        <v>50</v>
      </c>
      <c r="E1922" s="4">
        <v>0.2</v>
      </c>
      <c r="F1922" s="5">
        <f t="shared" ref="F1922:F1985" si="30">C1922*D1922*(1-E1922)</f>
        <v>760</v>
      </c>
    </row>
    <row r="1923" spans="1:6" x14ac:dyDescent="0.45">
      <c r="A1923" s="6">
        <v>10991</v>
      </c>
      <c r="B1923" s="3">
        <v>70</v>
      </c>
      <c r="C1923" s="3">
        <v>15</v>
      </c>
      <c r="D1923" s="3">
        <v>20</v>
      </c>
      <c r="E1923" s="4">
        <v>0.2</v>
      </c>
      <c r="F1923" s="5">
        <f t="shared" si="30"/>
        <v>240</v>
      </c>
    </row>
    <row r="1924" spans="1:6" x14ac:dyDescent="0.45">
      <c r="A1924" s="6">
        <v>10991</v>
      </c>
      <c r="B1924" s="3">
        <v>76</v>
      </c>
      <c r="C1924" s="3">
        <v>18</v>
      </c>
      <c r="D1924" s="3">
        <v>90</v>
      </c>
      <c r="E1924" s="4">
        <v>0.2</v>
      </c>
      <c r="F1924" s="5">
        <f t="shared" si="30"/>
        <v>1296</v>
      </c>
    </row>
    <row r="1925" spans="1:6" x14ac:dyDescent="0.45">
      <c r="A1925" s="6">
        <v>10992</v>
      </c>
      <c r="B1925" s="3">
        <v>72</v>
      </c>
      <c r="C1925" s="3">
        <v>34.799999999999997</v>
      </c>
      <c r="D1925" s="3">
        <v>2</v>
      </c>
      <c r="E1925" s="4">
        <v>0</v>
      </c>
      <c r="F1925" s="5">
        <f t="shared" si="30"/>
        <v>69.599999999999994</v>
      </c>
    </row>
    <row r="1926" spans="1:6" x14ac:dyDescent="0.45">
      <c r="A1926" s="6">
        <v>10993</v>
      </c>
      <c r="B1926" s="3">
        <v>29</v>
      </c>
      <c r="C1926" s="3">
        <v>123.79</v>
      </c>
      <c r="D1926" s="3">
        <v>50</v>
      </c>
      <c r="E1926" s="4">
        <v>0.25</v>
      </c>
      <c r="F1926" s="5">
        <f t="shared" si="30"/>
        <v>4642.125</v>
      </c>
    </row>
    <row r="1927" spans="1:6" x14ac:dyDescent="0.45">
      <c r="A1927" s="6">
        <v>10993</v>
      </c>
      <c r="B1927" s="3">
        <v>41</v>
      </c>
      <c r="C1927" s="3">
        <v>9.65</v>
      </c>
      <c r="D1927" s="3">
        <v>35</v>
      </c>
      <c r="E1927" s="4">
        <v>0.25</v>
      </c>
      <c r="F1927" s="5">
        <f t="shared" si="30"/>
        <v>253.3125</v>
      </c>
    </row>
    <row r="1928" spans="1:6" x14ac:dyDescent="0.45">
      <c r="A1928" s="6">
        <v>10994</v>
      </c>
      <c r="B1928" s="3">
        <v>59</v>
      </c>
      <c r="C1928" s="3">
        <v>55</v>
      </c>
      <c r="D1928" s="3">
        <v>18</v>
      </c>
      <c r="E1928" s="4">
        <v>0.05</v>
      </c>
      <c r="F1928" s="5">
        <f t="shared" si="30"/>
        <v>940.5</v>
      </c>
    </row>
    <row r="1929" spans="1:6" x14ac:dyDescent="0.45">
      <c r="A1929" s="6">
        <v>10995</v>
      </c>
      <c r="B1929" s="3">
        <v>51</v>
      </c>
      <c r="C1929" s="3">
        <v>53</v>
      </c>
      <c r="D1929" s="3">
        <v>20</v>
      </c>
      <c r="E1929" s="4">
        <v>0</v>
      </c>
      <c r="F1929" s="5">
        <f t="shared" si="30"/>
        <v>1060</v>
      </c>
    </row>
    <row r="1930" spans="1:6" x14ac:dyDescent="0.45">
      <c r="A1930" s="6">
        <v>10995</v>
      </c>
      <c r="B1930" s="3">
        <v>60</v>
      </c>
      <c r="C1930" s="3">
        <v>34</v>
      </c>
      <c r="D1930" s="3">
        <v>4</v>
      </c>
      <c r="E1930" s="4">
        <v>0</v>
      </c>
      <c r="F1930" s="5">
        <f t="shared" si="30"/>
        <v>136</v>
      </c>
    </row>
    <row r="1931" spans="1:6" x14ac:dyDescent="0.45">
      <c r="A1931" s="6">
        <v>10996</v>
      </c>
      <c r="B1931" s="3">
        <v>42</v>
      </c>
      <c r="C1931" s="3">
        <v>14</v>
      </c>
      <c r="D1931" s="3">
        <v>40</v>
      </c>
      <c r="E1931" s="4">
        <v>0</v>
      </c>
      <c r="F1931" s="5">
        <f t="shared" si="30"/>
        <v>560</v>
      </c>
    </row>
    <row r="1932" spans="1:6" x14ac:dyDescent="0.45">
      <c r="A1932" s="6">
        <v>10997</v>
      </c>
      <c r="B1932" s="3">
        <v>32</v>
      </c>
      <c r="C1932" s="3">
        <v>32</v>
      </c>
      <c r="D1932" s="3">
        <v>50</v>
      </c>
      <c r="E1932" s="4">
        <v>0</v>
      </c>
      <c r="F1932" s="5">
        <f t="shared" si="30"/>
        <v>1600</v>
      </c>
    </row>
    <row r="1933" spans="1:6" x14ac:dyDescent="0.45">
      <c r="A1933" s="6">
        <v>10997</v>
      </c>
      <c r="B1933" s="3">
        <v>46</v>
      </c>
      <c r="C1933" s="3">
        <v>12</v>
      </c>
      <c r="D1933" s="3">
        <v>20</v>
      </c>
      <c r="E1933" s="4">
        <v>0.25</v>
      </c>
      <c r="F1933" s="5">
        <f t="shared" si="30"/>
        <v>180</v>
      </c>
    </row>
    <row r="1934" spans="1:6" x14ac:dyDescent="0.45">
      <c r="A1934" s="6">
        <v>10997</v>
      </c>
      <c r="B1934" s="3">
        <v>52</v>
      </c>
      <c r="C1934" s="3">
        <v>7</v>
      </c>
      <c r="D1934" s="3">
        <v>20</v>
      </c>
      <c r="E1934" s="4">
        <v>0.25</v>
      </c>
      <c r="F1934" s="5">
        <f t="shared" si="30"/>
        <v>105</v>
      </c>
    </row>
    <row r="1935" spans="1:6" x14ac:dyDescent="0.45">
      <c r="A1935" s="6">
        <v>10998</v>
      </c>
      <c r="B1935" s="3">
        <v>24</v>
      </c>
      <c r="C1935" s="3">
        <v>4.5</v>
      </c>
      <c r="D1935" s="3">
        <v>12</v>
      </c>
      <c r="E1935" s="4">
        <v>0</v>
      </c>
      <c r="F1935" s="5">
        <f t="shared" si="30"/>
        <v>54</v>
      </c>
    </row>
    <row r="1936" spans="1:6" x14ac:dyDescent="0.45">
      <c r="A1936" s="6">
        <v>10998</v>
      </c>
      <c r="B1936" s="3">
        <v>61</v>
      </c>
      <c r="C1936" s="3">
        <v>28.5</v>
      </c>
      <c r="D1936" s="3">
        <v>7</v>
      </c>
      <c r="E1936" s="4">
        <v>0</v>
      </c>
      <c r="F1936" s="5">
        <f t="shared" si="30"/>
        <v>199.5</v>
      </c>
    </row>
    <row r="1937" spans="1:6" x14ac:dyDescent="0.45">
      <c r="A1937" s="6">
        <v>10998</v>
      </c>
      <c r="B1937" s="3">
        <v>74</v>
      </c>
      <c r="C1937" s="3">
        <v>10</v>
      </c>
      <c r="D1937" s="3">
        <v>20</v>
      </c>
      <c r="E1937" s="4">
        <v>0</v>
      </c>
      <c r="F1937" s="5">
        <f t="shared" si="30"/>
        <v>200</v>
      </c>
    </row>
    <row r="1938" spans="1:6" x14ac:dyDescent="0.45">
      <c r="A1938" s="6">
        <v>10998</v>
      </c>
      <c r="B1938" s="3">
        <v>75</v>
      </c>
      <c r="C1938" s="3">
        <v>7.75</v>
      </c>
      <c r="D1938" s="3">
        <v>30</v>
      </c>
      <c r="E1938" s="4">
        <v>0</v>
      </c>
      <c r="F1938" s="5">
        <f t="shared" si="30"/>
        <v>232.5</v>
      </c>
    </row>
    <row r="1939" spans="1:6" x14ac:dyDescent="0.45">
      <c r="A1939" s="6">
        <v>10999</v>
      </c>
      <c r="B1939" s="3">
        <v>41</v>
      </c>
      <c r="C1939" s="3">
        <v>9.65</v>
      </c>
      <c r="D1939" s="3">
        <v>20</v>
      </c>
      <c r="E1939" s="4">
        <v>0.05</v>
      </c>
      <c r="F1939" s="5">
        <f t="shared" si="30"/>
        <v>183.35</v>
      </c>
    </row>
    <row r="1940" spans="1:6" x14ac:dyDescent="0.45">
      <c r="A1940" s="6">
        <v>10999</v>
      </c>
      <c r="B1940" s="3">
        <v>51</v>
      </c>
      <c r="C1940" s="3">
        <v>53</v>
      </c>
      <c r="D1940" s="3">
        <v>15</v>
      </c>
      <c r="E1940" s="4">
        <v>0.05</v>
      </c>
      <c r="F1940" s="5">
        <f t="shared" si="30"/>
        <v>755.25</v>
      </c>
    </row>
    <row r="1941" spans="1:6" x14ac:dyDescent="0.45">
      <c r="A1941" s="6">
        <v>10999</v>
      </c>
      <c r="B1941" s="3">
        <v>77</v>
      </c>
      <c r="C1941" s="3">
        <v>13</v>
      </c>
      <c r="D1941" s="3">
        <v>21</v>
      </c>
      <c r="E1941" s="4">
        <v>0.05</v>
      </c>
      <c r="F1941" s="5">
        <f t="shared" si="30"/>
        <v>259.34999999999997</v>
      </c>
    </row>
    <row r="1942" spans="1:6" x14ac:dyDescent="0.45">
      <c r="A1942" s="6">
        <v>11000</v>
      </c>
      <c r="B1942" s="3">
        <v>4</v>
      </c>
      <c r="C1942" s="3">
        <v>22</v>
      </c>
      <c r="D1942" s="3">
        <v>25</v>
      </c>
      <c r="E1942" s="4">
        <v>0.25</v>
      </c>
      <c r="F1942" s="5">
        <f t="shared" si="30"/>
        <v>412.5</v>
      </c>
    </row>
    <row r="1943" spans="1:6" x14ac:dyDescent="0.45">
      <c r="A1943" s="6">
        <v>11000</v>
      </c>
      <c r="B1943" s="3">
        <v>24</v>
      </c>
      <c r="C1943" s="3">
        <v>4.5</v>
      </c>
      <c r="D1943" s="3">
        <v>30</v>
      </c>
      <c r="E1943" s="4">
        <v>0.25</v>
      </c>
      <c r="F1943" s="5">
        <f t="shared" si="30"/>
        <v>101.25</v>
      </c>
    </row>
    <row r="1944" spans="1:6" x14ac:dyDescent="0.45">
      <c r="A1944" s="6">
        <v>11000</v>
      </c>
      <c r="B1944" s="3">
        <v>77</v>
      </c>
      <c r="C1944" s="3">
        <v>13</v>
      </c>
      <c r="D1944" s="3">
        <v>30</v>
      </c>
      <c r="E1944" s="4">
        <v>0</v>
      </c>
      <c r="F1944" s="5">
        <f t="shared" si="30"/>
        <v>390</v>
      </c>
    </row>
    <row r="1945" spans="1:6" x14ac:dyDescent="0.45">
      <c r="A1945" s="6">
        <v>11001</v>
      </c>
      <c r="B1945" s="3">
        <v>7</v>
      </c>
      <c r="C1945" s="3">
        <v>30</v>
      </c>
      <c r="D1945" s="3">
        <v>60</v>
      </c>
      <c r="E1945" s="4">
        <v>0</v>
      </c>
      <c r="F1945" s="5">
        <f t="shared" si="30"/>
        <v>1800</v>
      </c>
    </row>
    <row r="1946" spans="1:6" x14ac:dyDescent="0.45">
      <c r="A1946" s="6">
        <v>11001</v>
      </c>
      <c r="B1946" s="3">
        <v>22</v>
      </c>
      <c r="C1946" s="3">
        <v>21</v>
      </c>
      <c r="D1946" s="3">
        <v>25</v>
      </c>
      <c r="E1946" s="4">
        <v>0</v>
      </c>
      <c r="F1946" s="5">
        <f t="shared" si="30"/>
        <v>525</v>
      </c>
    </row>
    <row r="1947" spans="1:6" x14ac:dyDescent="0.45">
      <c r="A1947" s="6">
        <v>11001</v>
      </c>
      <c r="B1947" s="3">
        <v>46</v>
      </c>
      <c r="C1947" s="3">
        <v>12</v>
      </c>
      <c r="D1947" s="3">
        <v>25</v>
      </c>
      <c r="E1947" s="4">
        <v>0</v>
      </c>
      <c r="F1947" s="5">
        <f t="shared" si="30"/>
        <v>300</v>
      </c>
    </row>
    <row r="1948" spans="1:6" x14ac:dyDescent="0.45">
      <c r="A1948" s="6">
        <v>11001</v>
      </c>
      <c r="B1948" s="3">
        <v>55</v>
      </c>
      <c r="C1948" s="3">
        <v>24</v>
      </c>
      <c r="D1948" s="3">
        <v>6</v>
      </c>
      <c r="E1948" s="4">
        <v>0</v>
      </c>
      <c r="F1948" s="5">
        <f t="shared" si="30"/>
        <v>144</v>
      </c>
    </row>
    <row r="1949" spans="1:6" x14ac:dyDescent="0.45">
      <c r="A1949" s="6">
        <v>11002</v>
      </c>
      <c r="B1949" s="3">
        <v>13</v>
      </c>
      <c r="C1949" s="3">
        <v>6</v>
      </c>
      <c r="D1949" s="3">
        <v>56</v>
      </c>
      <c r="E1949" s="4">
        <v>0</v>
      </c>
      <c r="F1949" s="5">
        <f t="shared" si="30"/>
        <v>336</v>
      </c>
    </row>
    <row r="1950" spans="1:6" x14ac:dyDescent="0.45">
      <c r="A1950" s="6">
        <v>11002</v>
      </c>
      <c r="B1950" s="3">
        <v>35</v>
      </c>
      <c r="C1950" s="3">
        <v>18</v>
      </c>
      <c r="D1950" s="3">
        <v>15</v>
      </c>
      <c r="E1950" s="4">
        <v>0.15</v>
      </c>
      <c r="F1950" s="5">
        <f t="shared" si="30"/>
        <v>229.5</v>
      </c>
    </row>
    <row r="1951" spans="1:6" x14ac:dyDescent="0.45">
      <c r="A1951" s="6">
        <v>11002</v>
      </c>
      <c r="B1951" s="3">
        <v>42</v>
      </c>
      <c r="C1951" s="3">
        <v>14</v>
      </c>
      <c r="D1951" s="3">
        <v>24</v>
      </c>
      <c r="E1951" s="4">
        <v>0.15</v>
      </c>
      <c r="F1951" s="5">
        <f t="shared" si="30"/>
        <v>285.59999999999997</v>
      </c>
    </row>
    <row r="1952" spans="1:6" x14ac:dyDescent="0.45">
      <c r="A1952" s="6">
        <v>11002</v>
      </c>
      <c r="B1952" s="3">
        <v>55</v>
      </c>
      <c r="C1952" s="3">
        <v>24</v>
      </c>
      <c r="D1952" s="3">
        <v>40</v>
      </c>
      <c r="E1952" s="4">
        <v>0</v>
      </c>
      <c r="F1952" s="5">
        <f t="shared" si="30"/>
        <v>960</v>
      </c>
    </row>
    <row r="1953" spans="1:6" x14ac:dyDescent="0.45">
      <c r="A1953" s="6">
        <v>11003</v>
      </c>
      <c r="B1953" s="3">
        <v>1</v>
      </c>
      <c r="C1953" s="3">
        <v>18</v>
      </c>
      <c r="D1953" s="3">
        <v>4</v>
      </c>
      <c r="E1953" s="4">
        <v>0</v>
      </c>
      <c r="F1953" s="5">
        <f t="shared" si="30"/>
        <v>72</v>
      </c>
    </row>
    <row r="1954" spans="1:6" x14ac:dyDescent="0.45">
      <c r="A1954" s="6">
        <v>11003</v>
      </c>
      <c r="B1954" s="3">
        <v>40</v>
      </c>
      <c r="C1954" s="3">
        <v>18.399999999999999</v>
      </c>
      <c r="D1954" s="3">
        <v>10</v>
      </c>
      <c r="E1954" s="4">
        <v>0</v>
      </c>
      <c r="F1954" s="5">
        <f t="shared" si="30"/>
        <v>184</v>
      </c>
    </row>
    <row r="1955" spans="1:6" x14ac:dyDescent="0.45">
      <c r="A1955" s="6">
        <v>11003</v>
      </c>
      <c r="B1955" s="3">
        <v>52</v>
      </c>
      <c r="C1955" s="3">
        <v>7</v>
      </c>
      <c r="D1955" s="3">
        <v>10</v>
      </c>
      <c r="E1955" s="4">
        <v>0</v>
      </c>
      <c r="F1955" s="5">
        <f t="shared" si="30"/>
        <v>70</v>
      </c>
    </row>
    <row r="1956" spans="1:6" x14ac:dyDescent="0.45">
      <c r="A1956" s="6">
        <v>11004</v>
      </c>
      <c r="B1956" s="3">
        <v>26</v>
      </c>
      <c r="C1956" s="3">
        <v>31.23</v>
      </c>
      <c r="D1956" s="3">
        <v>6</v>
      </c>
      <c r="E1956" s="4">
        <v>0</v>
      </c>
      <c r="F1956" s="5">
        <f t="shared" si="30"/>
        <v>187.38</v>
      </c>
    </row>
    <row r="1957" spans="1:6" x14ac:dyDescent="0.45">
      <c r="A1957" s="6">
        <v>11004</v>
      </c>
      <c r="B1957" s="3">
        <v>76</v>
      </c>
      <c r="C1957" s="3">
        <v>18</v>
      </c>
      <c r="D1957" s="3">
        <v>6</v>
      </c>
      <c r="E1957" s="4">
        <v>0</v>
      </c>
      <c r="F1957" s="5">
        <f t="shared" si="30"/>
        <v>108</v>
      </c>
    </row>
    <row r="1958" spans="1:6" x14ac:dyDescent="0.45">
      <c r="A1958" s="6">
        <v>11005</v>
      </c>
      <c r="B1958" s="3">
        <v>1</v>
      </c>
      <c r="C1958" s="3">
        <v>18</v>
      </c>
      <c r="D1958" s="3">
        <v>2</v>
      </c>
      <c r="E1958" s="4">
        <v>0</v>
      </c>
      <c r="F1958" s="5">
        <f t="shared" si="30"/>
        <v>36</v>
      </c>
    </row>
    <row r="1959" spans="1:6" x14ac:dyDescent="0.45">
      <c r="A1959" s="6">
        <v>11005</v>
      </c>
      <c r="B1959" s="3">
        <v>59</v>
      </c>
      <c r="C1959" s="3">
        <v>55</v>
      </c>
      <c r="D1959" s="3">
        <v>10</v>
      </c>
      <c r="E1959" s="4">
        <v>0</v>
      </c>
      <c r="F1959" s="5">
        <f t="shared" si="30"/>
        <v>550</v>
      </c>
    </row>
    <row r="1960" spans="1:6" x14ac:dyDescent="0.45">
      <c r="A1960" s="6">
        <v>11006</v>
      </c>
      <c r="B1960" s="3">
        <v>1</v>
      </c>
      <c r="C1960" s="3">
        <v>18</v>
      </c>
      <c r="D1960" s="3">
        <v>8</v>
      </c>
      <c r="E1960" s="4">
        <v>0</v>
      </c>
      <c r="F1960" s="5">
        <f t="shared" si="30"/>
        <v>144</v>
      </c>
    </row>
    <row r="1961" spans="1:6" x14ac:dyDescent="0.45">
      <c r="A1961" s="6">
        <v>11006</v>
      </c>
      <c r="B1961" s="3">
        <v>29</v>
      </c>
      <c r="C1961" s="3">
        <v>123.79</v>
      </c>
      <c r="D1961" s="3">
        <v>2</v>
      </c>
      <c r="E1961" s="4">
        <v>0.25</v>
      </c>
      <c r="F1961" s="5">
        <f t="shared" si="30"/>
        <v>185.685</v>
      </c>
    </row>
    <row r="1962" spans="1:6" x14ac:dyDescent="0.45">
      <c r="A1962" s="6">
        <v>11007</v>
      </c>
      <c r="B1962" s="3">
        <v>8</v>
      </c>
      <c r="C1962" s="3">
        <v>40</v>
      </c>
      <c r="D1962" s="3">
        <v>30</v>
      </c>
      <c r="E1962" s="4">
        <v>0</v>
      </c>
      <c r="F1962" s="5">
        <f t="shared" si="30"/>
        <v>1200</v>
      </c>
    </row>
    <row r="1963" spans="1:6" x14ac:dyDescent="0.45">
      <c r="A1963" s="6">
        <v>11007</v>
      </c>
      <c r="B1963" s="3">
        <v>29</v>
      </c>
      <c r="C1963" s="3">
        <v>123.79</v>
      </c>
      <c r="D1963" s="3">
        <v>10</v>
      </c>
      <c r="E1963" s="4">
        <v>0</v>
      </c>
      <c r="F1963" s="5">
        <f t="shared" si="30"/>
        <v>1237.9000000000001</v>
      </c>
    </row>
    <row r="1964" spans="1:6" x14ac:dyDescent="0.45">
      <c r="A1964" s="6">
        <v>11007</v>
      </c>
      <c r="B1964" s="3">
        <v>42</v>
      </c>
      <c r="C1964" s="3">
        <v>14</v>
      </c>
      <c r="D1964" s="3">
        <v>14</v>
      </c>
      <c r="E1964" s="4">
        <v>0</v>
      </c>
      <c r="F1964" s="5">
        <f t="shared" si="30"/>
        <v>196</v>
      </c>
    </row>
    <row r="1965" spans="1:6" x14ac:dyDescent="0.45">
      <c r="A1965" s="6">
        <v>11008</v>
      </c>
      <c r="B1965" s="3">
        <v>28</v>
      </c>
      <c r="C1965" s="3">
        <v>45.6</v>
      </c>
      <c r="D1965" s="3">
        <v>70</v>
      </c>
      <c r="E1965" s="4">
        <v>0.05</v>
      </c>
      <c r="F1965" s="5">
        <f t="shared" si="30"/>
        <v>3032.3999999999996</v>
      </c>
    </row>
    <row r="1966" spans="1:6" x14ac:dyDescent="0.45">
      <c r="A1966" s="6">
        <v>11008</v>
      </c>
      <c r="B1966" s="3">
        <v>34</v>
      </c>
      <c r="C1966" s="3">
        <v>14</v>
      </c>
      <c r="D1966" s="3">
        <v>90</v>
      </c>
      <c r="E1966" s="4">
        <v>0.05</v>
      </c>
      <c r="F1966" s="5">
        <f t="shared" si="30"/>
        <v>1197</v>
      </c>
    </row>
    <row r="1967" spans="1:6" x14ac:dyDescent="0.45">
      <c r="A1967" s="6">
        <v>11008</v>
      </c>
      <c r="B1967" s="3">
        <v>71</v>
      </c>
      <c r="C1967" s="3">
        <v>21.5</v>
      </c>
      <c r="D1967" s="3">
        <v>21</v>
      </c>
      <c r="E1967" s="4">
        <v>0</v>
      </c>
      <c r="F1967" s="5">
        <f t="shared" si="30"/>
        <v>451.5</v>
      </c>
    </row>
    <row r="1968" spans="1:6" x14ac:dyDescent="0.45">
      <c r="A1968" s="6">
        <v>11009</v>
      </c>
      <c r="B1968" s="3">
        <v>24</v>
      </c>
      <c r="C1968" s="3">
        <v>4.5</v>
      </c>
      <c r="D1968" s="3">
        <v>12</v>
      </c>
      <c r="E1968" s="4">
        <v>0</v>
      </c>
      <c r="F1968" s="5">
        <f t="shared" si="30"/>
        <v>54</v>
      </c>
    </row>
    <row r="1969" spans="1:6" x14ac:dyDescent="0.45">
      <c r="A1969" s="6">
        <v>11009</v>
      </c>
      <c r="B1969" s="3">
        <v>36</v>
      </c>
      <c r="C1969" s="3">
        <v>19</v>
      </c>
      <c r="D1969" s="3">
        <v>18</v>
      </c>
      <c r="E1969" s="4">
        <v>0.25</v>
      </c>
      <c r="F1969" s="5">
        <f t="shared" si="30"/>
        <v>256.5</v>
      </c>
    </row>
    <row r="1970" spans="1:6" x14ac:dyDescent="0.45">
      <c r="A1970" s="6">
        <v>11009</v>
      </c>
      <c r="B1970" s="3">
        <v>60</v>
      </c>
      <c r="C1970" s="3">
        <v>34</v>
      </c>
      <c r="D1970" s="3">
        <v>9</v>
      </c>
      <c r="E1970" s="4">
        <v>0</v>
      </c>
      <c r="F1970" s="5">
        <f t="shared" si="30"/>
        <v>306</v>
      </c>
    </row>
    <row r="1971" spans="1:6" x14ac:dyDescent="0.45">
      <c r="A1971" s="6">
        <v>11010</v>
      </c>
      <c r="B1971" s="3">
        <v>7</v>
      </c>
      <c r="C1971" s="3">
        <v>30</v>
      </c>
      <c r="D1971" s="3">
        <v>20</v>
      </c>
      <c r="E1971" s="4">
        <v>0</v>
      </c>
      <c r="F1971" s="5">
        <f t="shared" si="30"/>
        <v>600</v>
      </c>
    </row>
    <row r="1972" spans="1:6" x14ac:dyDescent="0.45">
      <c r="A1972" s="6">
        <v>11010</v>
      </c>
      <c r="B1972" s="3">
        <v>24</v>
      </c>
      <c r="C1972" s="3">
        <v>4.5</v>
      </c>
      <c r="D1972" s="3">
        <v>10</v>
      </c>
      <c r="E1972" s="4">
        <v>0</v>
      </c>
      <c r="F1972" s="5">
        <f t="shared" si="30"/>
        <v>45</v>
      </c>
    </row>
    <row r="1973" spans="1:6" x14ac:dyDescent="0.45">
      <c r="A1973" s="6">
        <v>11011</v>
      </c>
      <c r="B1973" s="3">
        <v>58</v>
      </c>
      <c r="C1973" s="3">
        <v>13.25</v>
      </c>
      <c r="D1973" s="3">
        <v>40</v>
      </c>
      <c r="E1973" s="4">
        <v>0.05</v>
      </c>
      <c r="F1973" s="5">
        <f t="shared" si="30"/>
        <v>503.5</v>
      </c>
    </row>
    <row r="1974" spans="1:6" x14ac:dyDescent="0.45">
      <c r="A1974" s="6">
        <v>11011</v>
      </c>
      <c r="B1974" s="3">
        <v>71</v>
      </c>
      <c r="C1974" s="3">
        <v>21.5</v>
      </c>
      <c r="D1974" s="3">
        <v>20</v>
      </c>
      <c r="E1974" s="4">
        <v>0</v>
      </c>
      <c r="F1974" s="5">
        <f t="shared" si="30"/>
        <v>430</v>
      </c>
    </row>
    <row r="1975" spans="1:6" x14ac:dyDescent="0.45">
      <c r="A1975" s="6">
        <v>11012</v>
      </c>
      <c r="B1975" s="3">
        <v>19</v>
      </c>
      <c r="C1975" s="3">
        <v>9.1999999999999993</v>
      </c>
      <c r="D1975" s="3">
        <v>50</v>
      </c>
      <c r="E1975" s="4">
        <v>0.05</v>
      </c>
      <c r="F1975" s="5">
        <f t="shared" si="30"/>
        <v>436.99999999999994</v>
      </c>
    </row>
    <row r="1976" spans="1:6" x14ac:dyDescent="0.45">
      <c r="A1976" s="6">
        <v>11012</v>
      </c>
      <c r="B1976" s="3">
        <v>60</v>
      </c>
      <c r="C1976" s="3">
        <v>34</v>
      </c>
      <c r="D1976" s="3">
        <v>36</v>
      </c>
      <c r="E1976" s="4">
        <v>0.05</v>
      </c>
      <c r="F1976" s="5">
        <f t="shared" si="30"/>
        <v>1162.8</v>
      </c>
    </row>
    <row r="1977" spans="1:6" x14ac:dyDescent="0.45">
      <c r="A1977" s="6">
        <v>11012</v>
      </c>
      <c r="B1977" s="3">
        <v>71</v>
      </c>
      <c r="C1977" s="3">
        <v>21.5</v>
      </c>
      <c r="D1977" s="3">
        <v>60</v>
      </c>
      <c r="E1977" s="4">
        <v>0.05</v>
      </c>
      <c r="F1977" s="5">
        <f t="shared" si="30"/>
        <v>1225.5</v>
      </c>
    </row>
    <row r="1978" spans="1:6" x14ac:dyDescent="0.45">
      <c r="A1978" s="6">
        <v>11013</v>
      </c>
      <c r="B1978" s="3">
        <v>23</v>
      </c>
      <c r="C1978" s="3">
        <v>9</v>
      </c>
      <c r="D1978" s="3">
        <v>10</v>
      </c>
      <c r="E1978" s="4">
        <v>0</v>
      </c>
      <c r="F1978" s="5">
        <f t="shared" si="30"/>
        <v>90</v>
      </c>
    </row>
    <row r="1979" spans="1:6" x14ac:dyDescent="0.45">
      <c r="A1979" s="6">
        <v>11013</v>
      </c>
      <c r="B1979" s="3">
        <v>42</v>
      </c>
      <c r="C1979" s="3">
        <v>14</v>
      </c>
      <c r="D1979" s="3">
        <v>4</v>
      </c>
      <c r="E1979" s="4">
        <v>0</v>
      </c>
      <c r="F1979" s="5">
        <f t="shared" si="30"/>
        <v>56</v>
      </c>
    </row>
    <row r="1980" spans="1:6" x14ac:dyDescent="0.45">
      <c r="A1980" s="6">
        <v>11013</v>
      </c>
      <c r="B1980" s="3">
        <v>45</v>
      </c>
      <c r="C1980" s="3">
        <v>9.5</v>
      </c>
      <c r="D1980" s="3">
        <v>20</v>
      </c>
      <c r="E1980" s="4">
        <v>0</v>
      </c>
      <c r="F1980" s="5">
        <f t="shared" si="30"/>
        <v>190</v>
      </c>
    </row>
    <row r="1981" spans="1:6" x14ac:dyDescent="0.45">
      <c r="A1981" s="6">
        <v>11013</v>
      </c>
      <c r="B1981" s="3">
        <v>68</v>
      </c>
      <c r="C1981" s="3">
        <v>12.5</v>
      </c>
      <c r="D1981" s="3">
        <v>2</v>
      </c>
      <c r="E1981" s="4">
        <v>0</v>
      </c>
      <c r="F1981" s="5">
        <f t="shared" si="30"/>
        <v>25</v>
      </c>
    </row>
    <row r="1982" spans="1:6" x14ac:dyDescent="0.45">
      <c r="A1982" s="6">
        <v>11014</v>
      </c>
      <c r="B1982" s="3">
        <v>41</v>
      </c>
      <c r="C1982" s="3">
        <v>9.65</v>
      </c>
      <c r="D1982" s="3">
        <v>28</v>
      </c>
      <c r="E1982" s="4">
        <v>0.1</v>
      </c>
      <c r="F1982" s="5">
        <f t="shared" si="30"/>
        <v>243.18</v>
      </c>
    </row>
    <row r="1983" spans="1:6" x14ac:dyDescent="0.45">
      <c r="A1983" s="6">
        <v>11015</v>
      </c>
      <c r="B1983" s="3">
        <v>30</v>
      </c>
      <c r="C1983" s="3">
        <v>25.89</v>
      </c>
      <c r="D1983" s="3">
        <v>15</v>
      </c>
      <c r="E1983" s="4">
        <v>0</v>
      </c>
      <c r="F1983" s="5">
        <f t="shared" si="30"/>
        <v>388.35</v>
      </c>
    </row>
    <row r="1984" spans="1:6" x14ac:dyDescent="0.45">
      <c r="A1984" s="6">
        <v>11015</v>
      </c>
      <c r="B1984" s="3">
        <v>77</v>
      </c>
      <c r="C1984" s="3">
        <v>13</v>
      </c>
      <c r="D1984" s="3">
        <v>18</v>
      </c>
      <c r="E1984" s="4">
        <v>0</v>
      </c>
      <c r="F1984" s="5">
        <f t="shared" si="30"/>
        <v>234</v>
      </c>
    </row>
    <row r="1985" spans="1:6" x14ac:dyDescent="0.45">
      <c r="A1985" s="6">
        <v>11016</v>
      </c>
      <c r="B1985" s="3">
        <v>31</v>
      </c>
      <c r="C1985" s="3">
        <v>12.5</v>
      </c>
      <c r="D1985" s="3">
        <v>15</v>
      </c>
      <c r="E1985" s="4">
        <v>0</v>
      </c>
      <c r="F1985" s="5">
        <f t="shared" si="30"/>
        <v>187.5</v>
      </c>
    </row>
    <row r="1986" spans="1:6" x14ac:dyDescent="0.45">
      <c r="A1986" s="6">
        <v>11016</v>
      </c>
      <c r="B1986" s="3">
        <v>36</v>
      </c>
      <c r="C1986" s="3">
        <v>19</v>
      </c>
      <c r="D1986" s="3">
        <v>16</v>
      </c>
      <c r="E1986" s="4">
        <v>0</v>
      </c>
      <c r="F1986" s="5">
        <f t="shared" ref="F1986:F2049" si="31">C1986*D1986*(1-E1986)</f>
        <v>304</v>
      </c>
    </row>
    <row r="1987" spans="1:6" x14ac:dyDescent="0.45">
      <c r="A1987" s="6">
        <v>11017</v>
      </c>
      <c r="B1987" s="3">
        <v>3</v>
      </c>
      <c r="C1987" s="3">
        <v>10</v>
      </c>
      <c r="D1987" s="3">
        <v>25</v>
      </c>
      <c r="E1987" s="4">
        <v>0</v>
      </c>
      <c r="F1987" s="5">
        <f t="shared" si="31"/>
        <v>250</v>
      </c>
    </row>
    <row r="1988" spans="1:6" x14ac:dyDescent="0.45">
      <c r="A1988" s="6">
        <v>11017</v>
      </c>
      <c r="B1988" s="3">
        <v>59</v>
      </c>
      <c r="C1988" s="3">
        <v>55</v>
      </c>
      <c r="D1988" s="3">
        <v>110</v>
      </c>
      <c r="E1988" s="4">
        <v>0</v>
      </c>
      <c r="F1988" s="5">
        <f t="shared" si="31"/>
        <v>6050</v>
      </c>
    </row>
    <row r="1989" spans="1:6" x14ac:dyDescent="0.45">
      <c r="A1989" s="6">
        <v>11017</v>
      </c>
      <c r="B1989" s="3">
        <v>70</v>
      </c>
      <c r="C1989" s="3">
        <v>15</v>
      </c>
      <c r="D1989" s="3">
        <v>30</v>
      </c>
      <c r="E1989" s="4">
        <v>0</v>
      </c>
      <c r="F1989" s="5">
        <f t="shared" si="31"/>
        <v>450</v>
      </c>
    </row>
    <row r="1990" spans="1:6" x14ac:dyDescent="0.45">
      <c r="A1990" s="6">
        <v>11018</v>
      </c>
      <c r="B1990" s="3">
        <v>12</v>
      </c>
      <c r="C1990" s="3">
        <v>38</v>
      </c>
      <c r="D1990" s="3">
        <v>20</v>
      </c>
      <c r="E1990" s="4">
        <v>0</v>
      </c>
      <c r="F1990" s="5">
        <f t="shared" si="31"/>
        <v>760</v>
      </c>
    </row>
    <row r="1991" spans="1:6" x14ac:dyDescent="0.45">
      <c r="A1991" s="6">
        <v>11018</v>
      </c>
      <c r="B1991" s="3">
        <v>18</v>
      </c>
      <c r="C1991" s="3">
        <v>62.5</v>
      </c>
      <c r="D1991" s="3">
        <v>10</v>
      </c>
      <c r="E1991" s="4">
        <v>0</v>
      </c>
      <c r="F1991" s="5">
        <f t="shared" si="31"/>
        <v>625</v>
      </c>
    </row>
    <row r="1992" spans="1:6" x14ac:dyDescent="0.45">
      <c r="A1992" s="6">
        <v>11018</v>
      </c>
      <c r="B1992" s="3">
        <v>56</v>
      </c>
      <c r="C1992" s="3">
        <v>38</v>
      </c>
      <c r="D1992" s="3">
        <v>5</v>
      </c>
      <c r="E1992" s="4">
        <v>0</v>
      </c>
      <c r="F1992" s="5">
        <f t="shared" si="31"/>
        <v>190</v>
      </c>
    </row>
    <row r="1993" spans="1:6" x14ac:dyDescent="0.45">
      <c r="A1993" s="6">
        <v>11019</v>
      </c>
      <c r="B1993" s="3">
        <v>46</v>
      </c>
      <c r="C1993" s="3">
        <v>12</v>
      </c>
      <c r="D1993" s="3">
        <v>3</v>
      </c>
      <c r="E1993" s="4">
        <v>0</v>
      </c>
      <c r="F1993" s="5">
        <f t="shared" si="31"/>
        <v>36</v>
      </c>
    </row>
    <row r="1994" spans="1:6" x14ac:dyDescent="0.45">
      <c r="A1994" s="6">
        <v>11019</v>
      </c>
      <c r="B1994" s="3">
        <v>49</v>
      </c>
      <c r="C1994" s="3">
        <v>20</v>
      </c>
      <c r="D1994" s="3">
        <v>2</v>
      </c>
      <c r="E1994" s="4">
        <v>0</v>
      </c>
      <c r="F1994" s="5">
        <f t="shared" si="31"/>
        <v>40</v>
      </c>
    </row>
    <row r="1995" spans="1:6" x14ac:dyDescent="0.45">
      <c r="A1995" s="6">
        <v>11020</v>
      </c>
      <c r="B1995" s="3">
        <v>10</v>
      </c>
      <c r="C1995" s="3">
        <v>31</v>
      </c>
      <c r="D1995" s="3">
        <v>24</v>
      </c>
      <c r="E1995" s="4">
        <v>0.15</v>
      </c>
      <c r="F1995" s="5">
        <f t="shared" si="31"/>
        <v>632.4</v>
      </c>
    </row>
    <row r="1996" spans="1:6" x14ac:dyDescent="0.45">
      <c r="A1996" s="6">
        <v>11021</v>
      </c>
      <c r="B1996" s="3">
        <v>2</v>
      </c>
      <c r="C1996" s="3">
        <v>19</v>
      </c>
      <c r="D1996" s="3">
        <v>11</v>
      </c>
      <c r="E1996" s="4">
        <v>0.25</v>
      </c>
      <c r="F1996" s="5">
        <f t="shared" si="31"/>
        <v>156.75</v>
      </c>
    </row>
    <row r="1997" spans="1:6" x14ac:dyDescent="0.45">
      <c r="A1997" s="6">
        <v>11021</v>
      </c>
      <c r="B1997" s="3">
        <v>20</v>
      </c>
      <c r="C1997" s="3">
        <v>81</v>
      </c>
      <c r="D1997" s="3">
        <v>15</v>
      </c>
      <c r="E1997" s="4">
        <v>0</v>
      </c>
      <c r="F1997" s="5">
        <f t="shared" si="31"/>
        <v>1215</v>
      </c>
    </row>
    <row r="1998" spans="1:6" x14ac:dyDescent="0.45">
      <c r="A1998" s="6">
        <v>11021</v>
      </c>
      <c r="B1998" s="3">
        <v>26</v>
      </c>
      <c r="C1998" s="3">
        <v>31.23</v>
      </c>
      <c r="D1998" s="3">
        <v>63</v>
      </c>
      <c r="E1998" s="4">
        <v>0</v>
      </c>
      <c r="F1998" s="5">
        <f t="shared" si="31"/>
        <v>1967.49</v>
      </c>
    </row>
    <row r="1999" spans="1:6" x14ac:dyDescent="0.45">
      <c r="A1999" s="6">
        <v>11021</v>
      </c>
      <c r="B1999" s="3">
        <v>51</v>
      </c>
      <c r="C1999" s="3">
        <v>53</v>
      </c>
      <c r="D1999" s="3">
        <v>44</v>
      </c>
      <c r="E1999" s="4">
        <v>0.25</v>
      </c>
      <c r="F1999" s="5">
        <f t="shared" si="31"/>
        <v>1749</v>
      </c>
    </row>
    <row r="2000" spans="1:6" x14ac:dyDescent="0.45">
      <c r="A2000" s="6">
        <v>11021</v>
      </c>
      <c r="B2000" s="3">
        <v>72</v>
      </c>
      <c r="C2000" s="3">
        <v>34.799999999999997</v>
      </c>
      <c r="D2000" s="3">
        <v>35</v>
      </c>
      <c r="E2000" s="4">
        <v>0</v>
      </c>
      <c r="F2000" s="5">
        <f t="shared" si="31"/>
        <v>1218</v>
      </c>
    </row>
    <row r="2001" spans="1:6" x14ac:dyDescent="0.45">
      <c r="A2001" s="6">
        <v>11022</v>
      </c>
      <c r="B2001" s="3">
        <v>19</v>
      </c>
      <c r="C2001" s="3">
        <v>9.1999999999999993</v>
      </c>
      <c r="D2001" s="3">
        <v>35</v>
      </c>
      <c r="E2001" s="4">
        <v>0</v>
      </c>
      <c r="F2001" s="5">
        <f t="shared" si="31"/>
        <v>322</v>
      </c>
    </row>
    <row r="2002" spans="1:6" x14ac:dyDescent="0.45">
      <c r="A2002" s="6">
        <v>11022</v>
      </c>
      <c r="B2002" s="3">
        <v>69</v>
      </c>
      <c r="C2002" s="3">
        <v>36</v>
      </c>
      <c r="D2002" s="3">
        <v>30</v>
      </c>
      <c r="E2002" s="4">
        <v>0</v>
      </c>
      <c r="F2002" s="5">
        <f t="shared" si="31"/>
        <v>1080</v>
      </c>
    </row>
    <row r="2003" spans="1:6" x14ac:dyDescent="0.45">
      <c r="A2003" s="6">
        <v>11023</v>
      </c>
      <c r="B2003" s="3">
        <v>7</v>
      </c>
      <c r="C2003" s="3">
        <v>30</v>
      </c>
      <c r="D2003" s="3">
        <v>4</v>
      </c>
      <c r="E2003" s="4">
        <v>0</v>
      </c>
      <c r="F2003" s="5">
        <f t="shared" si="31"/>
        <v>120</v>
      </c>
    </row>
    <row r="2004" spans="1:6" x14ac:dyDescent="0.45">
      <c r="A2004" s="6">
        <v>11023</v>
      </c>
      <c r="B2004" s="3">
        <v>43</v>
      </c>
      <c r="C2004" s="3">
        <v>46</v>
      </c>
      <c r="D2004" s="3">
        <v>30</v>
      </c>
      <c r="E2004" s="4">
        <v>0</v>
      </c>
      <c r="F2004" s="5">
        <f t="shared" si="31"/>
        <v>1380</v>
      </c>
    </row>
    <row r="2005" spans="1:6" x14ac:dyDescent="0.45">
      <c r="A2005" s="6">
        <v>11024</v>
      </c>
      <c r="B2005" s="3">
        <v>26</v>
      </c>
      <c r="C2005" s="3">
        <v>31.23</v>
      </c>
      <c r="D2005" s="3">
        <v>12</v>
      </c>
      <c r="E2005" s="4">
        <v>0</v>
      </c>
      <c r="F2005" s="5">
        <f t="shared" si="31"/>
        <v>374.76</v>
      </c>
    </row>
    <row r="2006" spans="1:6" x14ac:dyDescent="0.45">
      <c r="A2006" s="6">
        <v>11024</v>
      </c>
      <c r="B2006" s="3">
        <v>33</v>
      </c>
      <c r="C2006" s="3">
        <v>2.5</v>
      </c>
      <c r="D2006" s="3">
        <v>30</v>
      </c>
      <c r="E2006" s="4">
        <v>0</v>
      </c>
      <c r="F2006" s="5">
        <f t="shared" si="31"/>
        <v>75</v>
      </c>
    </row>
    <row r="2007" spans="1:6" x14ac:dyDescent="0.45">
      <c r="A2007" s="6">
        <v>11024</v>
      </c>
      <c r="B2007" s="3">
        <v>65</v>
      </c>
      <c r="C2007" s="3">
        <v>21.05</v>
      </c>
      <c r="D2007" s="3">
        <v>21</v>
      </c>
      <c r="E2007" s="4">
        <v>0</v>
      </c>
      <c r="F2007" s="5">
        <f t="shared" si="31"/>
        <v>442.05</v>
      </c>
    </row>
    <row r="2008" spans="1:6" x14ac:dyDescent="0.45">
      <c r="A2008" s="6">
        <v>11024</v>
      </c>
      <c r="B2008" s="3">
        <v>71</v>
      </c>
      <c r="C2008" s="3">
        <v>21.5</v>
      </c>
      <c r="D2008" s="3">
        <v>50</v>
      </c>
      <c r="E2008" s="4">
        <v>0</v>
      </c>
      <c r="F2008" s="5">
        <f t="shared" si="31"/>
        <v>1075</v>
      </c>
    </row>
    <row r="2009" spans="1:6" x14ac:dyDescent="0.45">
      <c r="A2009" s="6">
        <v>11025</v>
      </c>
      <c r="B2009" s="3">
        <v>1</v>
      </c>
      <c r="C2009" s="3">
        <v>18</v>
      </c>
      <c r="D2009" s="3">
        <v>10</v>
      </c>
      <c r="E2009" s="4">
        <v>0.1</v>
      </c>
      <c r="F2009" s="5">
        <f t="shared" si="31"/>
        <v>162</v>
      </c>
    </row>
    <row r="2010" spans="1:6" x14ac:dyDescent="0.45">
      <c r="A2010" s="6">
        <v>11025</v>
      </c>
      <c r="B2010" s="3">
        <v>13</v>
      </c>
      <c r="C2010" s="3">
        <v>6</v>
      </c>
      <c r="D2010" s="3">
        <v>20</v>
      </c>
      <c r="E2010" s="4">
        <v>0.1</v>
      </c>
      <c r="F2010" s="5">
        <f t="shared" si="31"/>
        <v>108</v>
      </c>
    </row>
    <row r="2011" spans="1:6" x14ac:dyDescent="0.45">
      <c r="A2011" s="6">
        <v>11026</v>
      </c>
      <c r="B2011" s="3">
        <v>18</v>
      </c>
      <c r="C2011" s="3">
        <v>62.5</v>
      </c>
      <c r="D2011" s="3">
        <v>8</v>
      </c>
      <c r="E2011" s="4">
        <v>0</v>
      </c>
      <c r="F2011" s="5">
        <f t="shared" si="31"/>
        <v>500</v>
      </c>
    </row>
    <row r="2012" spans="1:6" x14ac:dyDescent="0.45">
      <c r="A2012" s="6">
        <v>11026</v>
      </c>
      <c r="B2012" s="3">
        <v>51</v>
      </c>
      <c r="C2012" s="3">
        <v>53</v>
      </c>
      <c r="D2012" s="3">
        <v>10</v>
      </c>
      <c r="E2012" s="4">
        <v>0</v>
      </c>
      <c r="F2012" s="5">
        <f t="shared" si="31"/>
        <v>530</v>
      </c>
    </row>
    <row r="2013" spans="1:6" x14ac:dyDescent="0.45">
      <c r="A2013" s="6">
        <v>11027</v>
      </c>
      <c r="B2013" s="3">
        <v>24</v>
      </c>
      <c r="C2013" s="3">
        <v>4.5</v>
      </c>
      <c r="D2013" s="3">
        <v>30</v>
      </c>
      <c r="E2013" s="4">
        <v>0.25</v>
      </c>
      <c r="F2013" s="5">
        <f t="shared" si="31"/>
        <v>101.25</v>
      </c>
    </row>
    <row r="2014" spans="1:6" x14ac:dyDescent="0.45">
      <c r="A2014" s="6">
        <v>11027</v>
      </c>
      <c r="B2014" s="3">
        <v>62</v>
      </c>
      <c r="C2014" s="3">
        <v>49.3</v>
      </c>
      <c r="D2014" s="3">
        <v>21</v>
      </c>
      <c r="E2014" s="4">
        <v>0.25</v>
      </c>
      <c r="F2014" s="5">
        <f t="shared" si="31"/>
        <v>776.47499999999991</v>
      </c>
    </row>
    <row r="2015" spans="1:6" x14ac:dyDescent="0.45">
      <c r="A2015" s="6">
        <v>11028</v>
      </c>
      <c r="B2015" s="3">
        <v>55</v>
      </c>
      <c r="C2015" s="3">
        <v>24</v>
      </c>
      <c r="D2015" s="3">
        <v>35</v>
      </c>
      <c r="E2015" s="4">
        <v>0</v>
      </c>
      <c r="F2015" s="5">
        <f t="shared" si="31"/>
        <v>840</v>
      </c>
    </row>
    <row r="2016" spans="1:6" x14ac:dyDescent="0.45">
      <c r="A2016" s="6">
        <v>11028</v>
      </c>
      <c r="B2016" s="3">
        <v>59</v>
      </c>
      <c r="C2016" s="3">
        <v>55</v>
      </c>
      <c r="D2016" s="3">
        <v>24</v>
      </c>
      <c r="E2016" s="4">
        <v>0</v>
      </c>
      <c r="F2016" s="5">
        <f t="shared" si="31"/>
        <v>1320</v>
      </c>
    </row>
    <row r="2017" spans="1:6" x14ac:dyDescent="0.45">
      <c r="A2017" s="6">
        <v>11029</v>
      </c>
      <c r="B2017" s="3">
        <v>56</v>
      </c>
      <c r="C2017" s="3">
        <v>38</v>
      </c>
      <c r="D2017" s="3">
        <v>20</v>
      </c>
      <c r="E2017" s="4">
        <v>0</v>
      </c>
      <c r="F2017" s="5">
        <f t="shared" si="31"/>
        <v>760</v>
      </c>
    </row>
    <row r="2018" spans="1:6" x14ac:dyDescent="0.45">
      <c r="A2018" s="6">
        <v>11029</v>
      </c>
      <c r="B2018" s="3">
        <v>63</v>
      </c>
      <c r="C2018" s="3">
        <v>43.9</v>
      </c>
      <c r="D2018" s="3">
        <v>12</v>
      </c>
      <c r="E2018" s="4">
        <v>0</v>
      </c>
      <c r="F2018" s="5">
        <f t="shared" si="31"/>
        <v>526.79999999999995</v>
      </c>
    </row>
    <row r="2019" spans="1:6" x14ac:dyDescent="0.45">
      <c r="A2019" s="6">
        <v>11030</v>
      </c>
      <c r="B2019" s="3">
        <v>2</v>
      </c>
      <c r="C2019" s="3">
        <v>19</v>
      </c>
      <c r="D2019" s="3">
        <v>100</v>
      </c>
      <c r="E2019" s="4">
        <v>0.25</v>
      </c>
      <c r="F2019" s="5">
        <f t="shared" si="31"/>
        <v>1425</v>
      </c>
    </row>
    <row r="2020" spans="1:6" x14ac:dyDescent="0.45">
      <c r="A2020" s="6">
        <v>11030</v>
      </c>
      <c r="B2020" s="3">
        <v>5</v>
      </c>
      <c r="C2020" s="3">
        <v>21.35</v>
      </c>
      <c r="D2020" s="3">
        <v>70</v>
      </c>
      <c r="E2020" s="4">
        <v>0</v>
      </c>
      <c r="F2020" s="5">
        <f t="shared" si="31"/>
        <v>1494.5</v>
      </c>
    </row>
    <row r="2021" spans="1:6" x14ac:dyDescent="0.45">
      <c r="A2021" s="6">
        <v>11030</v>
      </c>
      <c r="B2021" s="3">
        <v>29</v>
      </c>
      <c r="C2021" s="3">
        <v>123.79</v>
      </c>
      <c r="D2021" s="3">
        <v>60</v>
      </c>
      <c r="E2021" s="4">
        <v>0.25</v>
      </c>
      <c r="F2021" s="5">
        <f t="shared" si="31"/>
        <v>5570.55</v>
      </c>
    </row>
    <row r="2022" spans="1:6" x14ac:dyDescent="0.45">
      <c r="A2022" s="6">
        <v>11030</v>
      </c>
      <c r="B2022" s="3">
        <v>59</v>
      </c>
      <c r="C2022" s="3">
        <v>55</v>
      </c>
      <c r="D2022" s="3">
        <v>100</v>
      </c>
      <c r="E2022" s="4">
        <v>0.25</v>
      </c>
      <c r="F2022" s="5">
        <f t="shared" si="31"/>
        <v>4125</v>
      </c>
    </row>
    <row r="2023" spans="1:6" x14ac:dyDescent="0.45">
      <c r="A2023" s="6">
        <v>11031</v>
      </c>
      <c r="B2023" s="3">
        <v>1</v>
      </c>
      <c r="C2023" s="3">
        <v>18</v>
      </c>
      <c r="D2023" s="3">
        <v>45</v>
      </c>
      <c r="E2023" s="4">
        <v>0</v>
      </c>
      <c r="F2023" s="5">
        <f t="shared" si="31"/>
        <v>810</v>
      </c>
    </row>
    <row r="2024" spans="1:6" x14ac:dyDescent="0.45">
      <c r="A2024" s="6">
        <v>11031</v>
      </c>
      <c r="B2024" s="3">
        <v>13</v>
      </c>
      <c r="C2024" s="3">
        <v>6</v>
      </c>
      <c r="D2024" s="3">
        <v>80</v>
      </c>
      <c r="E2024" s="4">
        <v>0</v>
      </c>
      <c r="F2024" s="5">
        <f t="shared" si="31"/>
        <v>480</v>
      </c>
    </row>
    <row r="2025" spans="1:6" x14ac:dyDescent="0.45">
      <c r="A2025" s="6">
        <v>11031</v>
      </c>
      <c r="B2025" s="3">
        <v>24</v>
      </c>
      <c r="C2025" s="3">
        <v>4.5</v>
      </c>
      <c r="D2025" s="3">
        <v>21</v>
      </c>
      <c r="E2025" s="4">
        <v>0</v>
      </c>
      <c r="F2025" s="5">
        <f t="shared" si="31"/>
        <v>94.5</v>
      </c>
    </row>
    <row r="2026" spans="1:6" x14ac:dyDescent="0.45">
      <c r="A2026" s="6">
        <v>11031</v>
      </c>
      <c r="B2026" s="3">
        <v>64</v>
      </c>
      <c r="C2026" s="3">
        <v>33.25</v>
      </c>
      <c r="D2026" s="3">
        <v>20</v>
      </c>
      <c r="E2026" s="4">
        <v>0</v>
      </c>
      <c r="F2026" s="5">
        <f t="shared" si="31"/>
        <v>665</v>
      </c>
    </row>
    <row r="2027" spans="1:6" x14ac:dyDescent="0.45">
      <c r="A2027" s="6">
        <v>11031</v>
      </c>
      <c r="B2027" s="3">
        <v>71</v>
      </c>
      <c r="C2027" s="3">
        <v>21.5</v>
      </c>
      <c r="D2027" s="3">
        <v>16</v>
      </c>
      <c r="E2027" s="4">
        <v>0</v>
      </c>
      <c r="F2027" s="5">
        <f t="shared" si="31"/>
        <v>344</v>
      </c>
    </row>
    <row r="2028" spans="1:6" x14ac:dyDescent="0.45">
      <c r="A2028" s="6">
        <v>11032</v>
      </c>
      <c r="B2028" s="3">
        <v>36</v>
      </c>
      <c r="C2028" s="3">
        <v>19</v>
      </c>
      <c r="D2028" s="3">
        <v>35</v>
      </c>
      <c r="E2028" s="4">
        <v>0</v>
      </c>
      <c r="F2028" s="5">
        <f t="shared" si="31"/>
        <v>665</v>
      </c>
    </row>
    <row r="2029" spans="1:6" x14ac:dyDescent="0.45">
      <c r="A2029" s="6">
        <v>11032</v>
      </c>
      <c r="B2029" s="3">
        <v>38</v>
      </c>
      <c r="C2029" s="3">
        <v>263.5</v>
      </c>
      <c r="D2029" s="3">
        <v>25</v>
      </c>
      <c r="E2029" s="4">
        <v>0</v>
      </c>
      <c r="F2029" s="5">
        <f t="shared" si="31"/>
        <v>6587.5</v>
      </c>
    </row>
    <row r="2030" spans="1:6" x14ac:dyDescent="0.45">
      <c r="A2030" s="6">
        <v>11032</v>
      </c>
      <c r="B2030" s="3">
        <v>59</v>
      </c>
      <c r="C2030" s="3">
        <v>55</v>
      </c>
      <c r="D2030" s="3">
        <v>30</v>
      </c>
      <c r="E2030" s="4">
        <v>0</v>
      </c>
      <c r="F2030" s="5">
        <f t="shared" si="31"/>
        <v>1650</v>
      </c>
    </row>
    <row r="2031" spans="1:6" x14ac:dyDescent="0.45">
      <c r="A2031" s="6">
        <v>11033</v>
      </c>
      <c r="B2031" s="3">
        <v>53</v>
      </c>
      <c r="C2031" s="3">
        <v>32.799999999999997</v>
      </c>
      <c r="D2031" s="3">
        <v>70</v>
      </c>
      <c r="E2031" s="4">
        <v>0.1</v>
      </c>
      <c r="F2031" s="5">
        <f t="shared" si="31"/>
        <v>2066.4</v>
      </c>
    </row>
    <row r="2032" spans="1:6" x14ac:dyDescent="0.45">
      <c r="A2032" s="6">
        <v>11033</v>
      </c>
      <c r="B2032" s="3">
        <v>69</v>
      </c>
      <c r="C2032" s="3">
        <v>36</v>
      </c>
      <c r="D2032" s="3">
        <v>36</v>
      </c>
      <c r="E2032" s="4">
        <v>0.1</v>
      </c>
      <c r="F2032" s="5">
        <f t="shared" si="31"/>
        <v>1166.4000000000001</v>
      </c>
    </row>
    <row r="2033" spans="1:6" x14ac:dyDescent="0.45">
      <c r="A2033" s="6">
        <v>11034</v>
      </c>
      <c r="B2033" s="3">
        <v>21</v>
      </c>
      <c r="C2033" s="3">
        <v>10</v>
      </c>
      <c r="D2033" s="3">
        <v>15</v>
      </c>
      <c r="E2033" s="4">
        <v>0.1</v>
      </c>
      <c r="F2033" s="5">
        <f t="shared" si="31"/>
        <v>135</v>
      </c>
    </row>
    <row r="2034" spans="1:6" x14ac:dyDescent="0.45">
      <c r="A2034" s="6">
        <v>11034</v>
      </c>
      <c r="B2034" s="3">
        <v>44</v>
      </c>
      <c r="C2034" s="3">
        <v>19.45</v>
      </c>
      <c r="D2034" s="3">
        <v>12</v>
      </c>
      <c r="E2034" s="4">
        <v>0</v>
      </c>
      <c r="F2034" s="5">
        <f t="shared" si="31"/>
        <v>233.39999999999998</v>
      </c>
    </row>
    <row r="2035" spans="1:6" x14ac:dyDescent="0.45">
      <c r="A2035" s="6">
        <v>11034</v>
      </c>
      <c r="B2035" s="3">
        <v>61</v>
      </c>
      <c r="C2035" s="3">
        <v>28.5</v>
      </c>
      <c r="D2035" s="3">
        <v>6</v>
      </c>
      <c r="E2035" s="4">
        <v>0</v>
      </c>
      <c r="F2035" s="5">
        <f t="shared" si="31"/>
        <v>171</v>
      </c>
    </row>
    <row r="2036" spans="1:6" x14ac:dyDescent="0.45">
      <c r="A2036" s="6">
        <v>11035</v>
      </c>
      <c r="B2036" s="3">
        <v>1</v>
      </c>
      <c r="C2036" s="3">
        <v>18</v>
      </c>
      <c r="D2036" s="3">
        <v>10</v>
      </c>
      <c r="E2036" s="4">
        <v>0</v>
      </c>
      <c r="F2036" s="5">
        <f t="shared" si="31"/>
        <v>180</v>
      </c>
    </row>
    <row r="2037" spans="1:6" x14ac:dyDescent="0.45">
      <c r="A2037" s="6">
        <v>11035</v>
      </c>
      <c r="B2037" s="3">
        <v>35</v>
      </c>
      <c r="C2037" s="3">
        <v>18</v>
      </c>
      <c r="D2037" s="3">
        <v>60</v>
      </c>
      <c r="E2037" s="4">
        <v>0</v>
      </c>
      <c r="F2037" s="5">
        <f t="shared" si="31"/>
        <v>1080</v>
      </c>
    </row>
    <row r="2038" spans="1:6" x14ac:dyDescent="0.45">
      <c r="A2038" s="6">
        <v>11035</v>
      </c>
      <c r="B2038" s="3">
        <v>42</v>
      </c>
      <c r="C2038" s="3">
        <v>14</v>
      </c>
      <c r="D2038" s="3">
        <v>30</v>
      </c>
      <c r="E2038" s="4">
        <v>0</v>
      </c>
      <c r="F2038" s="5">
        <f t="shared" si="31"/>
        <v>420</v>
      </c>
    </row>
    <row r="2039" spans="1:6" x14ac:dyDescent="0.45">
      <c r="A2039" s="6">
        <v>11035</v>
      </c>
      <c r="B2039" s="3">
        <v>54</v>
      </c>
      <c r="C2039" s="3">
        <v>7.45</v>
      </c>
      <c r="D2039" s="3">
        <v>10</v>
      </c>
      <c r="E2039" s="4">
        <v>0</v>
      </c>
      <c r="F2039" s="5">
        <f t="shared" si="31"/>
        <v>74.5</v>
      </c>
    </row>
    <row r="2040" spans="1:6" x14ac:dyDescent="0.45">
      <c r="A2040" s="6">
        <v>11036</v>
      </c>
      <c r="B2040" s="3">
        <v>13</v>
      </c>
      <c r="C2040" s="3">
        <v>6</v>
      </c>
      <c r="D2040" s="3">
        <v>7</v>
      </c>
      <c r="E2040" s="4">
        <v>0</v>
      </c>
      <c r="F2040" s="5">
        <f t="shared" si="31"/>
        <v>42</v>
      </c>
    </row>
    <row r="2041" spans="1:6" x14ac:dyDescent="0.45">
      <c r="A2041" s="6">
        <v>11036</v>
      </c>
      <c r="B2041" s="3">
        <v>59</v>
      </c>
      <c r="C2041" s="3">
        <v>55</v>
      </c>
      <c r="D2041" s="3">
        <v>30</v>
      </c>
      <c r="E2041" s="4">
        <v>0</v>
      </c>
      <c r="F2041" s="5">
        <f t="shared" si="31"/>
        <v>1650</v>
      </c>
    </row>
    <row r="2042" spans="1:6" x14ac:dyDescent="0.45">
      <c r="A2042" s="6">
        <v>11037</v>
      </c>
      <c r="B2042" s="3">
        <v>70</v>
      </c>
      <c r="C2042" s="3">
        <v>15</v>
      </c>
      <c r="D2042" s="3">
        <v>4</v>
      </c>
      <c r="E2042" s="4">
        <v>0</v>
      </c>
      <c r="F2042" s="5">
        <f t="shared" si="31"/>
        <v>60</v>
      </c>
    </row>
    <row r="2043" spans="1:6" x14ac:dyDescent="0.45">
      <c r="A2043" s="6">
        <v>11038</v>
      </c>
      <c r="B2043" s="3">
        <v>40</v>
      </c>
      <c r="C2043" s="3">
        <v>18.399999999999999</v>
      </c>
      <c r="D2043" s="3">
        <v>5</v>
      </c>
      <c r="E2043" s="4">
        <v>0.2</v>
      </c>
      <c r="F2043" s="5">
        <f t="shared" si="31"/>
        <v>73.600000000000009</v>
      </c>
    </row>
    <row r="2044" spans="1:6" x14ac:dyDescent="0.45">
      <c r="A2044" s="6">
        <v>11038</v>
      </c>
      <c r="B2044" s="3">
        <v>52</v>
      </c>
      <c r="C2044" s="3">
        <v>7</v>
      </c>
      <c r="D2044" s="3">
        <v>2</v>
      </c>
      <c r="E2044" s="4">
        <v>0</v>
      </c>
      <c r="F2044" s="5">
        <f t="shared" si="31"/>
        <v>14</v>
      </c>
    </row>
    <row r="2045" spans="1:6" x14ac:dyDescent="0.45">
      <c r="A2045" s="6">
        <v>11038</v>
      </c>
      <c r="B2045" s="3">
        <v>71</v>
      </c>
      <c r="C2045" s="3">
        <v>21.5</v>
      </c>
      <c r="D2045" s="3">
        <v>30</v>
      </c>
      <c r="E2045" s="4">
        <v>0</v>
      </c>
      <c r="F2045" s="5">
        <f t="shared" si="31"/>
        <v>645</v>
      </c>
    </row>
    <row r="2046" spans="1:6" x14ac:dyDescent="0.45">
      <c r="A2046" s="6">
        <v>11039</v>
      </c>
      <c r="B2046" s="3">
        <v>28</v>
      </c>
      <c r="C2046" s="3">
        <v>45.6</v>
      </c>
      <c r="D2046" s="3">
        <v>20</v>
      </c>
      <c r="E2046" s="4">
        <v>0</v>
      </c>
      <c r="F2046" s="5">
        <f t="shared" si="31"/>
        <v>912</v>
      </c>
    </row>
    <row r="2047" spans="1:6" x14ac:dyDescent="0.45">
      <c r="A2047" s="6">
        <v>11039</v>
      </c>
      <c r="B2047" s="3">
        <v>35</v>
      </c>
      <c r="C2047" s="3">
        <v>18</v>
      </c>
      <c r="D2047" s="3">
        <v>24</v>
      </c>
      <c r="E2047" s="4">
        <v>0</v>
      </c>
      <c r="F2047" s="5">
        <f t="shared" si="31"/>
        <v>432</v>
      </c>
    </row>
    <row r="2048" spans="1:6" x14ac:dyDescent="0.45">
      <c r="A2048" s="6">
        <v>11039</v>
      </c>
      <c r="B2048" s="3">
        <v>49</v>
      </c>
      <c r="C2048" s="3">
        <v>20</v>
      </c>
      <c r="D2048" s="3">
        <v>60</v>
      </c>
      <c r="E2048" s="4">
        <v>0</v>
      </c>
      <c r="F2048" s="5">
        <f t="shared" si="31"/>
        <v>1200</v>
      </c>
    </row>
    <row r="2049" spans="1:6" x14ac:dyDescent="0.45">
      <c r="A2049" s="6">
        <v>11039</v>
      </c>
      <c r="B2049" s="3">
        <v>57</v>
      </c>
      <c r="C2049" s="3">
        <v>19.5</v>
      </c>
      <c r="D2049" s="3">
        <v>28</v>
      </c>
      <c r="E2049" s="4">
        <v>0</v>
      </c>
      <c r="F2049" s="5">
        <f t="shared" si="31"/>
        <v>546</v>
      </c>
    </row>
    <row r="2050" spans="1:6" x14ac:dyDescent="0.45">
      <c r="A2050" s="6">
        <v>11040</v>
      </c>
      <c r="B2050" s="3">
        <v>21</v>
      </c>
      <c r="C2050" s="3">
        <v>10</v>
      </c>
      <c r="D2050" s="3">
        <v>20</v>
      </c>
      <c r="E2050" s="4">
        <v>0</v>
      </c>
      <c r="F2050" s="5">
        <f t="shared" ref="F2050:F2113" si="32">C2050*D2050*(1-E2050)</f>
        <v>200</v>
      </c>
    </row>
    <row r="2051" spans="1:6" x14ac:dyDescent="0.45">
      <c r="A2051" s="6">
        <v>11041</v>
      </c>
      <c r="B2051" s="3">
        <v>2</v>
      </c>
      <c r="C2051" s="3">
        <v>19</v>
      </c>
      <c r="D2051" s="3">
        <v>30</v>
      </c>
      <c r="E2051" s="4">
        <v>0.2</v>
      </c>
      <c r="F2051" s="5">
        <f t="shared" si="32"/>
        <v>456</v>
      </c>
    </row>
    <row r="2052" spans="1:6" x14ac:dyDescent="0.45">
      <c r="A2052" s="6">
        <v>11041</v>
      </c>
      <c r="B2052" s="3">
        <v>63</v>
      </c>
      <c r="C2052" s="3">
        <v>43.9</v>
      </c>
      <c r="D2052" s="3">
        <v>30</v>
      </c>
      <c r="E2052" s="4">
        <v>0</v>
      </c>
      <c r="F2052" s="5">
        <f t="shared" si="32"/>
        <v>1317</v>
      </c>
    </row>
    <row r="2053" spans="1:6" x14ac:dyDescent="0.45">
      <c r="A2053" s="6">
        <v>11042</v>
      </c>
      <c r="B2053" s="3">
        <v>44</v>
      </c>
      <c r="C2053" s="3">
        <v>19.45</v>
      </c>
      <c r="D2053" s="3">
        <v>15</v>
      </c>
      <c r="E2053" s="4">
        <v>0</v>
      </c>
      <c r="F2053" s="5">
        <f t="shared" si="32"/>
        <v>291.75</v>
      </c>
    </row>
    <row r="2054" spans="1:6" x14ac:dyDescent="0.45">
      <c r="A2054" s="6">
        <v>11042</v>
      </c>
      <c r="B2054" s="3">
        <v>61</v>
      </c>
      <c r="C2054" s="3">
        <v>28.5</v>
      </c>
      <c r="D2054" s="3">
        <v>4</v>
      </c>
      <c r="E2054" s="4">
        <v>0</v>
      </c>
      <c r="F2054" s="5">
        <f t="shared" si="32"/>
        <v>114</v>
      </c>
    </row>
    <row r="2055" spans="1:6" x14ac:dyDescent="0.45">
      <c r="A2055" s="6">
        <v>11043</v>
      </c>
      <c r="B2055" s="3">
        <v>11</v>
      </c>
      <c r="C2055" s="3">
        <v>21</v>
      </c>
      <c r="D2055" s="3">
        <v>10</v>
      </c>
      <c r="E2055" s="4">
        <v>0</v>
      </c>
      <c r="F2055" s="5">
        <f t="shared" si="32"/>
        <v>210</v>
      </c>
    </row>
    <row r="2056" spans="1:6" x14ac:dyDescent="0.45">
      <c r="A2056" s="6">
        <v>11044</v>
      </c>
      <c r="B2056" s="3">
        <v>62</v>
      </c>
      <c r="C2056" s="3">
        <v>49.3</v>
      </c>
      <c r="D2056" s="3">
        <v>12</v>
      </c>
      <c r="E2056" s="4">
        <v>0</v>
      </c>
      <c r="F2056" s="5">
        <f t="shared" si="32"/>
        <v>591.59999999999991</v>
      </c>
    </row>
    <row r="2057" spans="1:6" x14ac:dyDescent="0.45">
      <c r="A2057" s="6">
        <v>11045</v>
      </c>
      <c r="B2057" s="3">
        <v>33</v>
      </c>
      <c r="C2057" s="3">
        <v>2.5</v>
      </c>
      <c r="D2057" s="3">
        <v>15</v>
      </c>
      <c r="E2057" s="4">
        <v>0</v>
      </c>
      <c r="F2057" s="5">
        <f t="shared" si="32"/>
        <v>37.5</v>
      </c>
    </row>
    <row r="2058" spans="1:6" x14ac:dyDescent="0.45">
      <c r="A2058" s="6">
        <v>11045</v>
      </c>
      <c r="B2058" s="3">
        <v>51</v>
      </c>
      <c r="C2058" s="3">
        <v>53</v>
      </c>
      <c r="D2058" s="3">
        <v>24</v>
      </c>
      <c r="E2058" s="4">
        <v>0</v>
      </c>
      <c r="F2058" s="5">
        <f t="shared" si="32"/>
        <v>1272</v>
      </c>
    </row>
    <row r="2059" spans="1:6" x14ac:dyDescent="0.45">
      <c r="A2059" s="6">
        <v>11046</v>
      </c>
      <c r="B2059" s="3">
        <v>12</v>
      </c>
      <c r="C2059" s="3">
        <v>38</v>
      </c>
      <c r="D2059" s="3">
        <v>20</v>
      </c>
      <c r="E2059" s="4">
        <v>0.05</v>
      </c>
      <c r="F2059" s="5">
        <f t="shared" si="32"/>
        <v>722</v>
      </c>
    </row>
    <row r="2060" spans="1:6" x14ac:dyDescent="0.45">
      <c r="A2060" s="6">
        <v>11046</v>
      </c>
      <c r="B2060" s="3">
        <v>32</v>
      </c>
      <c r="C2060" s="3">
        <v>32</v>
      </c>
      <c r="D2060" s="3">
        <v>15</v>
      </c>
      <c r="E2060" s="4">
        <v>0.05</v>
      </c>
      <c r="F2060" s="5">
        <f t="shared" si="32"/>
        <v>456</v>
      </c>
    </row>
    <row r="2061" spans="1:6" x14ac:dyDescent="0.45">
      <c r="A2061" s="6">
        <v>11046</v>
      </c>
      <c r="B2061" s="3">
        <v>35</v>
      </c>
      <c r="C2061" s="3">
        <v>18</v>
      </c>
      <c r="D2061" s="3">
        <v>18</v>
      </c>
      <c r="E2061" s="4">
        <v>0.05</v>
      </c>
      <c r="F2061" s="5">
        <f t="shared" si="32"/>
        <v>307.8</v>
      </c>
    </row>
    <row r="2062" spans="1:6" x14ac:dyDescent="0.45">
      <c r="A2062" s="6">
        <v>11047</v>
      </c>
      <c r="B2062" s="3">
        <v>1</v>
      </c>
      <c r="C2062" s="3">
        <v>18</v>
      </c>
      <c r="D2062" s="3">
        <v>25</v>
      </c>
      <c r="E2062" s="4">
        <v>0.25</v>
      </c>
      <c r="F2062" s="5">
        <f t="shared" si="32"/>
        <v>337.5</v>
      </c>
    </row>
    <row r="2063" spans="1:6" x14ac:dyDescent="0.45">
      <c r="A2063" s="6">
        <v>11047</v>
      </c>
      <c r="B2063" s="3">
        <v>5</v>
      </c>
      <c r="C2063" s="3">
        <v>21.35</v>
      </c>
      <c r="D2063" s="3">
        <v>30</v>
      </c>
      <c r="E2063" s="4">
        <v>0.25</v>
      </c>
      <c r="F2063" s="5">
        <f t="shared" si="32"/>
        <v>480.375</v>
      </c>
    </row>
    <row r="2064" spans="1:6" x14ac:dyDescent="0.45">
      <c r="A2064" s="6">
        <v>11048</v>
      </c>
      <c r="B2064" s="3">
        <v>68</v>
      </c>
      <c r="C2064" s="3">
        <v>12.5</v>
      </c>
      <c r="D2064" s="3">
        <v>42</v>
      </c>
      <c r="E2064" s="4">
        <v>0</v>
      </c>
      <c r="F2064" s="5">
        <f t="shared" si="32"/>
        <v>525</v>
      </c>
    </row>
    <row r="2065" spans="1:6" x14ac:dyDescent="0.45">
      <c r="A2065" s="6">
        <v>11049</v>
      </c>
      <c r="B2065" s="3">
        <v>2</v>
      </c>
      <c r="C2065" s="3">
        <v>19</v>
      </c>
      <c r="D2065" s="3">
        <v>10</v>
      </c>
      <c r="E2065" s="4">
        <v>0.2</v>
      </c>
      <c r="F2065" s="5">
        <f t="shared" si="32"/>
        <v>152</v>
      </c>
    </row>
    <row r="2066" spans="1:6" x14ac:dyDescent="0.45">
      <c r="A2066" s="6">
        <v>11049</v>
      </c>
      <c r="B2066" s="3">
        <v>12</v>
      </c>
      <c r="C2066" s="3">
        <v>38</v>
      </c>
      <c r="D2066" s="3">
        <v>4</v>
      </c>
      <c r="E2066" s="4">
        <v>0.2</v>
      </c>
      <c r="F2066" s="5">
        <f t="shared" si="32"/>
        <v>121.60000000000001</v>
      </c>
    </row>
    <row r="2067" spans="1:6" x14ac:dyDescent="0.45">
      <c r="A2067" s="6">
        <v>11050</v>
      </c>
      <c r="B2067" s="3">
        <v>76</v>
      </c>
      <c r="C2067" s="3">
        <v>18</v>
      </c>
      <c r="D2067" s="3">
        <v>50</v>
      </c>
      <c r="E2067" s="4">
        <v>0.1</v>
      </c>
      <c r="F2067" s="5">
        <f t="shared" si="32"/>
        <v>810</v>
      </c>
    </row>
    <row r="2068" spans="1:6" x14ac:dyDescent="0.45">
      <c r="A2068" s="6">
        <v>11051</v>
      </c>
      <c r="B2068" s="3">
        <v>24</v>
      </c>
      <c r="C2068" s="3">
        <v>4.5</v>
      </c>
      <c r="D2068" s="3">
        <v>10</v>
      </c>
      <c r="E2068" s="4">
        <v>0.2</v>
      </c>
      <c r="F2068" s="5">
        <f t="shared" si="32"/>
        <v>36</v>
      </c>
    </row>
    <row r="2069" spans="1:6" x14ac:dyDescent="0.45">
      <c r="A2069" s="6">
        <v>11052</v>
      </c>
      <c r="B2069" s="3">
        <v>43</v>
      </c>
      <c r="C2069" s="3">
        <v>46</v>
      </c>
      <c r="D2069" s="3">
        <v>30</v>
      </c>
      <c r="E2069" s="4">
        <v>0.2</v>
      </c>
      <c r="F2069" s="5">
        <f t="shared" si="32"/>
        <v>1104</v>
      </c>
    </row>
    <row r="2070" spans="1:6" x14ac:dyDescent="0.45">
      <c r="A2070" s="6">
        <v>11052</v>
      </c>
      <c r="B2070" s="3">
        <v>61</v>
      </c>
      <c r="C2070" s="3">
        <v>28.5</v>
      </c>
      <c r="D2070" s="3">
        <v>10</v>
      </c>
      <c r="E2070" s="4">
        <v>0.2</v>
      </c>
      <c r="F2070" s="5">
        <f t="shared" si="32"/>
        <v>228</v>
      </c>
    </row>
    <row r="2071" spans="1:6" x14ac:dyDescent="0.45">
      <c r="A2071" s="6">
        <v>11053</v>
      </c>
      <c r="B2071" s="3">
        <v>18</v>
      </c>
      <c r="C2071" s="3">
        <v>62.5</v>
      </c>
      <c r="D2071" s="3">
        <v>35</v>
      </c>
      <c r="E2071" s="4">
        <v>0.2</v>
      </c>
      <c r="F2071" s="5">
        <f t="shared" si="32"/>
        <v>1750</v>
      </c>
    </row>
    <row r="2072" spans="1:6" x14ac:dyDescent="0.45">
      <c r="A2072" s="6">
        <v>11053</v>
      </c>
      <c r="B2072" s="3">
        <v>32</v>
      </c>
      <c r="C2072" s="3">
        <v>32</v>
      </c>
      <c r="D2072" s="3">
        <v>20</v>
      </c>
      <c r="E2072" s="4">
        <v>0</v>
      </c>
      <c r="F2072" s="5">
        <f t="shared" si="32"/>
        <v>640</v>
      </c>
    </row>
    <row r="2073" spans="1:6" x14ac:dyDescent="0.45">
      <c r="A2073" s="6">
        <v>11053</v>
      </c>
      <c r="B2073" s="3">
        <v>64</v>
      </c>
      <c r="C2073" s="3">
        <v>33.25</v>
      </c>
      <c r="D2073" s="3">
        <v>25</v>
      </c>
      <c r="E2073" s="4">
        <v>0.2</v>
      </c>
      <c r="F2073" s="5">
        <f t="shared" si="32"/>
        <v>665</v>
      </c>
    </row>
    <row r="2074" spans="1:6" x14ac:dyDescent="0.45">
      <c r="A2074" s="6">
        <v>11054</v>
      </c>
      <c r="B2074" s="3">
        <v>33</v>
      </c>
      <c r="C2074" s="3">
        <v>2.5</v>
      </c>
      <c r="D2074" s="3">
        <v>10</v>
      </c>
      <c r="E2074" s="4">
        <v>0</v>
      </c>
      <c r="F2074" s="5">
        <f t="shared" si="32"/>
        <v>25</v>
      </c>
    </row>
    <row r="2075" spans="1:6" x14ac:dyDescent="0.45">
      <c r="A2075" s="6">
        <v>11054</v>
      </c>
      <c r="B2075" s="3">
        <v>67</v>
      </c>
      <c r="C2075" s="3">
        <v>14</v>
      </c>
      <c r="D2075" s="3">
        <v>20</v>
      </c>
      <c r="E2075" s="4">
        <v>0</v>
      </c>
      <c r="F2075" s="5">
        <f t="shared" si="32"/>
        <v>280</v>
      </c>
    </row>
    <row r="2076" spans="1:6" x14ac:dyDescent="0.45">
      <c r="A2076" s="6">
        <v>11055</v>
      </c>
      <c r="B2076" s="3">
        <v>24</v>
      </c>
      <c r="C2076" s="3">
        <v>4.5</v>
      </c>
      <c r="D2076" s="3">
        <v>15</v>
      </c>
      <c r="E2076" s="4">
        <v>0</v>
      </c>
      <c r="F2076" s="5">
        <f t="shared" si="32"/>
        <v>67.5</v>
      </c>
    </row>
    <row r="2077" spans="1:6" x14ac:dyDescent="0.45">
      <c r="A2077" s="6">
        <v>11055</v>
      </c>
      <c r="B2077" s="3">
        <v>25</v>
      </c>
      <c r="C2077" s="3">
        <v>14</v>
      </c>
      <c r="D2077" s="3">
        <v>15</v>
      </c>
      <c r="E2077" s="4">
        <v>0</v>
      </c>
      <c r="F2077" s="5">
        <f t="shared" si="32"/>
        <v>210</v>
      </c>
    </row>
    <row r="2078" spans="1:6" x14ac:dyDescent="0.45">
      <c r="A2078" s="6">
        <v>11055</v>
      </c>
      <c r="B2078" s="3">
        <v>51</v>
      </c>
      <c r="C2078" s="3">
        <v>53</v>
      </c>
      <c r="D2078" s="3">
        <v>20</v>
      </c>
      <c r="E2078" s="4">
        <v>0</v>
      </c>
      <c r="F2078" s="5">
        <f t="shared" si="32"/>
        <v>1060</v>
      </c>
    </row>
    <row r="2079" spans="1:6" x14ac:dyDescent="0.45">
      <c r="A2079" s="6">
        <v>11055</v>
      </c>
      <c r="B2079" s="3">
        <v>57</v>
      </c>
      <c r="C2079" s="3">
        <v>19.5</v>
      </c>
      <c r="D2079" s="3">
        <v>20</v>
      </c>
      <c r="E2079" s="4">
        <v>0</v>
      </c>
      <c r="F2079" s="5">
        <f t="shared" si="32"/>
        <v>390</v>
      </c>
    </row>
    <row r="2080" spans="1:6" x14ac:dyDescent="0.45">
      <c r="A2080" s="6">
        <v>11056</v>
      </c>
      <c r="B2080" s="3">
        <v>7</v>
      </c>
      <c r="C2080" s="3">
        <v>30</v>
      </c>
      <c r="D2080" s="3">
        <v>40</v>
      </c>
      <c r="E2080" s="4">
        <v>0</v>
      </c>
      <c r="F2080" s="5">
        <f t="shared" si="32"/>
        <v>1200</v>
      </c>
    </row>
    <row r="2081" spans="1:6" x14ac:dyDescent="0.45">
      <c r="A2081" s="6">
        <v>11056</v>
      </c>
      <c r="B2081" s="3">
        <v>55</v>
      </c>
      <c r="C2081" s="3">
        <v>24</v>
      </c>
      <c r="D2081" s="3">
        <v>35</v>
      </c>
      <c r="E2081" s="4">
        <v>0</v>
      </c>
      <c r="F2081" s="5">
        <f t="shared" si="32"/>
        <v>840</v>
      </c>
    </row>
    <row r="2082" spans="1:6" x14ac:dyDescent="0.45">
      <c r="A2082" s="6">
        <v>11056</v>
      </c>
      <c r="B2082" s="3">
        <v>60</v>
      </c>
      <c r="C2082" s="3">
        <v>34</v>
      </c>
      <c r="D2082" s="3">
        <v>50</v>
      </c>
      <c r="E2082" s="4">
        <v>0</v>
      </c>
      <c r="F2082" s="5">
        <f t="shared" si="32"/>
        <v>1700</v>
      </c>
    </row>
    <row r="2083" spans="1:6" x14ac:dyDescent="0.45">
      <c r="A2083" s="6">
        <v>11057</v>
      </c>
      <c r="B2083" s="3">
        <v>70</v>
      </c>
      <c r="C2083" s="3">
        <v>15</v>
      </c>
      <c r="D2083" s="3">
        <v>3</v>
      </c>
      <c r="E2083" s="4">
        <v>0</v>
      </c>
      <c r="F2083" s="5">
        <f t="shared" si="32"/>
        <v>45</v>
      </c>
    </row>
    <row r="2084" spans="1:6" x14ac:dyDescent="0.45">
      <c r="A2084" s="6">
        <v>11058</v>
      </c>
      <c r="B2084" s="3">
        <v>21</v>
      </c>
      <c r="C2084" s="3">
        <v>10</v>
      </c>
      <c r="D2084" s="3">
        <v>3</v>
      </c>
      <c r="E2084" s="4">
        <v>0</v>
      </c>
      <c r="F2084" s="5">
        <f t="shared" si="32"/>
        <v>30</v>
      </c>
    </row>
    <row r="2085" spans="1:6" x14ac:dyDescent="0.45">
      <c r="A2085" s="6">
        <v>11058</v>
      </c>
      <c r="B2085" s="3">
        <v>60</v>
      </c>
      <c r="C2085" s="3">
        <v>34</v>
      </c>
      <c r="D2085" s="3">
        <v>21</v>
      </c>
      <c r="E2085" s="4">
        <v>0</v>
      </c>
      <c r="F2085" s="5">
        <f t="shared" si="32"/>
        <v>714</v>
      </c>
    </row>
    <row r="2086" spans="1:6" x14ac:dyDescent="0.45">
      <c r="A2086" s="6">
        <v>11058</v>
      </c>
      <c r="B2086" s="3">
        <v>61</v>
      </c>
      <c r="C2086" s="3">
        <v>28.5</v>
      </c>
      <c r="D2086" s="3">
        <v>4</v>
      </c>
      <c r="E2086" s="4">
        <v>0</v>
      </c>
      <c r="F2086" s="5">
        <f t="shared" si="32"/>
        <v>114</v>
      </c>
    </row>
    <row r="2087" spans="1:6" x14ac:dyDescent="0.45">
      <c r="A2087" s="6">
        <v>11059</v>
      </c>
      <c r="B2087" s="3">
        <v>13</v>
      </c>
      <c r="C2087" s="3">
        <v>6</v>
      </c>
      <c r="D2087" s="3">
        <v>30</v>
      </c>
      <c r="E2087" s="4">
        <v>0</v>
      </c>
      <c r="F2087" s="5">
        <f t="shared" si="32"/>
        <v>180</v>
      </c>
    </row>
    <row r="2088" spans="1:6" x14ac:dyDescent="0.45">
      <c r="A2088" s="6">
        <v>11059</v>
      </c>
      <c r="B2088" s="3">
        <v>17</v>
      </c>
      <c r="C2088" s="3">
        <v>39</v>
      </c>
      <c r="D2088" s="3">
        <v>12</v>
      </c>
      <c r="E2088" s="4">
        <v>0</v>
      </c>
      <c r="F2088" s="5">
        <f t="shared" si="32"/>
        <v>468</v>
      </c>
    </row>
    <row r="2089" spans="1:6" x14ac:dyDescent="0.45">
      <c r="A2089" s="6">
        <v>11059</v>
      </c>
      <c r="B2089" s="3">
        <v>60</v>
      </c>
      <c r="C2089" s="3">
        <v>34</v>
      </c>
      <c r="D2089" s="3">
        <v>35</v>
      </c>
      <c r="E2089" s="4">
        <v>0</v>
      </c>
      <c r="F2089" s="5">
        <f t="shared" si="32"/>
        <v>1190</v>
      </c>
    </row>
    <row r="2090" spans="1:6" x14ac:dyDescent="0.45">
      <c r="A2090" s="6">
        <v>11060</v>
      </c>
      <c r="B2090" s="3">
        <v>60</v>
      </c>
      <c r="C2090" s="3">
        <v>34</v>
      </c>
      <c r="D2090" s="3">
        <v>4</v>
      </c>
      <c r="E2090" s="4">
        <v>0</v>
      </c>
      <c r="F2090" s="5">
        <f t="shared" si="32"/>
        <v>136</v>
      </c>
    </row>
    <row r="2091" spans="1:6" x14ac:dyDescent="0.45">
      <c r="A2091" s="6">
        <v>11060</v>
      </c>
      <c r="B2091" s="3">
        <v>77</v>
      </c>
      <c r="C2091" s="3">
        <v>13</v>
      </c>
      <c r="D2091" s="3">
        <v>10</v>
      </c>
      <c r="E2091" s="4">
        <v>0</v>
      </c>
      <c r="F2091" s="5">
        <f t="shared" si="32"/>
        <v>130</v>
      </c>
    </row>
    <row r="2092" spans="1:6" x14ac:dyDescent="0.45">
      <c r="A2092" s="6">
        <v>11061</v>
      </c>
      <c r="B2092" s="3">
        <v>60</v>
      </c>
      <c r="C2092" s="3">
        <v>34</v>
      </c>
      <c r="D2092" s="3">
        <v>15</v>
      </c>
      <c r="E2092" s="4">
        <v>0</v>
      </c>
      <c r="F2092" s="5">
        <f t="shared" si="32"/>
        <v>510</v>
      </c>
    </row>
    <row r="2093" spans="1:6" x14ac:dyDescent="0.45">
      <c r="A2093" s="6">
        <v>11062</v>
      </c>
      <c r="B2093" s="3">
        <v>53</v>
      </c>
      <c r="C2093" s="3">
        <v>32.799999999999997</v>
      </c>
      <c r="D2093" s="3">
        <v>10</v>
      </c>
      <c r="E2093" s="4">
        <v>0.2</v>
      </c>
      <c r="F2093" s="5">
        <f t="shared" si="32"/>
        <v>262.40000000000003</v>
      </c>
    </row>
    <row r="2094" spans="1:6" x14ac:dyDescent="0.45">
      <c r="A2094" s="6">
        <v>11062</v>
      </c>
      <c r="B2094" s="3">
        <v>70</v>
      </c>
      <c r="C2094" s="3">
        <v>15</v>
      </c>
      <c r="D2094" s="3">
        <v>12</v>
      </c>
      <c r="E2094" s="4">
        <v>0.2</v>
      </c>
      <c r="F2094" s="5">
        <f t="shared" si="32"/>
        <v>144</v>
      </c>
    </row>
    <row r="2095" spans="1:6" x14ac:dyDescent="0.45">
      <c r="A2095" s="6">
        <v>11063</v>
      </c>
      <c r="B2095" s="3">
        <v>34</v>
      </c>
      <c r="C2095" s="3">
        <v>14</v>
      </c>
      <c r="D2095" s="3">
        <v>30</v>
      </c>
      <c r="E2095" s="4">
        <v>0</v>
      </c>
      <c r="F2095" s="5">
        <f t="shared" si="32"/>
        <v>420</v>
      </c>
    </row>
    <row r="2096" spans="1:6" x14ac:dyDescent="0.45">
      <c r="A2096" s="6">
        <v>11063</v>
      </c>
      <c r="B2096" s="3">
        <v>40</v>
      </c>
      <c r="C2096" s="3">
        <v>18.399999999999999</v>
      </c>
      <c r="D2096" s="3">
        <v>40</v>
      </c>
      <c r="E2096" s="4">
        <v>0.1</v>
      </c>
      <c r="F2096" s="5">
        <f t="shared" si="32"/>
        <v>662.4</v>
      </c>
    </row>
    <row r="2097" spans="1:6" x14ac:dyDescent="0.45">
      <c r="A2097" s="6">
        <v>11063</v>
      </c>
      <c r="B2097" s="3">
        <v>41</v>
      </c>
      <c r="C2097" s="3">
        <v>9.65</v>
      </c>
      <c r="D2097" s="3">
        <v>30</v>
      </c>
      <c r="E2097" s="4">
        <v>0.1</v>
      </c>
      <c r="F2097" s="5">
        <f t="shared" si="32"/>
        <v>260.55</v>
      </c>
    </row>
    <row r="2098" spans="1:6" x14ac:dyDescent="0.45">
      <c r="A2098" s="6">
        <v>11064</v>
      </c>
      <c r="B2098" s="3">
        <v>17</v>
      </c>
      <c r="C2098" s="3">
        <v>39</v>
      </c>
      <c r="D2098" s="3">
        <v>77</v>
      </c>
      <c r="E2098" s="4">
        <v>0.1</v>
      </c>
      <c r="F2098" s="5">
        <f t="shared" si="32"/>
        <v>2702.7000000000003</v>
      </c>
    </row>
    <row r="2099" spans="1:6" x14ac:dyDescent="0.45">
      <c r="A2099" s="6">
        <v>11064</v>
      </c>
      <c r="B2099" s="3">
        <v>41</v>
      </c>
      <c r="C2099" s="3">
        <v>9.65</v>
      </c>
      <c r="D2099" s="3">
        <v>12</v>
      </c>
      <c r="E2099" s="4">
        <v>0</v>
      </c>
      <c r="F2099" s="5">
        <f t="shared" si="32"/>
        <v>115.80000000000001</v>
      </c>
    </row>
    <row r="2100" spans="1:6" x14ac:dyDescent="0.45">
      <c r="A2100" s="6">
        <v>11064</v>
      </c>
      <c r="B2100" s="3">
        <v>53</v>
      </c>
      <c r="C2100" s="3">
        <v>32.799999999999997</v>
      </c>
      <c r="D2100" s="3">
        <v>25</v>
      </c>
      <c r="E2100" s="4">
        <v>0.1</v>
      </c>
      <c r="F2100" s="5">
        <f t="shared" si="32"/>
        <v>737.99999999999989</v>
      </c>
    </row>
    <row r="2101" spans="1:6" x14ac:dyDescent="0.45">
      <c r="A2101" s="6">
        <v>11064</v>
      </c>
      <c r="B2101" s="3">
        <v>55</v>
      </c>
      <c r="C2101" s="3">
        <v>24</v>
      </c>
      <c r="D2101" s="3">
        <v>4</v>
      </c>
      <c r="E2101" s="4">
        <v>0.1</v>
      </c>
      <c r="F2101" s="5">
        <f t="shared" si="32"/>
        <v>86.4</v>
      </c>
    </row>
    <row r="2102" spans="1:6" x14ac:dyDescent="0.45">
      <c r="A2102" s="6">
        <v>11064</v>
      </c>
      <c r="B2102" s="3">
        <v>68</v>
      </c>
      <c r="C2102" s="3">
        <v>12.5</v>
      </c>
      <c r="D2102" s="3">
        <v>55</v>
      </c>
      <c r="E2102" s="4">
        <v>0</v>
      </c>
      <c r="F2102" s="5">
        <f t="shared" si="32"/>
        <v>687.5</v>
      </c>
    </row>
    <row r="2103" spans="1:6" x14ac:dyDescent="0.45">
      <c r="A2103" s="6">
        <v>11065</v>
      </c>
      <c r="B2103" s="3">
        <v>30</v>
      </c>
      <c r="C2103" s="3">
        <v>25.89</v>
      </c>
      <c r="D2103" s="3">
        <v>4</v>
      </c>
      <c r="E2103" s="4">
        <v>0.25</v>
      </c>
      <c r="F2103" s="5">
        <f t="shared" si="32"/>
        <v>77.67</v>
      </c>
    </row>
    <row r="2104" spans="1:6" x14ac:dyDescent="0.45">
      <c r="A2104" s="6">
        <v>11065</v>
      </c>
      <c r="B2104" s="3">
        <v>54</v>
      </c>
      <c r="C2104" s="3">
        <v>7.45</v>
      </c>
      <c r="D2104" s="3">
        <v>20</v>
      </c>
      <c r="E2104" s="4">
        <v>0.25</v>
      </c>
      <c r="F2104" s="5">
        <f t="shared" si="32"/>
        <v>111.75</v>
      </c>
    </row>
    <row r="2105" spans="1:6" x14ac:dyDescent="0.45">
      <c r="A2105" s="6">
        <v>11066</v>
      </c>
      <c r="B2105" s="3">
        <v>16</v>
      </c>
      <c r="C2105" s="3">
        <v>17.45</v>
      </c>
      <c r="D2105" s="3">
        <v>3</v>
      </c>
      <c r="E2105" s="4">
        <v>0</v>
      </c>
      <c r="F2105" s="5">
        <f t="shared" si="32"/>
        <v>52.349999999999994</v>
      </c>
    </row>
    <row r="2106" spans="1:6" x14ac:dyDescent="0.45">
      <c r="A2106" s="6">
        <v>11066</v>
      </c>
      <c r="B2106" s="3">
        <v>19</v>
      </c>
      <c r="C2106" s="3">
        <v>9.1999999999999993</v>
      </c>
      <c r="D2106" s="3">
        <v>42</v>
      </c>
      <c r="E2106" s="4">
        <v>0</v>
      </c>
      <c r="F2106" s="5">
        <f t="shared" si="32"/>
        <v>386.4</v>
      </c>
    </row>
    <row r="2107" spans="1:6" x14ac:dyDescent="0.45">
      <c r="A2107" s="6">
        <v>11066</v>
      </c>
      <c r="B2107" s="3">
        <v>34</v>
      </c>
      <c r="C2107" s="3">
        <v>14</v>
      </c>
      <c r="D2107" s="3">
        <v>35</v>
      </c>
      <c r="E2107" s="4">
        <v>0</v>
      </c>
      <c r="F2107" s="5">
        <f t="shared" si="32"/>
        <v>490</v>
      </c>
    </row>
    <row r="2108" spans="1:6" x14ac:dyDescent="0.45">
      <c r="A2108" s="6">
        <v>11067</v>
      </c>
      <c r="B2108" s="3">
        <v>41</v>
      </c>
      <c r="C2108" s="3">
        <v>9.65</v>
      </c>
      <c r="D2108" s="3">
        <v>9</v>
      </c>
      <c r="E2108" s="4">
        <v>0</v>
      </c>
      <c r="F2108" s="5">
        <f t="shared" si="32"/>
        <v>86.850000000000009</v>
      </c>
    </row>
    <row r="2109" spans="1:6" x14ac:dyDescent="0.45">
      <c r="A2109" s="6">
        <v>11068</v>
      </c>
      <c r="B2109" s="3">
        <v>28</v>
      </c>
      <c r="C2109" s="3">
        <v>45.6</v>
      </c>
      <c r="D2109" s="3">
        <v>8</v>
      </c>
      <c r="E2109" s="4">
        <v>0.15</v>
      </c>
      <c r="F2109" s="5">
        <f t="shared" si="32"/>
        <v>310.08</v>
      </c>
    </row>
    <row r="2110" spans="1:6" x14ac:dyDescent="0.45">
      <c r="A2110" s="6">
        <v>11068</v>
      </c>
      <c r="B2110" s="3">
        <v>43</v>
      </c>
      <c r="C2110" s="3">
        <v>46</v>
      </c>
      <c r="D2110" s="3">
        <v>36</v>
      </c>
      <c r="E2110" s="4">
        <v>0.15</v>
      </c>
      <c r="F2110" s="5">
        <f t="shared" si="32"/>
        <v>1407.6</v>
      </c>
    </row>
    <row r="2111" spans="1:6" x14ac:dyDescent="0.45">
      <c r="A2111" s="6">
        <v>11068</v>
      </c>
      <c r="B2111" s="3">
        <v>77</v>
      </c>
      <c r="C2111" s="3">
        <v>13</v>
      </c>
      <c r="D2111" s="3">
        <v>28</v>
      </c>
      <c r="E2111" s="4">
        <v>0.15</v>
      </c>
      <c r="F2111" s="5">
        <f t="shared" si="32"/>
        <v>309.39999999999998</v>
      </c>
    </row>
    <row r="2112" spans="1:6" x14ac:dyDescent="0.45">
      <c r="A2112" s="6">
        <v>11069</v>
      </c>
      <c r="B2112" s="3">
        <v>39</v>
      </c>
      <c r="C2112" s="3">
        <v>18</v>
      </c>
      <c r="D2112" s="3">
        <v>20</v>
      </c>
      <c r="E2112" s="4">
        <v>0</v>
      </c>
      <c r="F2112" s="5">
        <f t="shared" si="32"/>
        <v>360</v>
      </c>
    </row>
    <row r="2113" spans="1:6" x14ac:dyDescent="0.45">
      <c r="A2113" s="6">
        <v>11070</v>
      </c>
      <c r="B2113" s="3">
        <v>1</v>
      </c>
      <c r="C2113" s="3">
        <v>18</v>
      </c>
      <c r="D2113" s="3">
        <v>40</v>
      </c>
      <c r="E2113" s="4">
        <v>0.15</v>
      </c>
      <c r="F2113" s="5">
        <f t="shared" si="32"/>
        <v>612</v>
      </c>
    </row>
    <row r="2114" spans="1:6" x14ac:dyDescent="0.45">
      <c r="A2114" s="6">
        <v>11070</v>
      </c>
      <c r="B2114" s="3">
        <v>2</v>
      </c>
      <c r="C2114" s="3">
        <v>19</v>
      </c>
      <c r="D2114" s="3">
        <v>20</v>
      </c>
      <c r="E2114" s="4">
        <v>0.15</v>
      </c>
      <c r="F2114" s="5">
        <f t="shared" ref="F2114:F2156" si="33">C2114*D2114*(1-E2114)</f>
        <v>323</v>
      </c>
    </row>
    <row r="2115" spans="1:6" x14ac:dyDescent="0.45">
      <c r="A2115" s="6">
        <v>11070</v>
      </c>
      <c r="B2115" s="3">
        <v>16</v>
      </c>
      <c r="C2115" s="3">
        <v>17.45</v>
      </c>
      <c r="D2115" s="3">
        <v>30</v>
      </c>
      <c r="E2115" s="4">
        <v>0.15</v>
      </c>
      <c r="F2115" s="5">
        <f t="shared" si="33"/>
        <v>444.97499999999997</v>
      </c>
    </row>
    <row r="2116" spans="1:6" x14ac:dyDescent="0.45">
      <c r="A2116" s="6">
        <v>11070</v>
      </c>
      <c r="B2116" s="3">
        <v>31</v>
      </c>
      <c r="C2116" s="3">
        <v>12.5</v>
      </c>
      <c r="D2116" s="3">
        <v>20</v>
      </c>
      <c r="E2116" s="4">
        <v>0</v>
      </c>
      <c r="F2116" s="5">
        <f t="shared" si="33"/>
        <v>250</v>
      </c>
    </row>
    <row r="2117" spans="1:6" x14ac:dyDescent="0.45">
      <c r="A2117" s="6">
        <v>11071</v>
      </c>
      <c r="B2117" s="3">
        <v>7</v>
      </c>
      <c r="C2117" s="3">
        <v>30</v>
      </c>
      <c r="D2117" s="3">
        <v>15</v>
      </c>
      <c r="E2117" s="4">
        <v>0.05</v>
      </c>
      <c r="F2117" s="5">
        <f t="shared" si="33"/>
        <v>427.5</v>
      </c>
    </row>
    <row r="2118" spans="1:6" x14ac:dyDescent="0.45">
      <c r="A2118" s="6">
        <v>11071</v>
      </c>
      <c r="B2118" s="3">
        <v>13</v>
      </c>
      <c r="C2118" s="3">
        <v>6</v>
      </c>
      <c r="D2118" s="3">
        <v>10</v>
      </c>
      <c r="E2118" s="4">
        <v>0.05</v>
      </c>
      <c r="F2118" s="5">
        <f t="shared" si="33"/>
        <v>57</v>
      </c>
    </row>
    <row r="2119" spans="1:6" x14ac:dyDescent="0.45">
      <c r="A2119" s="6">
        <v>11072</v>
      </c>
      <c r="B2119" s="3">
        <v>2</v>
      </c>
      <c r="C2119" s="3">
        <v>19</v>
      </c>
      <c r="D2119" s="3">
        <v>8</v>
      </c>
      <c r="E2119" s="4">
        <v>0</v>
      </c>
      <c r="F2119" s="5">
        <f t="shared" si="33"/>
        <v>152</v>
      </c>
    </row>
    <row r="2120" spans="1:6" x14ac:dyDescent="0.45">
      <c r="A2120" s="6">
        <v>11072</v>
      </c>
      <c r="B2120" s="3">
        <v>41</v>
      </c>
      <c r="C2120" s="3">
        <v>9.65</v>
      </c>
      <c r="D2120" s="3">
        <v>40</v>
      </c>
      <c r="E2120" s="4">
        <v>0</v>
      </c>
      <c r="F2120" s="5">
        <f t="shared" si="33"/>
        <v>386</v>
      </c>
    </row>
    <row r="2121" spans="1:6" x14ac:dyDescent="0.45">
      <c r="A2121" s="6">
        <v>11072</v>
      </c>
      <c r="B2121" s="3">
        <v>50</v>
      </c>
      <c r="C2121" s="3">
        <v>16.25</v>
      </c>
      <c r="D2121" s="3">
        <v>22</v>
      </c>
      <c r="E2121" s="4">
        <v>0</v>
      </c>
      <c r="F2121" s="5">
        <f t="shared" si="33"/>
        <v>357.5</v>
      </c>
    </row>
    <row r="2122" spans="1:6" x14ac:dyDescent="0.45">
      <c r="A2122" s="6">
        <v>11072</v>
      </c>
      <c r="B2122" s="3">
        <v>64</v>
      </c>
      <c r="C2122" s="3">
        <v>33.25</v>
      </c>
      <c r="D2122" s="3">
        <v>130</v>
      </c>
      <c r="E2122" s="4">
        <v>0</v>
      </c>
      <c r="F2122" s="5">
        <f t="shared" si="33"/>
        <v>4322.5</v>
      </c>
    </row>
    <row r="2123" spans="1:6" x14ac:dyDescent="0.45">
      <c r="A2123" s="6">
        <v>11073</v>
      </c>
      <c r="B2123" s="3">
        <v>11</v>
      </c>
      <c r="C2123" s="3">
        <v>21</v>
      </c>
      <c r="D2123" s="3">
        <v>10</v>
      </c>
      <c r="E2123" s="4">
        <v>0</v>
      </c>
      <c r="F2123" s="5">
        <f t="shared" si="33"/>
        <v>210</v>
      </c>
    </row>
    <row r="2124" spans="1:6" x14ac:dyDescent="0.45">
      <c r="A2124" s="6">
        <v>11073</v>
      </c>
      <c r="B2124" s="3">
        <v>24</v>
      </c>
      <c r="C2124" s="3">
        <v>4.5</v>
      </c>
      <c r="D2124" s="3">
        <v>20</v>
      </c>
      <c r="E2124" s="4">
        <v>0</v>
      </c>
      <c r="F2124" s="5">
        <f t="shared" si="33"/>
        <v>90</v>
      </c>
    </row>
    <row r="2125" spans="1:6" x14ac:dyDescent="0.45">
      <c r="A2125" s="6">
        <v>11074</v>
      </c>
      <c r="B2125" s="3">
        <v>16</v>
      </c>
      <c r="C2125" s="3">
        <v>17.45</v>
      </c>
      <c r="D2125" s="3">
        <v>14</v>
      </c>
      <c r="E2125" s="4">
        <v>0.05</v>
      </c>
      <c r="F2125" s="5">
        <f t="shared" si="33"/>
        <v>232.08499999999998</v>
      </c>
    </row>
    <row r="2126" spans="1:6" x14ac:dyDescent="0.45">
      <c r="A2126" s="6">
        <v>11075</v>
      </c>
      <c r="B2126" s="3">
        <v>2</v>
      </c>
      <c r="C2126" s="3">
        <v>19</v>
      </c>
      <c r="D2126" s="3">
        <v>10</v>
      </c>
      <c r="E2126" s="4">
        <v>0.15</v>
      </c>
      <c r="F2126" s="5">
        <f t="shared" si="33"/>
        <v>161.5</v>
      </c>
    </row>
    <row r="2127" spans="1:6" x14ac:dyDescent="0.45">
      <c r="A2127" s="6">
        <v>11075</v>
      </c>
      <c r="B2127" s="3">
        <v>46</v>
      </c>
      <c r="C2127" s="3">
        <v>12</v>
      </c>
      <c r="D2127" s="3">
        <v>30</v>
      </c>
      <c r="E2127" s="4">
        <v>0.15</v>
      </c>
      <c r="F2127" s="5">
        <f t="shared" si="33"/>
        <v>306</v>
      </c>
    </row>
    <row r="2128" spans="1:6" x14ac:dyDescent="0.45">
      <c r="A2128" s="6">
        <v>11075</v>
      </c>
      <c r="B2128" s="3">
        <v>76</v>
      </c>
      <c r="C2128" s="3">
        <v>18</v>
      </c>
      <c r="D2128" s="3">
        <v>2</v>
      </c>
      <c r="E2128" s="4">
        <v>0.15</v>
      </c>
      <c r="F2128" s="5">
        <f t="shared" si="33"/>
        <v>30.599999999999998</v>
      </c>
    </row>
    <row r="2129" spans="1:6" x14ac:dyDescent="0.45">
      <c r="A2129" s="6">
        <v>11076</v>
      </c>
      <c r="B2129" s="3">
        <v>6</v>
      </c>
      <c r="C2129" s="3">
        <v>25</v>
      </c>
      <c r="D2129" s="3">
        <v>20</v>
      </c>
      <c r="E2129" s="4">
        <v>0.25</v>
      </c>
      <c r="F2129" s="5">
        <f t="shared" si="33"/>
        <v>375</v>
      </c>
    </row>
    <row r="2130" spans="1:6" x14ac:dyDescent="0.45">
      <c r="A2130" s="6">
        <v>11076</v>
      </c>
      <c r="B2130" s="3">
        <v>14</v>
      </c>
      <c r="C2130" s="3">
        <v>23.25</v>
      </c>
      <c r="D2130" s="3">
        <v>20</v>
      </c>
      <c r="E2130" s="4">
        <v>0.25</v>
      </c>
      <c r="F2130" s="5">
        <f t="shared" si="33"/>
        <v>348.75</v>
      </c>
    </row>
    <row r="2131" spans="1:6" x14ac:dyDescent="0.45">
      <c r="A2131" s="6">
        <v>11076</v>
      </c>
      <c r="B2131" s="3">
        <v>19</v>
      </c>
      <c r="C2131" s="3">
        <v>9.1999999999999993</v>
      </c>
      <c r="D2131" s="3">
        <v>10</v>
      </c>
      <c r="E2131" s="4">
        <v>0.25</v>
      </c>
      <c r="F2131" s="5">
        <f t="shared" si="33"/>
        <v>69</v>
      </c>
    </row>
    <row r="2132" spans="1:6" x14ac:dyDescent="0.45">
      <c r="A2132" s="6">
        <v>11077</v>
      </c>
      <c r="B2132" s="3">
        <v>2</v>
      </c>
      <c r="C2132" s="3">
        <v>19</v>
      </c>
      <c r="D2132" s="3">
        <v>24</v>
      </c>
      <c r="E2132" s="4">
        <v>0.2</v>
      </c>
      <c r="F2132" s="5">
        <f t="shared" si="33"/>
        <v>364.8</v>
      </c>
    </row>
    <row r="2133" spans="1:6" x14ac:dyDescent="0.45">
      <c r="A2133" s="6">
        <v>11077</v>
      </c>
      <c r="B2133" s="3">
        <v>3</v>
      </c>
      <c r="C2133" s="3">
        <v>10</v>
      </c>
      <c r="D2133" s="3">
        <v>4</v>
      </c>
      <c r="E2133" s="4">
        <v>0</v>
      </c>
      <c r="F2133" s="5">
        <f t="shared" si="33"/>
        <v>40</v>
      </c>
    </row>
    <row r="2134" spans="1:6" x14ac:dyDescent="0.45">
      <c r="A2134" s="6">
        <v>11077</v>
      </c>
      <c r="B2134" s="3">
        <v>4</v>
      </c>
      <c r="C2134" s="3">
        <v>22</v>
      </c>
      <c r="D2134" s="3">
        <v>1</v>
      </c>
      <c r="E2134" s="4">
        <v>0</v>
      </c>
      <c r="F2134" s="5">
        <f t="shared" si="33"/>
        <v>22</v>
      </c>
    </row>
    <row r="2135" spans="1:6" x14ac:dyDescent="0.45">
      <c r="A2135" s="6">
        <v>11077</v>
      </c>
      <c r="B2135" s="3">
        <v>6</v>
      </c>
      <c r="C2135" s="3">
        <v>25</v>
      </c>
      <c r="D2135" s="3">
        <v>1</v>
      </c>
      <c r="E2135" s="4">
        <v>0.02</v>
      </c>
      <c r="F2135" s="5">
        <f t="shared" si="33"/>
        <v>24.5</v>
      </c>
    </row>
    <row r="2136" spans="1:6" x14ac:dyDescent="0.45">
      <c r="A2136" s="6">
        <v>11077</v>
      </c>
      <c r="B2136" s="3">
        <v>7</v>
      </c>
      <c r="C2136" s="3">
        <v>30</v>
      </c>
      <c r="D2136" s="3">
        <v>1</v>
      </c>
      <c r="E2136" s="4">
        <v>0.05</v>
      </c>
      <c r="F2136" s="5">
        <f t="shared" si="33"/>
        <v>28.5</v>
      </c>
    </row>
    <row r="2137" spans="1:6" x14ac:dyDescent="0.45">
      <c r="A2137" s="6">
        <v>11077</v>
      </c>
      <c r="B2137" s="3">
        <v>8</v>
      </c>
      <c r="C2137" s="3">
        <v>40</v>
      </c>
      <c r="D2137" s="3">
        <v>2</v>
      </c>
      <c r="E2137" s="4">
        <v>0.1</v>
      </c>
      <c r="F2137" s="5">
        <f t="shared" si="33"/>
        <v>72</v>
      </c>
    </row>
    <row r="2138" spans="1:6" x14ac:dyDescent="0.45">
      <c r="A2138" s="6">
        <v>11077</v>
      </c>
      <c r="B2138" s="3">
        <v>10</v>
      </c>
      <c r="C2138" s="3">
        <v>31</v>
      </c>
      <c r="D2138" s="3">
        <v>1</v>
      </c>
      <c r="E2138" s="4">
        <v>0</v>
      </c>
      <c r="F2138" s="5">
        <f t="shared" si="33"/>
        <v>31</v>
      </c>
    </row>
    <row r="2139" spans="1:6" x14ac:dyDescent="0.45">
      <c r="A2139" s="6">
        <v>11077</v>
      </c>
      <c r="B2139" s="3">
        <v>12</v>
      </c>
      <c r="C2139" s="3">
        <v>38</v>
      </c>
      <c r="D2139" s="3">
        <v>2</v>
      </c>
      <c r="E2139" s="4">
        <v>0.05</v>
      </c>
      <c r="F2139" s="5">
        <f t="shared" si="33"/>
        <v>72.2</v>
      </c>
    </row>
    <row r="2140" spans="1:6" x14ac:dyDescent="0.45">
      <c r="A2140" s="6">
        <v>11077</v>
      </c>
      <c r="B2140" s="3">
        <v>13</v>
      </c>
      <c r="C2140" s="3">
        <v>6</v>
      </c>
      <c r="D2140" s="3">
        <v>4</v>
      </c>
      <c r="E2140" s="4">
        <v>0</v>
      </c>
      <c r="F2140" s="5">
        <f t="shared" si="33"/>
        <v>24</v>
      </c>
    </row>
    <row r="2141" spans="1:6" x14ac:dyDescent="0.45">
      <c r="A2141" s="6">
        <v>11077</v>
      </c>
      <c r="B2141" s="3">
        <v>14</v>
      </c>
      <c r="C2141" s="3">
        <v>23.25</v>
      </c>
      <c r="D2141" s="3">
        <v>1</v>
      </c>
      <c r="E2141" s="4">
        <v>0.03</v>
      </c>
      <c r="F2141" s="5">
        <f t="shared" si="33"/>
        <v>22.552499999999998</v>
      </c>
    </row>
    <row r="2142" spans="1:6" x14ac:dyDescent="0.45">
      <c r="A2142" s="6">
        <v>11077</v>
      </c>
      <c r="B2142" s="3">
        <v>16</v>
      </c>
      <c r="C2142" s="3">
        <v>17.45</v>
      </c>
      <c r="D2142" s="3">
        <v>2</v>
      </c>
      <c r="E2142" s="4">
        <v>0.03</v>
      </c>
      <c r="F2142" s="5">
        <f t="shared" si="33"/>
        <v>33.852999999999994</v>
      </c>
    </row>
    <row r="2143" spans="1:6" x14ac:dyDescent="0.45">
      <c r="A2143" s="6">
        <v>11077</v>
      </c>
      <c r="B2143" s="3">
        <v>20</v>
      </c>
      <c r="C2143" s="3">
        <v>81</v>
      </c>
      <c r="D2143" s="3">
        <v>1</v>
      </c>
      <c r="E2143" s="4">
        <v>0.04</v>
      </c>
      <c r="F2143" s="5">
        <f t="shared" si="33"/>
        <v>77.759999999999991</v>
      </c>
    </row>
    <row r="2144" spans="1:6" x14ac:dyDescent="0.45">
      <c r="A2144" s="6">
        <v>11077</v>
      </c>
      <c r="B2144" s="3">
        <v>23</v>
      </c>
      <c r="C2144" s="3">
        <v>9</v>
      </c>
      <c r="D2144" s="3">
        <v>2</v>
      </c>
      <c r="E2144" s="4">
        <v>0</v>
      </c>
      <c r="F2144" s="5">
        <f t="shared" si="33"/>
        <v>18</v>
      </c>
    </row>
    <row r="2145" spans="1:6" x14ac:dyDescent="0.45">
      <c r="A2145" s="6">
        <v>11077</v>
      </c>
      <c r="B2145" s="3">
        <v>32</v>
      </c>
      <c r="C2145" s="3">
        <v>32</v>
      </c>
      <c r="D2145" s="3">
        <v>1</v>
      </c>
      <c r="E2145" s="4">
        <v>0</v>
      </c>
      <c r="F2145" s="5">
        <f t="shared" si="33"/>
        <v>32</v>
      </c>
    </row>
    <row r="2146" spans="1:6" x14ac:dyDescent="0.45">
      <c r="A2146" s="6">
        <v>11077</v>
      </c>
      <c r="B2146" s="3">
        <v>39</v>
      </c>
      <c r="C2146" s="3">
        <v>18</v>
      </c>
      <c r="D2146" s="3">
        <v>2</v>
      </c>
      <c r="E2146" s="4">
        <v>0.05</v>
      </c>
      <c r="F2146" s="5">
        <f t="shared" si="33"/>
        <v>34.199999999999996</v>
      </c>
    </row>
    <row r="2147" spans="1:6" x14ac:dyDescent="0.45">
      <c r="A2147" s="6">
        <v>11077</v>
      </c>
      <c r="B2147" s="3">
        <v>41</v>
      </c>
      <c r="C2147" s="3">
        <v>9.65</v>
      </c>
      <c r="D2147" s="3">
        <v>3</v>
      </c>
      <c r="E2147" s="4">
        <v>0</v>
      </c>
      <c r="F2147" s="5">
        <f t="shared" si="33"/>
        <v>28.950000000000003</v>
      </c>
    </row>
    <row r="2148" spans="1:6" x14ac:dyDescent="0.45">
      <c r="A2148" s="6">
        <v>11077</v>
      </c>
      <c r="B2148" s="3">
        <v>46</v>
      </c>
      <c r="C2148" s="3">
        <v>12</v>
      </c>
      <c r="D2148" s="3">
        <v>3</v>
      </c>
      <c r="E2148" s="4">
        <v>0.02</v>
      </c>
      <c r="F2148" s="5">
        <f t="shared" si="33"/>
        <v>35.28</v>
      </c>
    </row>
    <row r="2149" spans="1:6" x14ac:dyDescent="0.45">
      <c r="A2149" s="6">
        <v>11077</v>
      </c>
      <c r="B2149" s="3">
        <v>52</v>
      </c>
      <c r="C2149" s="3">
        <v>7</v>
      </c>
      <c r="D2149" s="3">
        <v>2</v>
      </c>
      <c r="E2149" s="4">
        <v>0</v>
      </c>
      <c r="F2149" s="5">
        <f t="shared" si="33"/>
        <v>14</v>
      </c>
    </row>
    <row r="2150" spans="1:6" x14ac:dyDescent="0.45">
      <c r="A2150" s="6">
        <v>11077</v>
      </c>
      <c r="B2150" s="3">
        <v>55</v>
      </c>
      <c r="C2150" s="3">
        <v>24</v>
      </c>
      <c r="D2150" s="3">
        <v>2</v>
      </c>
      <c r="E2150" s="4">
        <v>0</v>
      </c>
      <c r="F2150" s="5">
        <f t="shared" si="33"/>
        <v>48</v>
      </c>
    </row>
    <row r="2151" spans="1:6" x14ac:dyDescent="0.45">
      <c r="A2151" s="6">
        <v>11077</v>
      </c>
      <c r="B2151" s="3">
        <v>60</v>
      </c>
      <c r="C2151" s="3">
        <v>34</v>
      </c>
      <c r="D2151" s="3">
        <v>2</v>
      </c>
      <c r="E2151" s="4">
        <v>0.06</v>
      </c>
      <c r="F2151" s="5">
        <f t="shared" si="33"/>
        <v>63.919999999999995</v>
      </c>
    </row>
    <row r="2152" spans="1:6" x14ac:dyDescent="0.45">
      <c r="A2152" s="6">
        <v>11077</v>
      </c>
      <c r="B2152" s="3">
        <v>64</v>
      </c>
      <c r="C2152" s="3">
        <v>33.25</v>
      </c>
      <c r="D2152" s="3">
        <v>2</v>
      </c>
      <c r="E2152" s="4">
        <v>0.03</v>
      </c>
      <c r="F2152" s="5">
        <f t="shared" si="33"/>
        <v>64.504999999999995</v>
      </c>
    </row>
    <row r="2153" spans="1:6" x14ac:dyDescent="0.45">
      <c r="A2153" s="6">
        <v>11077</v>
      </c>
      <c r="B2153" s="3">
        <v>66</v>
      </c>
      <c r="C2153" s="3">
        <v>17</v>
      </c>
      <c r="D2153" s="3">
        <v>1</v>
      </c>
      <c r="E2153" s="4">
        <v>0</v>
      </c>
      <c r="F2153" s="5">
        <f t="shared" si="33"/>
        <v>17</v>
      </c>
    </row>
    <row r="2154" spans="1:6" x14ac:dyDescent="0.45">
      <c r="A2154" s="6">
        <v>11077</v>
      </c>
      <c r="B2154" s="3">
        <v>73</v>
      </c>
      <c r="C2154" s="3">
        <v>15</v>
      </c>
      <c r="D2154" s="3">
        <v>2</v>
      </c>
      <c r="E2154" s="4">
        <v>0.01</v>
      </c>
      <c r="F2154" s="5">
        <f t="shared" si="33"/>
        <v>29.7</v>
      </c>
    </row>
    <row r="2155" spans="1:6" x14ac:dyDescent="0.45">
      <c r="A2155" s="6">
        <v>11077</v>
      </c>
      <c r="B2155" s="3">
        <v>75</v>
      </c>
      <c r="C2155" s="3">
        <v>7.75</v>
      </c>
      <c r="D2155" s="3">
        <v>4</v>
      </c>
      <c r="E2155" s="4">
        <v>0</v>
      </c>
      <c r="F2155" s="5">
        <f t="shared" si="33"/>
        <v>31</v>
      </c>
    </row>
    <row r="2156" spans="1:6" x14ac:dyDescent="0.45">
      <c r="A2156" s="6">
        <v>11077</v>
      </c>
      <c r="B2156" s="3">
        <v>77</v>
      </c>
      <c r="C2156" s="3">
        <v>13</v>
      </c>
      <c r="D2156" s="3">
        <v>2</v>
      </c>
      <c r="E2156" s="4">
        <v>0</v>
      </c>
      <c r="F2156" s="5">
        <f t="shared" si="33"/>
        <v>26</v>
      </c>
    </row>
  </sheetData>
  <phoneticPr fontId="18"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E95E6-8816-40B5-9C9C-3602DC5161CF}">
  <dimension ref="A1:F10"/>
  <sheetViews>
    <sheetView workbookViewId="0">
      <selection activeCell="C7" sqref="C7"/>
    </sheetView>
  </sheetViews>
  <sheetFormatPr defaultRowHeight="14.25" x14ac:dyDescent="0.45"/>
  <cols>
    <col min="1" max="1" width="12.33203125" style="3" customWidth="1"/>
    <col min="2" max="4" width="19.33203125" style="6" customWidth="1"/>
    <col min="5" max="5" width="9.06640625" style="6"/>
    <col min="6" max="6" width="18.33203125" style="3" customWidth="1"/>
  </cols>
  <sheetData>
    <row r="1" spans="1:6" x14ac:dyDescent="0.45">
      <c r="A1" s="3" t="s">
        <v>244</v>
      </c>
      <c r="B1" s="6" t="s">
        <v>269</v>
      </c>
      <c r="C1" s="6" t="s">
        <v>268</v>
      </c>
      <c r="D1" s="6" t="s">
        <v>267</v>
      </c>
      <c r="E1" s="6" t="s">
        <v>266</v>
      </c>
      <c r="F1" s="3" t="s">
        <v>265</v>
      </c>
    </row>
    <row r="2" spans="1:6" x14ac:dyDescent="0.45">
      <c r="A2" s="3">
        <v>1</v>
      </c>
      <c r="B2" s="6" t="s">
        <v>264</v>
      </c>
      <c r="C2" s="6" t="s">
        <v>251</v>
      </c>
      <c r="D2" s="6" t="s">
        <v>254</v>
      </c>
      <c r="E2" s="6" t="s">
        <v>253</v>
      </c>
      <c r="F2" s="3">
        <v>8</v>
      </c>
    </row>
    <row r="3" spans="1:6" x14ac:dyDescent="0.45">
      <c r="A3" s="3">
        <v>2</v>
      </c>
      <c r="B3" s="6" t="s">
        <v>263</v>
      </c>
      <c r="C3" s="6" t="s">
        <v>262</v>
      </c>
      <c r="D3" s="6" t="s">
        <v>254</v>
      </c>
      <c r="E3" s="6" t="s">
        <v>253</v>
      </c>
    </row>
    <row r="4" spans="1:6" x14ac:dyDescent="0.45">
      <c r="A4" s="3">
        <v>3</v>
      </c>
      <c r="B4" s="6" t="s">
        <v>261</v>
      </c>
      <c r="C4" s="6" t="s">
        <v>251</v>
      </c>
      <c r="D4" s="6" t="s">
        <v>254</v>
      </c>
      <c r="E4" s="6" t="s">
        <v>253</v>
      </c>
      <c r="F4" s="3">
        <v>8</v>
      </c>
    </row>
    <row r="5" spans="1:6" x14ac:dyDescent="0.45">
      <c r="A5" s="3">
        <v>4</v>
      </c>
      <c r="B5" s="6" t="s">
        <v>260</v>
      </c>
      <c r="C5" s="6" t="s">
        <v>251</v>
      </c>
      <c r="D5" s="6" t="s">
        <v>254</v>
      </c>
      <c r="E5" s="6" t="s">
        <v>253</v>
      </c>
      <c r="F5" s="3">
        <v>8</v>
      </c>
    </row>
    <row r="6" spans="1:6" x14ac:dyDescent="0.45">
      <c r="A6" s="3">
        <v>5</v>
      </c>
      <c r="B6" s="6" t="s">
        <v>259</v>
      </c>
      <c r="C6" s="6" t="s">
        <v>255</v>
      </c>
      <c r="D6" s="6" t="s">
        <v>250</v>
      </c>
      <c r="E6" s="6" t="s">
        <v>249</v>
      </c>
      <c r="F6" s="3">
        <v>2</v>
      </c>
    </row>
    <row r="7" spans="1:6" x14ac:dyDescent="0.45">
      <c r="A7" s="3">
        <v>6</v>
      </c>
      <c r="B7" s="6" t="s">
        <v>258</v>
      </c>
      <c r="C7" s="6" t="s">
        <v>251</v>
      </c>
      <c r="D7" s="6" t="s">
        <v>250</v>
      </c>
      <c r="E7" s="6" t="s">
        <v>249</v>
      </c>
      <c r="F7" s="3">
        <v>5</v>
      </c>
    </row>
    <row r="8" spans="1:6" x14ac:dyDescent="0.45">
      <c r="A8" s="3">
        <v>7</v>
      </c>
      <c r="B8" s="6" t="s">
        <v>257</v>
      </c>
      <c r="C8" s="6" t="s">
        <v>251</v>
      </c>
      <c r="D8" s="6" t="s">
        <v>250</v>
      </c>
      <c r="E8" s="6" t="s">
        <v>249</v>
      </c>
      <c r="F8" s="3">
        <v>5</v>
      </c>
    </row>
    <row r="9" spans="1:6" x14ac:dyDescent="0.45">
      <c r="A9" s="3">
        <v>8</v>
      </c>
      <c r="B9" s="6" t="s">
        <v>256</v>
      </c>
      <c r="C9" s="6" t="s">
        <v>255</v>
      </c>
      <c r="D9" s="6" t="s">
        <v>254</v>
      </c>
      <c r="E9" s="6" t="s">
        <v>253</v>
      </c>
      <c r="F9" s="3">
        <v>2</v>
      </c>
    </row>
    <row r="10" spans="1:6" x14ac:dyDescent="0.45">
      <c r="A10" s="3">
        <v>9</v>
      </c>
      <c r="B10" s="6" t="s">
        <v>252</v>
      </c>
      <c r="C10" s="6" t="s">
        <v>251</v>
      </c>
      <c r="D10" s="6" t="s">
        <v>250</v>
      </c>
      <c r="E10" s="6" t="s">
        <v>249</v>
      </c>
      <c r="F10" s="3">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200D1-95B4-4792-ACCF-DFEC12CA44D7}">
  <dimension ref="A1:F92"/>
  <sheetViews>
    <sheetView workbookViewId="0">
      <selection activeCell="F1" sqref="F1:F1048576"/>
    </sheetView>
  </sheetViews>
  <sheetFormatPr defaultColWidth="29.6640625" defaultRowHeight="14.25" x14ac:dyDescent="0.45"/>
  <cols>
    <col min="1" max="6" width="29.6640625" style="6"/>
  </cols>
  <sheetData>
    <row r="1" spans="1:6" x14ac:dyDescent="0.45">
      <c r="A1" s="6" t="s">
        <v>245</v>
      </c>
      <c r="B1" s="6" t="s">
        <v>553</v>
      </c>
      <c r="C1" s="6" t="s">
        <v>552</v>
      </c>
      <c r="D1" s="6" t="s">
        <v>551</v>
      </c>
      <c r="E1" s="6" t="s">
        <v>267</v>
      </c>
      <c r="F1" s="6" t="s">
        <v>266</v>
      </c>
    </row>
    <row r="2" spans="1:6" x14ac:dyDescent="0.45">
      <c r="A2" s="6" t="s">
        <v>202</v>
      </c>
      <c r="B2" s="6" t="s">
        <v>550</v>
      </c>
      <c r="C2" s="6" t="s">
        <v>549</v>
      </c>
      <c r="D2" s="6" t="s">
        <v>251</v>
      </c>
      <c r="E2" s="6" t="s">
        <v>548</v>
      </c>
      <c r="F2" s="6" t="s">
        <v>291</v>
      </c>
    </row>
    <row r="3" spans="1:6" x14ac:dyDescent="0.45">
      <c r="A3" s="6" t="s">
        <v>222</v>
      </c>
      <c r="B3" s="6" t="s">
        <v>547</v>
      </c>
      <c r="C3" s="6" t="s">
        <v>546</v>
      </c>
      <c r="D3" s="6" t="s">
        <v>272</v>
      </c>
      <c r="E3" s="6" t="s">
        <v>315</v>
      </c>
      <c r="F3" s="6" t="s">
        <v>314</v>
      </c>
    </row>
    <row r="4" spans="1:6" x14ac:dyDescent="0.45">
      <c r="A4" s="6" t="s">
        <v>227</v>
      </c>
      <c r="B4" s="6" t="s">
        <v>545</v>
      </c>
      <c r="C4" s="6" t="s">
        <v>544</v>
      </c>
      <c r="D4" s="6" t="s">
        <v>272</v>
      </c>
      <c r="E4" s="6" t="s">
        <v>315</v>
      </c>
      <c r="F4" s="6" t="s">
        <v>314</v>
      </c>
    </row>
    <row r="5" spans="1:6" x14ac:dyDescent="0.45">
      <c r="A5" s="6" t="s">
        <v>198</v>
      </c>
      <c r="B5" s="6" t="s">
        <v>543</v>
      </c>
      <c r="C5" s="6" t="s">
        <v>542</v>
      </c>
      <c r="D5" s="6" t="s">
        <v>251</v>
      </c>
      <c r="E5" s="6" t="s">
        <v>250</v>
      </c>
      <c r="F5" s="6" t="s">
        <v>249</v>
      </c>
    </row>
    <row r="6" spans="1:6" x14ac:dyDescent="0.45">
      <c r="A6" s="6" t="s">
        <v>223</v>
      </c>
      <c r="B6" s="6" t="s">
        <v>541</v>
      </c>
      <c r="C6" s="6" t="s">
        <v>540</v>
      </c>
      <c r="D6" s="6" t="s">
        <v>509</v>
      </c>
      <c r="E6" s="6" t="s">
        <v>539</v>
      </c>
      <c r="F6" s="6" t="s">
        <v>489</v>
      </c>
    </row>
    <row r="7" spans="1:6" x14ac:dyDescent="0.45">
      <c r="A7" s="6" t="s">
        <v>171</v>
      </c>
      <c r="B7" s="6" t="s">
        <v>538</v>
      </c>
      <c r="C7" s="6" t="s">
        <v>537</v>
      </c>
      <c r="D7" s="6" t="s">
        <v>251</v>
      </c>
      <c r="E7" s="6" t="s">
        <v>536</v>
      </c>
      <c r="F7" s="6" t="s">
        <v>291</v>
      </c>
    </row>
    <row r="8" spans="1:6" x14ac:dyDescent="0.45">
      <c r="A8" s="6" t="s">
        <v>231</v>
      </c>
      <c r="B8" s="6" t="s">
        <v>535</v>
      </c>
      <c r="C8" s="6" t="s">
        <v>534</v>
      </c>
      <c r="D8" s="6" t="s">
        <v>319</v>
      </c>
      <c r="E8" s="6" t="s">
        <v>533</v>
      </c>
      <c r="F8" s="6" t="s">
        <v>295</v>
      </c>
    </row>
    <row r="9" spans="1:6" x14ac:dyDescent="0.45">
      <c r="A9" s="6" t="s">
        <v>214</v>
      </c>
      <c r="B9" s="6" t="s">
        <v>532</v>
      </c>
      <c r="C9" s="6" t="s">
        <v>531</v>
      </c>
      <c r="D9" s="6" t="s">
        <v>272</v>
      </c>
      <c r="E9" s="6" t="s">
        <v>352</v>
      </c>
      <c r="F9" s="6" t="s">
        <v>351</v>
      </c>
    </row>
    <row r="10" spans="1:6" x14ac:dyDescent="0.45">
      <c r="A10" s="6" t="s">
        <v>154</v>
      </c>
      <c r="B10" s="6" t="s">
        <v>530</v>
      </c>
      <c r="C10" s="6" t="s">
        <v>529</v>
      </c>
      <c r="D10" s="6" t="s">
        <v>272</v>
      </c>
      <c r="E10" s="6" t="s">
        <v>528</v>
      </c>
      <c r="F10" s="6" t="s">
        <v>295</v>
      </c>
    </row>
    <row r="11" spans="1:6" x14ac:dyDescent="0.45">
      <c r="A11" s="6" t="s">
        <v>181</v>
      </c>
      <c r="B11" s="6" t="s">
        <v>527</v>
      </c>
      <c r="C11" s="6" t="s">
        <v>526</v>
      </c>
      <c r="D11" s="6" t="s">
        <v>288</v>
      </c>
      <c r="E11" s="6" t="s">
        <v>525</v>
      </c>
      <c r="F11" s="6" t="s">
        <v>408</v>
      </c>
    </row>
    <row r="12" spans="1:6" x14ac:dyDescent="0.45">
      <c r="A12" s="6" t="s">
        <v>193</v>
      </c>
      <c r="B12" s="6" t="s">
        <v>524</v>
      </c>
      <c r="C12" s="6" t="s">
        <v>523</v>
      </c>
      <c r="D12" s="6" t="s">
        <v>251</v>
      </c>
      <c r="E12" s="6" t="s">
        <v>250</v>
      </c>
      <c r="F12" s="6" t="s">
        <v>249</v>
      </c>
    </row>
    <row r="13" spans="1:6" x14ac:dyDescent="0.45">
      <c r="A13" s="6" t="s">
        <v>175</v>
      </c>
      <c r="B13" s="6" t="s">
        <v>522</v>
      </c>
      <c r="C13" s="6" t="s">
        <v>521</v>
      </c>
      <c r="D13" s="6" t="s">
        <v>300</v>
      </c>
      <c r="E13" s="6" t="s">
        <v>372</v>
      </c>
      <c r="F13" s="6" t="s">
        <v>371</v>
      </c>
    </row>
    <row r="14" spans="1:6" x14ac:dyDescent="0.45">
      <c r="A14" s="6" t="s">
        <v>241</v>
      </c>
      <c r="B14" s="6" t="s">
        <v>520</v>
      </c>
      <c r="C14" s="6" t="s">
        <v>519</v>
      </c>
      <c r="D14" s="6" t="s">
        <v>319</v>
      </c>
      <c r="E14" s="6" t="s">
        <v>315</v>
      </c>
      <c r="F14" s="6" t="s">
        <v>314</v>
      </c>
    </row>
    <row r="15" spans="1:6" x14ac:dyDescent="0.45">
      <c r="A15" s="6" t="s">
        <v>186</v>
      </c>
      <c r="B15" s="6" t="s">
        <v>518</v>
      </c>
      <c r="C15" s="6" t="s">
        <v>517</v>
      </c>
      <c r="D15" s="6" t="s">
        <v>272</v>
      </c>
      <c r="E15" s="6" t="s">
        <v>516</v>
      </c>
      <c r="F15" s="6" t="s">
        <v>355</v>
      </c>
    </row>
    <row r="16" spans="1:6" x14ac:dyDescent="0.45">
      <c r="A16" s="6" t="s">
        <v>185</v>
      </c>
      <c r="B16" s="6" t="s">
        <v>515</v>
      </c>
      <c r="C16" s="6" t="s">
        <v>514</v>
      </c>
      <c r="D16" s="6" t="s">
        <v>308</v>
      </c>
      <c r="E16" s="6" t="s">
        <v>311</v>
      </c>
      <c r="F16" s="6" t="s">
        <v>283</v>
      </c>
    </row>
    <row r="17" spans="1:6" x14ac:dyDescent="0.45">
      <c r="A17" s="6" t="s">
        <v>229</v>
      </c>
      <c r="B17" s="6" t="s">
        <v>513</v>
      </c>
      <c r="C17" s="6" t="s">
        <v>512</v>
      </c>
      <c r="D17" s="6" t="s">
        <v>251</v>
      </c>
      <c r="E17" s="6" t="s">
        <v>250</v>
      </c>
      <c r="F17" s="6" t="s">
        <v>249</v>
      </c>
    </row>
    <row r="18" spans="1:6" x14ac:dyDescent="0.45">
      <c r="A18" s="6" t="s">
        <v>163</v>
      </c>
      <c r="B18" s="6" t="s">
        <v>511</v>
      </c>
      <c r="C18" s="6" t="s">
        <v>510</v>
      </c>
      <c r="D18" s="6" t="s">
        <v>509</v>
      </c>
      <c r="E18" s="6" t="s">
        <v>508</v>
      </c>
      <c r="F18" s="6" t="s">
        <v>291</v>
      </c>
    </row>
    <row r="19" spans="1:6" x14ac:dyDescent="0.45">
      <c r="A19" s="6" t="s">
        <v>224</v>
      </c>
      <c r="B19" s="6" t="s">
        <v>507</v>
      </c>
      <c r="C19" s="6" t="s">
        <v>506</v>
      </c>
      <c r="D19" s="6" t="s">
        <v>272</v>
      </c>
      <c r="E19" s="6" t="s">
        <v>483</v>
      </c>
      <c r="F19" s="6" t="s">
        <v>295</v>
      </c>
    </row>
    <row r="20" spans="1:6" x14ac:dyDescent="0.45">
      <c r="A20" s="6" t="s">
        <v>173</v>
      </c>
      <c r="B20" s="6" t="s">
        <v>505</v>
      </c>
      <c r="C20" s="6" t="s">
        <v>504</v>
      </c>
      <c r="D20" s="6" t="s">
        <v>300</v>
      </c>
      <c r="E20" s="6" t="s">
        <v>250</v>
      </c>
      <c r="F20" s="6" t="s">
        <v>249</v>
      </c>
    </row>
    <row r="21" spans="1:6" x14ac:dyDescent="0.45">
      <c r="A21" s="6" t="s">
        <v>158</v>
      </c>
      <c r="B21" s="6" t="s">
        <v>503</v>
      </c>
      <c r="C21" s="6" t="s">
        <v>502</v>
      </c>
      <c r="D21" s="6" t="s">
        <v>255</v>
      </c>
      <c r="E21" s="6" t="s">
        <v>501</v>
      </c>
      <c r="F21" s="6" t="s">
        <v>386</v>
      </c>
    </row>
    <row r="22" spans="1:6" x14ac:dyDescent="0.45">
      <c r="A22" s="6" t="s">
        <v>237</v>
      </c>
      <c r="B22" s="6" t="s">
        <v>500</v>
      </c>
      <c r="C22" s="6" t="s">
        <v>499</v>
      </c>
      <c r="D22" s="6" t="s">
        <v>323</v>
      </c>
      <c r="E22" s="6" t="s">
        <v>311</v>
      </c>
      <c r="F22" s="6" t="s">
        <v>283</v>
      </c>
    </row>
    <row r="23" spans="1:6" x14ac:dyDescent="0.45">
      <c r="A23" s="6" t="s">
        <v>498</v>
      </c>
      <c r="B23" s="6" t="s">
        <v>497</v>
      </c>
      <c r="C23" s="6" t="s">
        <v>496</v>
      </c>
      <c r="D23" s="6" t="s">
        <v>288</v>
      </c>
      <c r="E23" s="6" t="s">
        <v>352</v>
      </c>
      <c r="F23" s="6" t="s">
        <v>351</v>
      </c>
    </row>
    <row r="24" spans="1:6" x14ac:dyDescent="0.45">
      <c r="A24" s="6" t="s">
        <v>234</v>
      </c>
      <c r="B24" s="6" t="s">
        <v>495</v>
      </c>
      <c r="C24" s="6" t="s">
        <v>494</v>
      </c>
      <c r="D24" s="6" t="s">
        <v>360</v>
      </c>
      <c r="E24" s="6" t="s">
        <v>493</v>
      </c>
      <c r="F24" s="6" t="s">
        <v>295</v>
      </c>
    </row>
    <row r="25" spans="1:6" x14ac:dyDescent="0.45">
      <c r="A25" s="6" t="s">
        <v>179</v>
      </c>
      <c r="B25" s="6" t="s">
        <v>492</v>
      </c>
      <c r="C25" s="6" t="s">
        <v>491</v>
      </c>
      <c r="D25" s="6" t="s">
        <v>272</v>
      </c>
      <c r="E25" s="6" t="s">
        <v>490</v>
      </c>
      <c r="F25" s="6" t="s">
        <v>489</v>
      </c>
    </row>
    <row r="26" spans="1:6" x14ac:dyDescent="0.45">
      <c r="A26" s="6" t="s">
        <v>201</v>
      </c>
      <c r="B26" s="6" t="s">
        <v>488</v>
      </c>
      <c r="C26" s="6" t="s">
        <v>487</v>
      </c>
      <c r="D26" s="6" t="s">
        <v>319</v>
      </c>
      <c r="E26" s="6" t="s">
        <v>486</v>
      </c>
      <c r="F26" s="6" t="s">
        <v>291</v>
      </c>
    </row>
    <row r="27" spans="1:6" x14ac:dyDescent="0.45">
      <c r="A27" s="6" t="s">
        <v>213</v>
      </c>
      <c r="B27" s="6" t="s">
        <v>485</v>
      </c>
      <c r="C27" s="6" t="s">
        <v>484</v>
      </c>
      <c r="D27" s="6" t="s">
        <v>319</v>
      </c>
      <c r="E27" s="6" t="s">
        <v>483</v>
      </c>
      <c r="F27" s="6" t="s">
        <v>295</v>
      </c>
    </row>
    <row r="28" spans="1:6" x14ac:dyDescent="0.45">
      <c r="A28" s="6" t="s">
        <v>169</v>
      </c>
      <c r="B28" s="6" t="s">
        <v>482</v>
      </c>
      <c r="C28" s="6" t="s">
        <v>481</v>
      </c>
      <c r="D28" s="6" t="s">
        <v>251</v>
      </c>
      <c r="E28" s="6" t="s">
        <v>480</v>
      </c>
      <c r="F28" s="6" t="s">
        <v>363</v>
      </c>
    </row>
    <row r="29" spans="1:6" x14ac:dyDescent="0.45">
      <c r="A29" s="6" t="s">
        <v>216</v>
      </c>
      <c r="B29" s="6" t="s">
        <v>479</v>
      </c>
      <c r="C29" s="6" t="s">
        <v>478</v>
      </c>
      <c r="D29" s="6" t="s">
        <v>255</v>
      </c>
      <c r="E29" s="6" t="s">
        <v>383</v>
      </c>
      <c r="F29" s="6" t="s">
        <v>382</v>
      </c>
    </row>
    <row r="30" spans="1:6" x14ac:dyDescent="0.45">
      <c r="A30" s="6" t="s">
        <v>221</v>
      </c>
      <c r="B30" s="6" t="s">
        <v>477</v>
      </c>
      <c r="C30" s="6" t="s">
        <v>476</v>
      </c>
      <c r="D30" s="6" t="s">
        <v>319</v>
      </c>
      <c r="E30" s="6" t="s">
        <v>475</v>
      </c>
      <c r="F30" s="6" t="s">
        <v>351</v>
      </c>
    </row>
    <row r="31" spans="1:6" x14ac:dyDescent="0.45">
      <c r="A31" s="6" t="s">
        <v>189</v>
      </c>
      <c r="B31" s="6" t="s">
        <v>474</v>
      </c>
      <c r="C31" s="6" t="s">
        <v>473</v>
      </c>
      <c r="D31" s="6" t="s">
        <v>255</v>
      </c>
      <c r="E31" s="6" t="s">
        <v>472</v>
      </c>
      <c r="F31" s="6" t="s">
        <v>351</v>
      </c>
    </row>
    <row r="32" spans="1:6" x14ac:dyDescent="0.45">
      <c r="A32" s="6" t="s">
        <v>180</v>
      </c>
      <c r="B32" s="6" t="s">
        <v>471</v>
      </c>
      <c r="C32" s="6" t="s">
        <v>470</v>
      </c>
      <c r="D32" s="6" t="s">
        <v>308</v>
      </c>
      <c r="E32" s="6" t="s">
        <v>469</v>
      </c>
      <c r="F32" s="6" t="s">
        <v>283</v>
      </c>
    </row>
    <row r="33" spans="1:6" x14ac:dyDescent="0.45">
      <c r="A33" s="6" t="s">
        <v>168</v>
      </c>
      <c r="B33" s="6" t="s">
        <v>468</v>
      </c>
      <c r="C33" s="6" t="s">
        <v>467</v>
      </c>
      <c r="D33" s="6" t="s">
        <v>319</v>
      </c>
      <c r="E33" s="6" t="s">
        <v>466</v>
      </c>
      <c r="F33" s="6" t="s">
        <v>253</v>
      </c>
    </row>
    <row r="34" spans="1:6" x14ac:dyDescent="0.45">
      <c r="A34" s="6" t="s">
        <v>235</v>
      </c>
      <c r="B34" s="6" t="s">
        <v>465</v>
      </c>
      <c r="C34" s="6" t="s">
        <v>464</v>
      </c>
      <c r="D34" s="6" t="s">
        <v>272</v>
      </c>
      <c r="E34" s="6" t="s">
        <v>463</v>
      </c>
      <c r="F34" s="6" t="s">
        <v>420</v>
      </c>
    </row>
    <row r="35" spans="1:6" x14ac:dyDescent="0.45">
      <c r="A35" s="6" t="s">
        <v>177</v>
      </c>
      <c r="B35" s="6" t="s">
        <v>462</v>
      </c>
      <c r="C35" s="6" t="s">
        <v>461</v>
      </c>
      <c r="D35" s="6" t="s">
        <v>288</v>
      </c>
      <c r="E35" s="6" t="s">
        <v>359</v>
      </c>
      <c r="F35" s="6" t="s">
        <v>283</v>
      </c>
    </row>
    <row r="36" spans="1:6" x14ac:dyDescent="0.45">
      <c r="A36" s="6" t="s">
        <v>174</v>
      </c>
      <c r="B36" s="6" t="s">
        <v>460</v>
      </c>
      <c r="C36" s="6" t="s">
        <v>459</v>
      </c>
      <c r="D36" s="6" t="s">
        <v>251</v>
      </c>
      <c r="E36" s="6" t="s">
        <v>458</v>
      </c>
      <c r="F36" s="6" t="s">
        <v>420</v>
      </c>
    </row>
    <row r="37" spans="1:6" x14ac:dyDescent="0.45">
      <c r="A37" s="6" t="s">
        <v>239</v>
      </c>
      <c r="B37" s="6" t="s">
        <v>457</v>
      </c>
      <c r="C37" s="6" t="s">
        <v>456</v>
      </c>
      <c r="D37" s="6" t="s">
        <v>251</v>
      </c>
      <c r="E37" s="6" t="s">
        <v>455</v>
      </c>
      <c r="F37" s="6" t="s">
        <v>253</v>
      </c>
    </row>
    <row r="38" spans="1:6" x14ac:dyDescent="0.45">
      <c r="A38" s="6" t="s">
        <v>166</v>
      </c>
      <c r="B38" s="6" t="s">
        <v>454</v>
      </c>
      <c r="C38" s="6" t="s">
        <v>453</v>
      </c>
      <c r="D38" s="6" t="s">
        <v>308</v>
      </c>
      <c r="E38" s="6" t="s">
        <v>452</v>
      </c>
      <c r="F38" s="6" t="s">
        <v>451</v>
      </c>
    </row>
    <row r="39" spans="1:6" x14ac:dyDescent="0.45">
      <c r="A39" s="6" t="s">
        <v>220</v>
      </c>
      <c r="B39" s="6" t="s">
        <v>450</v>
      </c>
      <c r="C39" s="6" t="s">
        <v>449</v>
      </c>
      <c r="D39" s="6" t="s">
        <v>319</v>
      </c>
      <c r="E39" s="6" t="s">
        <v>448</v>
      </c>
      <c r="F39" s="6" t="s">
        <v>249</v>
      </c>
    </row>
    <row r="40" spans="1:6" x14ac:dyDescent="0.45">
      <c r="A40" s="6" t="s">
        <v>191</v>
      </c>
      <c r="B40" s="6" t="s">
        <v>447</v>
      </c>
      <c r="C40" s="6" t="s">
        <v>446</v>
      </c>
      <c r="D40" s="6" t="s">
        <v>308</v>
      </c>
      <c r="E40" s="6" t="s">
        <v>445</v>
      </c>
      <c r="F40" s="6" t="s">
        <v>291</v>
      </c>
    </row>
    <row r="41" spans="1:6" x14ac:dyDescent="0.45">
      <c r="A41" s="6" t="s">
        <v>212</v>
      </c>
      <c r="B41" s="6" t="s">
        <v>444</v>
      </c>
      <c r="C41" s="6" t="s">
        <v>443</v>
      </c>
      <c r="D41" s="6" t="s">
        <v>251</v>
      </c>
      <c r="E41" s="6" t="s">
        <v>442</v>
      </c>
      <c r="F41" s="6" t="s">
        <v>295</v>
      </c>
    </row>
    <row r="42" spans="1:6" x14ac:dyDescent="0.45">
      <c r="A42" s="6" t="s">
        <v>178</v>
      </c>
      <c r="B42" s="6" t="s">
        <v>441</v>
      </c>
      <c r="C42" s="6" t="s">
        <v>440</v>
      </c>
      <c r="D42" s="6" t="s">
        <v>255</v>
      </c>
      <c r="E42" s="6" t="s">
        <v>439</v>
      </c>
      <c r="F42" s="6" t="s">
        <v>295</v>
      </c>
    </row>
    <row r="43" spans="1:6" x14ac:dyDescent="0.45">
      <c r="A43" s="6" t="s">
        <v>233</v>
      </c>
      <c r="B43" s="6" t="s">
        <v>438</v>
      </c>
      <c r="C43" s="6" t="s">
        <v>437</v>
      </c>
      <c r="D43" s="6" t="s">
        <v>323</v>
      </c>
      <c r="E43" s="6" t="s">
        <v>436</v>
      </c>
      <c r="F43" s="6" t="s">
        <v>408</v>
      </c>
    </row>
    <row r="44" spans="1:6" x14ac:dyDescent="0.45">
      <c r="A44" s="6" t="s">
        <v>240</v>
      </c>
      <c r="B44" s="6" t="s">
        <v>435</v>
      </c>
      <c r="C44" s="6" t="s">
        <v>434</v>
      </c>
      <c r="D44" s="6" t="s">
        <v>319</v>
      </c>
      <c r="E44" s="6" t="s">
        <v>433</v>
      </c>
      <c r="F44" s="6" t="s">
        <v>253</v>
      </c>
    </row>
    <row r="45" spans="1:6" x14ac:dyDescent="0.45">
      <c r="A45" s="6" t="s">
        <v>160</v>
      </c>
      <c r="B45" s="6" t="s">
        <v>432</v>
      </c>
      <c r="C45" s="6" t="s">
        <v>431</v>
      </c>
      <c r="D45" s="6" t="s">
        <v>251</v>
      </c>
      <c r="E45" s="6" t="s">
        <v>430</v>
      </c>
      <c r="F45" s="6" t="s">
        <v>291</v>
      </c>
    </row>
    <row r="46" spans="1:6" x14ac:dyDescent="0.45">
      <c r="A46" s="6" t="s">
        <v>225</v>
      </c>
      <c r="B46" s="6" t="s">
        <v>429</v>
      </c>
      <c r="C46" s="6" t="s">
        <v>428</v>
      </c>
      <c r="D46" s="6" t="s">
        <v>272</v>
      </c>
      <c r="E46" s="6" t="s">
        <v>427</v>
      </c>
      <c r="F46" s="6" t="s">
        <v>253</v>
      </c>
    </row>
    <row r="47" spans="1:6" x14ac:dyDescent="0.45">
      <c r="A47" s="6" t="s">
        <v>159</v>
      </c>
      <c r="B47" s="6" t="s">
        <v>426</v>
      </c>
      <c r="C47" s="6" t="s">
        <v>425</v>
      </c>
      <c r="D47" s="6" t="s">
        <v>288</v>
      </c>
      <c r="E47" s="6" t="s">
        <v>424</v>
      </c>
      <c r="F47" s="6" t="s">
        <v>420</v>
      </c>
    </row>
    <row r="48" spans="1:6" x14ac:dyDescent="0.45">
      <c r="A48" s="6" t="s">
        <v>187</v>
      </c>
      <c r="B48" s="6" t="s">
        <v>423</v>
      </c>
      <c r="C48" s="6" t="s">
        <v>422</v>
      </c>
      <c r="D48" s="6" t="s">
        <v>272</v>
      </c>
      <c r="E48" s="6" t="s">
        <v>421</v>
      </c>
      <c r="F48" s="6" t="s">
        <v>420</v>
      </c>
    </row>
    <row r="49" spans="1:6" x14ac:dyDescent="0.45">
      <c r="A49" s="6" t="s">
        <v>197</v>
      </c>
      <c r="B49" s="6" t="s">
        <v>419</v>
      </c>
      <c r="C49" s="6" t="s">
        <v>418</v>
      </c>
      <c r="D49" s="6" t="s">
        <v>255</v>
      </c>
      <c r="E49" s="6" t="s">
        <v>326</v>
      </c>
      <c r="F49" s="6" t="s">
        <v>253</v>
      </c>
    </row>
    <row r="50" spans="1:6" x14ac:dyDescent="0.45">
      <c r="A50" s="6" t="s">
        <v>217</v>
      </c>
      <c r="B50" s="6" t="s">
        <v>417</v>
      </c>
      <c r="C50" s="6" t="s">
        <v>416</v>
      </c>
      <c r="D50" s="6" t="s">
        <v>319</v>
      </c>
      <c r="E50" s="6" t="s">
        <v>415</v>
      </c>
      <c r="F50" s="6" t="s">
        <v>363</v>
      </c>
    </row>
    <row r="51" spans="1:6" x14ac:dyDescent="0.45">
      <c r="A51" s="6" t="s">
        <v>205</v>
      </c>
      <c r="B51" s="6" t="s">
        <v>414</v>
      </c>
      <c r="C51" s="6" t="s">
        <v>413</v>
      </c>
      <c r="D51" s="6" t="s">
        <v>300</v>
      </c>
      <c r="E51" s="6" t="s">
        <v>412</v>
      </c>
      <c r="F51" s="6" t="s">
        <v>329</v>
      </c>
    </row>
    <row r="52" spans="1:6" x14ac:dyDescent="0.45">
      <c r="A52" s="6" t="s">
        <v>238</v>
      </c>
      <c r="B52" s="6" t="s">
        <v>411</v>
      </c>
      <c r="C52" s="6" t="s">
        <v>410</v>
      </c>
      <c r="D52" s="6" t="s">
        <v>323</v>
      </c>
      <c r="E52" s="6" t="s">
        <v>409</v>
      </c>
      <c r="F52" s="6" t="s">
        <v>408</v>
      </c>
    </row>
    <row r="53" spans="1:6" x14ac:dyDescent="0.45">
      <c r="A53" s="6" t="s">
        <v>218</v>
      </c>
      <c r="B53" s="6" t="s">
        <v>407</v>
      </c>
      <c r="C53" s="6" t="s">
        <v>406</v>
      </c>
      <c r="D53" s="6" t="s">
        <v>323</v>
      </c>
      <c r="E53" s="6" t="s">
        <v>405</v>
      </c>
      <c r="F53" s="6" t="s">
        <v>291</v>
      </c>
    </row>
    <row r="54" spans="1:6" x14ac:dyDescent="0.45">
      <c r="A54" s="6" t="s">
        <v>172</v>
      </c>
      <c r="B54" s="6" t="s">
        <v>404</v>
      </c>
      <c r="C54" s="6" t="s">
        <v>403</v>
      </c>
      <c r="D54" s="6" t="s">
        <v>308</v>
      </c>
      <c r="E54" s="6" t="s">
        <v>250</v>
      </c>
      <c r="F54" s="6" t="s">
        <v>249</v>
      </c>
    </row>
    <row r="55" spans="1:6" x14ac:dyDescent="0.45">
      <c r="A55" s="6" t="s">
        <v>210</v>
      </c>
      <c r="B55" s="6" t="s">
        <v>402</v>
      </c>
      <c r="C55" s="6" t="s">
        <v>401</v>
      </c>
      <c r="D55" s="6" t="s">
        <v>300</v>
      </c>
      <c r="E55" s="6" t="s">
        <v>372</v>
      </c>
      <c r="F55" s="6" t="s">
        <v>371</v>
      </c>
    </row>
    <row r="56" spans="1:6" x14ac:dyDescent="0.45">
      <c r="A56" s="6" t="s">
        <v>190</v>
      </c>
      <c r="B56" s="6" t="s">
        <v>400</v>
      </c>
      <c r="C56" s="6" t="s">
        <v>399</v>
      </c>
      <c r="D56" s="6" t="s">
        <v>251</v>
      </c>
      <c r="E56" s="6" t="s">
        <v>398</v>
      </c>
      <c r="F56" s="6" t="s">
        <v>253</v>
      </c>
    </row>
    <row r="57" spans="1:6" x14ac:dyDescent="0.45">
      <c r="A57" s="6" t="s">
        <v>195</v>
      </c>
      <c r="B57" s="6" t="s">
        <v>397</v>
      </c>
      <c r="C57" s="6" t="s">
        <v>396</v>
      </c>
      <c r="D57" s="6" t="s">
        <v>272</v>
      </c>
      <c r="E57" s="6" t="s">
        <v>395</v>
      </c>
      <c r="F57" s="6" t="s">
        <v>291</v>
      </c>
    </row>
    <row r="58" spans="1:6" x14ac:dyDescent="0.45">
      <c r="A58" s="6" t="s">
        <v>394</v>
      </c>
      <c r="B58" s="6" t="s">
        <v>393</v>
      </c>
      <c r="C58" s="6" t="s">
        <v>392</v>
      </c>
      <c r="D58" s="6" t="s">
        <v>272</v>
      </c>
      <c r="E58" s="6" t="s">
        <v>336</v>
      </c>
      <c r="F58" s="6" t="s">
        <v>295</v>
      </c>
    </row>
    <row r="59" spans="1:6" x14ac:dyDescent="0.45">
      <c r="A59" s="6" t="s">
        <v>157</v>
      </c>
      <c r="B59" s="6" t="s">
        <v>391</v>
      </c>
      <c r="C59" s="6" t="s">
        <v>390</v>
      </c>
      <c r="D59" s="6" t="s">
        <v>251</v>
      </c>
      <c r="E59" s="6" t="s">
        <v>315</v>
      </c>
      <c r="F59" s="6" t="s">
        <v>314</v>
      </c>
    </row>
    <row r="60" spans="1:6" x14ac:dyDescent="0.45">
      <c r="A60" s="6" t="s">
        <v>176</v>
      </c>
      <c r="B60" s="6" t="s">
        <v>389</v>
      </c>
      <c r="C60" s="6" t="s">
        <v>388</v>
      </c>
      <c r="D60" s="6" t="s">
        <v>255</v>
      </c>
      <c r="E60" s="6" t="s">
        <v>387</v>
      </c>
      <c r="F60" s="6" t="s">
        <v>386</v>
      </c>
    </row>
    <row r="61" spans="1:6" x14ac:dyDescent="0.45">
      <c r="A61" s="6" t="s">
        <v>203</v>
      </c>
      <c r="B61" s="6" t="s">
        <v>385</v>
      </c>
      <c r="C61" s="6" t="s">
        <v>384</v>
      </c>
      <c r="D61" s="6" t="s">
        <v>251</v>
      </c>
      <c r="E61" s="6" t="s">
        <v>383</v>
      </c>
      <c r="F61" s="6" t="s">
        <v>382</v>
      </c>
    </row>
    <row r="62" spans="1:6" x14ac:dyDescent="0.45">
      <c r="A62" s="6" t="s">
        <v>209</v>
      </c>
      <c r="B62" s="6" t="s">
        <v>381</v>
      </c>
      <c r="C62" s="6" t="s">
        <v>380</v>
      </c>
      <c r="D62" s="6" t="s">
        <v>288</v>
      </c>
      <c r="E62" s="6" t="s">
        <v>359</v>
      </c>
      <c r="F62" s="6" t="s">
        <v>283</v>
      </c>
    </row>
    <row r="63" spans="1:6" x14ac:dyDescent="0.45">
      <c r="A63" s="6" t="s">
        <v>162</v>
      </c>
      <c r="B63" s="6" t="s">
        <v>379</v>
      </c>
      <c r="C63" s="6" t="s">
        <v>378</v>
      </c>
      <c r="D63" s="6" t="s">
        <v>323</v>
      </c>
      <c r="E63" s="6" t="s">
        <v>311</v>
      </c>
      <c r="F63" s="6" t="s">
        <v>283</v>
      </c>
    </row>
    <row r="64" spans="1:6" x14ac:dyDescent="0.45">
      <c r="A64" s="6" t="s">
        <v>194</v>
      </c>
      <c r="B64" s="6" t="s">
        <v>377</v>
      </c>
      <c r="C64" s="6" t="s">
        <v>376</v>
      </c>
      <c r="D64" s="6" t="s">
        <v>288</v>
      </c>
      <c r="E64" s="6" t="s">
        <v>375</v>
      </c>
      <c r="F64" s="6" t="s">
        <v>291</v>
      </c>
    </row>
    <row r="65" spans="1:6" x14ac:dyDescent="0.45">
      <c r="A65" s="6" t="s">
        <v>196</v>
      </c>
      <c r="B65" s="6" t="s">
        <v>374</v>
      </c>
      <c r="C65" s="6" t="s">
        <v>373</v>
      </c>
      <c r="D65" s="6" t="s">
        <v>251</v>
      </c>
      <c r="E65" s="6" t="s">
        <v>372</v>
      </c>
      <c r="F65" s="6" t="s">
        <v>371</v>
      </c>
    </row>
    <row r="66" spans="1:6" x14ac:dyDescent="0.45">
      <c r="A66" s="6" t="s">
        <v>153</v>
      </c>
      <c r="B66" s="6" t="s">
        <v>370</v>
      </c>
      <c r="C66" s="6" t="s">
        <v>369</v>
      </c>
      <c r="D66" s="6" t="s">
        <v>368</v>
      </c>
      <c r="E66" s="6" t="s">
        <v>367</v>
      </c>
      <c r="F66" s="6" t="s">
        <v>253</v>
      </c>
    </row>
    <row r="67" spans="1:6" x14ac:dyDescent="0.45">
      <c r="A67" s="6" t="s">
        <v>167</v>
      </c>
      <c r="B67" s="6" t="s">
        <v>366</v>
      </c>
      <c r="C67" s="6" t="s">
        <v>365</v>
      </c>
      <c r="D67" s="6" t="s">
        <v>308</v>
      </c>
      <c r="E67" s="6" t="s">
        <v>364</v>
      </c>
      <c r="F67" s="6" t="s">
        <v>363</v>
      </c>
    </row>
    <row r="68" spans="1:6" x14ac:dyDescent="0.45">
      <c r="A68" s="6" t="s">
        <v>170</v>
      </c>
      <c r="B68" s="6" t="s">
        <v>362</v>
      </c>
      <c r="C68" s="6" t="s">
        <v>361</v>
      </c>
      <c r="D68" s="6" t="s">
        <v>360</v>
      </c>
      <c r="E68" s="6" t="s">
        <v>359</v>
      </c>
      <c r="F68" s="6" t="s">
        <v>283</v>
      </c>
    </row>
    <row r="69" spans="1:6" x14ac:dyDescent="0.45">
      <c r="A69" s="6" t="s">
        <v>155</v>
      </c>
      <c r="B69" s="6" t="s">
        <v>358</v>
      </c>
      <c r="C69" s="6" t="s">
        <v>357</v>
      </c>
      <c r="D69" s="6" t="s">
        <v>255</v>
      </c>
      <c r="E69" s="6" t="s">
        <v>356</v>
      </c>
      <c r="F69" s="6" t="s">
        <v>355</v>
      </c>
    </row>
    <row r="70" spans="1:6" x14ac:dyDescent="0.45">
      <c r="A70" s="6" t="s">
        <v>200</v>
      </c>
      <c r="B70" s="6" t="s">
        <v>354</v>
      </c>
      <c r="C70" s="6" t="s">
        <v>353</v>
      </c>
      <c r="D70" s="6" t="s">
        <v>288</v>
      </c>
      <c r="E70" s="6" t="s">
        <v>352</v>
      </c>
      <c r="F70" s="6" t="s">
        <v>351</v>
      </c>
    </row>
    <row r="71" spans="1:6" x14ac:dyDescent="0.45">
      <c r="A71" s="6" t="s">
        <v>199</v>
      </c>
      <c r="B71" s="6" t="s">
        <v>350</v>
      </c>
      <c r="C71" s="6" t="s">
        <v>349</v>
      </c>
      <c r="D71" s="6" t="s">
        <v>272</v>
      </c>
      <c r="E71" s="6" t="s">
        <v>348</v>
      </c>
      <c r="F71" s="6" t="s">
        <v>347</v>
      </c>
    </row>
    <row r="72" spans="1:6" x14ac:dyDescent="0.45">
      <c r="A72" s="6" t="s">
        <v>165</v>
      </c>
      <c r="B72" s="6" t="s">
        <v>346</v>
      </c>
      <c r="C72" s="6" t="s">
        <v>345</v>
      </c>
      <c r="D72" s="6" t="s">
        <v>251</v>
      </c>
      <c r="E72" s="6" t="s">
        <v>344</v>
      </c>
      <c r="F72" s="6" t="s">
        <v>253</v>
      </c>
    </row>
    <row r="73" spans="1:6" x14ac:dyDescent="0.45">
      <c r="A73" s="6" t="s">
        <v>226</v>
      </c>
      <c r="B73" s="6" t="s">
        <v>343</v>
      </c>
      <c r="C73" s="6" t="s">
        <v>342</v>
      </c>
      <c r="D73" s="6" t="s">
        <v>255</v>
      </c>
      <c r="E73" s="6" t="s">
        <v>250</v>
      </c>
      <c r="F73" s="6" t="s">
        <v>249</v>
      </c>
    </row>
    <row r="74" spans="1:6" x14ac:dyDescent="0.45">
      <c r="A74" s="6" t="s">
        <v>156</v>
      </c>
      <c r="B74" s="6" t="s">
        <v>341</v>
      </c>
      <c r="C74" s="6" t="s">
        <v>340</v>
      </c>
      <c r="D74" s="6" t="s">
        <v>272</v>
      </c>
      <c r="E74" s="6" t="s">
        <v>339</v>
      </c>
      <c r="F74" s="6" t="s">
        <v>303</v>
      </c>
    </row>
    <row r="75" spans="1:6" x14ac:dyDescent="0.45">
      <c r="A75" s="6" t="s">
        <v>184</v>
      </c>
      <c r="B75" s="6" t="s">
        <v>338</v>
      </c>
      <c r="C75" s="6" t="s">
        <v>337</v>
      </c>
      <c r="D75" s="6" t="s">
        <v>319</v>
      </c>
      <c r="E75" s="6" t="s">
        <v>336</v>
      </c>
      <c r="F75" s="6" t="s">
        <v>295</v>
      </c>
    </row>
    <row r="76" spans="1:6" x14ac:dyDescent="0.45">
      <c r="A76" s="6" t="s">
        <v>211</v>
      </c>
      <c r="B76" s="6" t="s">
        <v>335</v>
      </c>
      <c r="C76" s="6" t="s">
        <v>334</v>
      </c>
      <c r="D76" s="6" t="s">
        <v>255</v>
      </c>
      <c r="E76" s="6" t="s">
        <v>333</v>
      </c>
      <c r="F76" s="6" t="s">
        <v>253</v>
      </c>
    </row>
    <row r="77" spans="1:6" x14ac:dyDescent="0.45">
      <c r="A77" s="6" t="s">
        <v>188</v>
      </c>
      <c r="B77" s="6" t="s">
        <v>332</v>
      </c>
      <c r="C77" s="6" t="s">
        <v>331</v>
      </c>
      <c r="D77" s="6" t="s">
        <v>288</v>
      </c>
      <c r="E77" s="6" t="s">
        <v>330</v>
      </c>
      <c r="F77" s="6" t="s">
        <v>329</v>
      </c>
    </row>
    <row r="78" spans="1:6" x14ac:dyDescent="0.45">
      <c r="A78" s="6" t="s">
        <v>208</v>
      </c>
      <c r="B78" s="6" t="s">
        <v>328</v>
      </c>
      <c r="C78" s="6" t="s">
        <v>327</v>
      </c>
      <c r="D78" s="6" t="s">
        <v>319</v>
      </c>
      <c r="E78" s="6" t="s">
        <v>326</v>
      </c>
      <c r="F78" s="6" t="s">
        <v>253</v>
      </c>
    </row>
    <row r="79" spans="1:6" x14ac:dyDescent="0.45">
      <c r="A79" s="6" t="s">
        <v>206</v>
      </c>
      <c r="B79" s="6" t="s">
        <v>325</v>
      </c>
      <c r="C79" s="6" t="s">
        <v>324</v>
      </c>
      <c r="D79" s="6" t="s">
        <v>323</v>
      </c>
      <c r="E79" s="6" t="s">
        <v>322</v>
      </c>
      <c r="F79" s="6" t="s">
        <v>253</v>
      </c>
    </row>
    <row r="80" spans="1:6" x14ac:dyDescent="0.45">
      <c r="A80" s="6" t="s">
        <v>215</v>
      </c>
      <c r="B80" s="6" t="s">
        <v>321</v>
      </c>
      <c r="C80" s="6" t="s">
        <v>320</v>
      </c>
      <c r="D80" s="6" t="s">
        <v>319</v>
      </c>
      <c r="E80" s="6" t="s">
        <v>318</v>
      </c>
      <c r="F80" s="6" t="s">
        <v>291</v>
      </c>
    </row>
    <row r="81" spans="1:6" x14ac:dyDescent="0.45">
      <c r="A81" s="6" t="s">
        <v>161</v>
      </c>
      <c r="B81" s="6" t="s">
        <v>317</v>
      </c>
      <c r="C81" s="6" t="s">
        <v>316</v>
      </c>
      <c r="D81" s="6" t="s">
        <v>272</v>
      </c>
      <c r="E81" s="6" t="s">
        <v>315</v>
      </c>
      <c r="F81" s="6" t="s">
        <v>314</v>
      </c>
    </row>
    <row r="82" spans="1:6" x14ac:dyDescent="0.45">
      <c r="A82" s="6" t="s">
        <v>230</v>
      </c>
      <c r="B82" s="6" t="s">
        <v>313</v>
      </c>
      <c r="C82" s="6" t="s">
        <v>312</v>
      </c>
      <c r="D82" s="6" t="s">
        <v>251</v>
      </c>
      <c r="E82" s="6" t="s">
        <v>311</v>
      </c>
      <c r="F82" s="6" t="s">
        <v>283</v>
      </c>
    </row>
    <row r="83" spans="1:6" x14ac:dyDescent="0.45">
      <c r="A83" s="6" t="s">
        <v>232</v>
      </c>
      <c r="B83" s="6" t="s">
        <v>310</v>
      </c>
      <c r="C83" s="6" t="s">
        <v>309</v>
      </c>
      <c r="D83" s="6" t="s">
        <v>308</v>
      </c>
      <c r="E83" s="6" t="s">
        <v>307</v>
      </c>
      <c r="F83" s="6" t="s">
        <v>253</v>
      </c>
    </row>
    <row r="84" spans="1:6" x14ac:dyDescent="0.45">
      <c r="A84" s="6" t="s">
        <v>207</v>
      </c>
      <c r="B84" s="6" t="s">
        <v>306</v>
      </c>
      <c r="C84" s="6" t="s">
        <v>305</v>
      </c>
      <c r="D84" s="6" t="s">
        <v>255</v>
      </c>
      <c r="E84" s="6" t="s">
        <v>304</v>
      </c>
      <c r="F84" s="6" t="s">
        <v>303</v>
      </c>
    </row>
    <row r="85" spans="1:6" x14ac:dyDescent="0.45">
      <c r="A85" s="6" t="s">
        <v>228</v>
      </c>
      <c r="B85" s="6" t="s">
        <v>302</v>
      </c>
      <c r="C85" s="6" t="s">
        <v>301</v>
      </c>
      <c r="D85" s="6" t="s">
        <v>300</v>
      </c>
      <c r="E85" s="6" t="s">
        <v>299</v>
      </c>
      <c r="F85" s="6" t="s">
        <v>295</v>
      </c>
    </row>
    <row r="86" spans="1:6" x14ac:dyDescent="0.45">
      <c r="A86" s="6" t="s">
        <v>236</v>
      </c>
      <c r="B86" s="6" t="s">
        <v>298</v>
      </c>
      <c r="C86" s="6" t="s">
        <v>297</v>
      </c>
      <c r="D86" s="6" t="s">
        <v>288</v>
      </c>
      <c r="E86" s="6" t="s">
        <v>296</v>
      </c>
      <c r="F86" s="6" t="s">
        <v>295</v>
      </c>
    </row>
    <row r="87" spans="1:6" x14ac:dyDescent="0.45">
      <c r="A87" s="6" t="s">
        <v>182</v>
      </c>
      <c r="B87" s="6" t="s">
        <v>294</v>
      </c>
      <c r="C87" s="6" t="s">
        <v>293</v>
      </c>
      <c r="D87" s="6" t="s">
        <v>251</v>
      </c>
      <c r="E87" s="6" t="s">
        <v>292</v>
      </c>
      <c r="F87" s="6" t="s">
        <v>291</v>
      </c>
    </row>
    <row r="88" spans="1:6" x14ac:dyDescent="0.45">
      <c r="A88" s="6" t="s">
        <v>192</v>
      </c>
      <c r="B88" s="6" t="s">
        <v>290</v>
      </c>
      <c r="C88" s="6" t="s">
        <v>289</v>
      </c>
      <c r="D88" s="6" t="s">
        <v>288</v>
      </c>
      <c r="E88" s="6" t="s">
        <v>287</v>
      </c>
      <c r="F88" s="6" t="s">
        <v>275</v>
      </c>
    </row>
    <row r="89" spans="1:6" x14ac:dyDescent="0.45">
      <c r="A89" s="6" t="s">
        <v>219</v>
      </c>
      <c r="B89" s="6" t="s">
        <v>286</v>
      </c>
      <c r="C89" s="6" t="s">
        <v>285</v>
      </c>
      <c r="D89" s="6" t="s">
        <v>255</v>
      </c>
      <c r="E89" s="6" t="s">
        <v>284</v>
      </c>
      <c r="F89" s="6" t="s">
        <v>283</v>
      </c>
    </row>
    <row r="90" spans="1:6" x14ac:dyDescent="0.45">
      <c r="A90" s="6" t="s">
        <v>164</v>
      </c>
      <c r="B90" s="6" t="s">
        <v>282</v>
      </c>
      <c r="C90" s="6" t="s">
        <v>281</v>
      </c>
      <c r="D90" s="6" t="s">
        <v>272</v>
      </c>
      <c r="E90" s="6" t="s">
        <v>280</v>
      </c>
      <c r="F90" s="6" t="s">
        <v>253</v>
      </c>
    </row>
    <row r="91" spans="1:6" x14ac:dyDescent="0.45">
      <c r="A91" s="6" t="s">
        <v>204</v>
      </c>
      <c r="B91" s="6" t="s">
        <v>279</v>
      </c>
      <c r="C91" s="6" t="s">
        <v>278</v>
      </c>
      <c r="D91" s="6" t="s">
        <v>277</v>
      </c>
      <c r="E91" s="6" t="s">
        <v>276</v>
      </c>
      <c r="F91" s="6" t="s">
        <v>275</v>
      </c>
    </row>
    <row r="92" spans="1:6" x14ac:dyDescent="0.45">
      <c r="A92" s="6" t="s">
        <v>183</v>
      </c>
      <c r="B92" s="6" t="s">
        <v>274</v>
      </c>
      <c r="C92" s="6" t="s">
        <v>273</v>
      </c>
      <c r="D92" s="6" t="s">
        <v>272</v>
      </c>
      <c r="E92" s="6" t="s">
        <v>271</v>
      </c>
      <c r="F92" s="6" t="s">
        <v>270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0C37A-8E5C-49AE-9CA2-6D66210B15C0}">
  <dimension ref="A1:B4"/>
  <sheetViews>
    <sheetView workbookViewId="0">
      <selection sqref="A1:B4"/>
    </sheetView>
  </sheetViews>
  <sheetFormatPr defaultRowHeight="14.25" x14ac:dyDescent="0.45"/>
  <cols>
    <col min="1" max="1" width="10.53125" customWidth="1"/>
    <col min="2" max="2" width="19.1328125" customWidth="1"/>
  </cols>
  <sheetData>
    <row r="1" spans="1:2" x14ac:dyDescent="0.45">
      <c r="A1" s="6" t="s">
        <v>243</v>
      </c>
      <c r="B1" s="6" t="s">
        <v>553</v>
      </c>
    </row>
    <row r="2" spans="1:2" x14ac:dyDescent="0.45">
      <c r="A2" s="6">
        <v>1</v>
      </c>
      <c r="B2" s="6" t="s">
        <v>556</v>
      </c>
    </row>
    <row r="3" spans="1:2" x14ac:dyDescent="0.45">
      <c r="A3" s="6">
        <v>2</v>
      </c>
      <c r="B3" s="6" t="s">
        <v>555</v>
      </c>
    </row>
    <row r="4" spans="1:2" x14ac:dyDescent="0.45">
      <c r="A4" s="6">
        <v>3</v>
      </c>
      <c r="B4" s="6" t="s">
        <v>554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F908-8721-47E6-94D4-9104421DE025}">
  <dimension ref="A1:C9"/>
  <sheetViews>
    <sheetView workbookViewId="0">
      <selection activeCell="C1" sqref="C1:C1048576"/>
    </sheetView>
  </sheetViews>
  <sheetFormatPr defaultRowHeight="14.25" x14ac:dyDescent="0.45"/>
  <cols>
    <col min="1" max="1" width="13" style="3" customWidth="1"/>
    <col min="2" max="2" width="22.796875" style="6" customWidth="1"/>
    <col min="3" max="3" width="47" style="6" customWidth="1"/>
  </cols>
  <sheetData>
    <row r="1" spans="1:3" x14ac:dyDescent="0.45">
      <c r="A1" s="3" t="s">
        <v>5</v>
      </c>
      <c r="B1" s="6" t="s">
        <v>574</v>
      </c>
      <c r="C1" s="6" t="s">
        <v>573</v>
      </c>
    </row>
    <row r="2" spans="1:3" x14ac:dyDescent="0.45">
      <c r="A2" s="3">
        <v>1</v>
      </c>
      <c r="B2" s="6" t="s">
        <v>572</v>
      </c>
      <c r="C2" s="6" t="s">
        <v>571</v>
      </c>
    </row>
    <row r="3" spans="1:3" x14ac:dyDescent="0.45">
      <c r="A3" s="3">
        <v>2</v>
      </c>
      <c r="B3" s="6" t="s">
        <v>570</v>
      </c>
      <c r="C3" s="6" t="s">
        <v>569</v>
      </c>
    </row>
    <row r="4" spans="1:3" x14ac:dyDescent="0.45">
      <c r="A4" s="3">
        <v>3</v>
      </c>
      <c r="B4" s="6" t="s">
        <v>568</v>
      </c>
      <c r="C4" s="6" t="s">
        <v>567</v>
      </c>
    </row>
    <row r="5" spans="1:3" x14ac:dyDescent="0.45">
      <c r="A5" s="3">
        <v>4</v>
      </c>
      <c r="B5" s="6" t="s">
        <v>566</v>
      </c>
      <c r="C5" s="6" t="s">
        <v>565</v>
      </c>
    </row>
    <row r="6" spans="1:3" x14ac:dyDescent="0.45">
      <c r="A6" s="3">
        <v>5</v>
      </c>
      <c r="B6" s="6" t="s">
        <v>564</v>
      </c>
      <c r="C6" s="6" t="s">
        <v>563</v>
      </c>
    </row>
    <row r="7" spans="1:3" x14ac:dyDescent="0.45">
      <c r="A7" s="3">
        <v>6</v>
      </c>
      <c r="B7" s="6" t="s">
        <v>562</v>
      </c>
      <c r="C7" s="6" t="s">
        <v>561</v>
      </c>
    </row>
    <row r="8" spans="1:3" x14ac:dyDescent="0.45">
      <c r="A8" s="3">
        <v>7</v>
      </c>
      <c r="B8" s="6" t="s">
        <v>560</v>
      </c>
      <c r="C8" s="6" t="s">
        <v>559</v>
      </c>
    </row>
    <row r="9" spans="1:3" x14ac:dyDescent="0.45">
      <c r="A9" s="3">
        <v>8</v>
      </c>
      <c r="B9" s="6" t="s">
        <v>558</v>
      </c>
      <c r="C9" s="6" t="s">
        <v>557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 Table</vt:lpstr>
      <vt:lpstr>Dashboard</vt:lpstr>
      <vt:lpstr>orders</vt:lpstr>
      <vt:lpstr>products</vt:lpstr>
      <vt:lpstr>order_details</vt:lpstr>
      <vt:lpstr>employees</vt:lpstr>
      <vt:lpstr>customers</vt:lpstr>
      <vt:lpstr>shippers</vt:lpstr>
      <vt:lpstr>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sikiru sulaimon</cp:lastModifiedBy>
  <dcterms:created xsi:type="dcterms:W3CDTF">2026-01-21T19:39:04Z</dcterms:created>
  <dcterms:modified xsi:type="dcterms:W3CDTF">2026-01-23T12:39:44Z</dcterms:modified>
</cp:coreProperties>
</file>